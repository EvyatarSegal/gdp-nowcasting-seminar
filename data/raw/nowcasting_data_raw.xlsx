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SMKLKALA\Macro and Forecasting Team\Forecasts\Nowcasting\nowcasting - students\dfm - elad\"/>
    </mc:Choice>
  </mc:AlternateContent>
  <xr:revisionPtr revIDLastSave="0" documentId="13_ncr:1_{E3625CDA-0DF8-49D8-AE2D-1AFFC6C6BABB}" xr6:coauthVersionLast="47" xr6:coauthVersionMax="47" xr10:uidLastSave="{00000000-0000-0000-0000-000000000000}"/>
  <bookViews>
    <workbookView xWindow="-120" yWindow="-120" windowWidth="25440" windowHeight="15270" tabRatio="723" firstSheet="5" activeTab="8" xr2:uid="{00000000-000D-0000-FFFF-FFFF00000000}"/>
  </bookViews>
  <sheets>
    <sheet name="personal_labor_income_taxes" sheetId="11" r:id="rId1"/>
    <sheet name="corporate_business_tax" sheetId="12" r:id="rId2"/>
    <sheet name="consumption_tax" sheetId="2" r:id="rId3"/>
    <sheet name="import_trade_tax" sheetId="14" r:id="rId4"/>
    <sheet name="real_estate" sheetId="13" r:id="rId5"/>
    <sheet name="real_activity" sheetId="15" r:id="rId6"/>
    <sheet name="labor" sheetId="16" r:id="rId7"/>
    <sheet name="capital_markets" sheetId="17" r:id="rId8"/>
    <sheet name="FX_liqudity" sheetId="18" r:id="rId9"/>
    <sheet name="target" sheetId="7" r:id="rId10"/>
    <sheet name="adjusters" sheetId="1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0" i="15" l="1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89" i="15"/>
  <c r="B125" i="7" l="1"/>
  <c r="A125" i="7"/>
  <c r="B122" i="7"/>
  <c r="B123" i="7"/>
  <c r="B124" i="7"/>
  <c r="A122" i="7"/>
  <c r="A123" i="7"/>
  <c r="A124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2" i="7"/>
  <c r="G376" i="15" l="1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C362" i="19" l="1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356" i="19"/>
  <c r="C357" i="19"/>
  <c r="C358" i="19"/>
  <c r="C359" i="19"/>
  <c r="C360" i="19"/>
  <c r="C361" i="19"/>
  <c r="C2" i="19"/>
  <c r="C362" i="18" l="1"/>
  <c r="D362" i="18"/>
  <c r="C363" i="18"/>
  <c r="D363" i="18"/>
  <c r="C364" i="18"/>
  <c r="D364" i="18"/>
  <c r="C365" i="18"/>
  <c r="D365" i="18"/>
  <c r="C366" i="18"/>
  <c r="D366" i="18"/>
  <c r="C367" i="18"/>
  <c r="D367" i="18"/>
  <c r="C368" i="18"/>
  <c r="D368" i="18"/>
  <c r="C369" i="18"/>
  <c r="D369" i="18"/>
  <c r="C370" i="18"/>
  <c r="D370" i="18"/>
  <c r="C371" i="18"/>
  <c r="D371" i="18"/>
  <c r="C372" i="18"/>
  <c r="D372" i="18"/>
  <c r="C373" i="18"/>
  <c r="D373" i="18"/>
  <c r="C374" i="18"/>
  <c r="D374" i="18"/>
  <c r="C375" i="18"/>
  <c r="D375" i="18"/>
  <c r="C376" i="18"/>
  <c r="D376" i="18"/>
  <c r="C377" i="18"/>
  <c r="D377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2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C2" i="18"/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E348" i="17"/>
  <c r="E349" i="17"/>
  <c r="E350" i="17"/>
  <c r="E351" i="17"/>
  <c r="E352" i="17"/>
  <c r="E353" i="17"/>
  <c r="E354" i="17"/>
  <c r="E355" i="17"/>
  <c r="E356" i="17"/>
  <c r="E357" i="17"/>
  <c r="E358" i="17"/>
  <c r="E359" i="17"/>
  <c r="E360" i="17"/>
  <c r="E361" i="17"/>
  <c r="E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/>
  <c r="B210" i="17"/>
  <c r="B211" i="17"/>
  <c r="B212" i="17"/>
  <c r="B213" i="17"/>
  <c r="B214" i="17"/>
  <c r="B215" i="17"/>
  <c r="B216" i="17"/>
  <c r="B217" i="17"/>
  <c r="B218" i="17"/>
  <c r="B219" i="17"/>
  <c r="B220" i="17"/>
  <c r="B221" i="17"/>
  <c r="B222" i="17"/>
  <c r="B223" i="17"/>
  <c r="B224" i="17"/>
  <c r="B225" i="17"/>
  <c r="B226" i="17"/>
  <c r="B227" i="17"/>
  <c r="B228" i="17"/>
  <c r="B229" i="17"/>
  <c r="B230" i="17"/>
  <c r="B231" i="17"/>
  <c r="B232" i="17"/>
  <c r="B233" i="17"/>
  <c r="B234" i="17"/>
  <c r="B235" i="17"/>
  <c r="B236" i="17"/>
  <c r="B237" i="17"/>
  <c r="B238" i="17"/>
  <c r="B239" i="17"/>
  <c r="B240" i="17"/>
  <c r="B241" i="17"/>
  <c r="B242" i="17"/>
  <c r="B243" i="17"/>
  <c r="B244" i="17"/>
  <c r="B245" i="17"/>
  <c r="B246" i="17"/>
  <c r="B247" i="17"/>
  <c r="B248" i="17"/>
  <c r="B249" i="17"/>
  <c r="B250" i="17"/>
  <c r="B251" i="17"/>
  <c r="B252" i="17"/>
  <c r="B253" i="17"/>
  <c r="B254" i="17"/>
  <c r="B255" i="17"/>
  <c r="B256" i="17"/>
  <c r="B257" i="17"/>
  <c r="B258" i="17"/>
  <c r="B259" i="17"/>
  <c r="B260" i="17"/>
  <c r="B261" i="17"/>
  <c r="B262" i="17"/>
  <c r="B263" i="17"/>
  <c r="B264" i="17"/>
  <c r="B265" i="17"/>
  <c r="B266" i="17"/>
  <c r="B267" i="17"/>
  <c r="B268" i="17"/>
  <c r="B269" i="17"/>
  <c r="B270" i="17"/>
  <c r="B271" i="17"/>
  <c r="B272" i="17"/>
  <c r="B273" i="17"/>
  <c r="B274" i="17"/>
  <c r="B275" i="17"/>
  <c r="B276" i="17"/>
  <c r="B277" i="17"/>
  <c r="B278" i="17"/>
  <c r="B279" i="17"/>
  <c r="B280" i="17"/>
  <c r="B281" i="17"/>
  <c r="B282" i="17"/>
  <c r="B283" i="17"/>
  <c r="B284" i="17"/>
  <c r="B285" i="17"/>
  <c r="B286" i="17"/>
  <c r="B287" i="17"/>
  <c r="B288" i="17"/>
  <c r="B289" i="17"/>
  <c r="B290" i="17"/>
  <c r="B291" i="17"/>
  <c r="B292" i="17"/>
  <c r="B293" i="17"/>
  <c r="B294" i="17"/>
  <c r="B295" i="17"/>
  <c r="B296" i="17"/>
  <c r="B297" i="17"/>
  <c r="B298" i="17"/>
  <c r="B299" i="17"/>
  <c r="B300" i="17"/>
  <c r="B301" i="17"/>
  <c r="B302" i="17"/>
  <c r="B303" i="17"/>
  <c r="B304" i="17"/>
  <c r="B305" i="17"/>
  <c r="B306" i="17"/>
  <c r="B307" i="17"/>
  <c r="B308" i="17"/>
  <c r="B309" i="17"/>
  <c r="B310" i="17"/>
  <c r="B311" i="17"/>
  <c r="B312" i="17"/>
  <c r="B313" i="17"/>
  <c r="B314" i="17"/>
  <c r="B315" i="17"/>
  <c r="B316" i="17"/>
  <c r="B317" i="17"/>
  <c r="B318" i="17"/>
  <c r="B319" i="17"/>
  <c r="B320" i="17"/>
  <c r="B321" i="17"/>
  <c r="B322" i="17"/>
  <c r="B323" i="17"/>
  <c r="B324" i="17"/>
  <c r="B325" i="17"/>
  <c r="B326" i="17"/>
  <c r="B327" i="17"/>
  <c r="B328" i="17"/>
  <c r="B329" i="17"/>
  <c r="B330" i="17"/>
  <c r="B331" i="17"/>
  <c r="B332" i="17"/>
  <c r="B333" i="17"/>
  <c r="B334" i="17"/>
  <c r="B335" i="17"/>
  <c r="B336" i="17"/>
  <c r="B337" i="17"/>
  <c r="B338" i="17"/>
  <c r="B339" i="17"/>
  <c r="B340" i="17"/>
  <c r="B341" i="17"/>
  <c r="B342" i="17"/>
  <c r="B343" i="17"/>
  <c r="B344" i="17"/>
  <c r="B345" i="17"/>
  <c r="B346" i="17"/>
  <c r="B347" i="17"/>
  <c r="B348" i="17"/>
  <c r="B349" i="17"/>
  <c r="B350" i="17"/>
  <c r="B351" i="17"/>
  <c r="B352" i="17"/>
  <c r="B353" i="17"/>
  <c r="B354" i="17"/>
  <c r="B355" i="17"/>
  <c r="B356" i="17"/>
  <c r="B357" i="17"/>
  <c r="B358" i="17"/>
  <c r="B359" i="17"/>
  <c r="B360" i="17"/>
  <c r="B361" i="17"/>
  <c r="B2" i="17"/>
  <c r="B362" i="16" l="1"/>
  <c r="C362" i="16"/>
  <c r="D362" i="16"/>
  <c r="E362" i="16"/>
  <c r="F362" i="16"/>
  <c r="B363" i="16"/>
  <c r="C363" i="16"/>
  <c r="D363" i="16"/>
  <c r="E363" i="16"/>
  <c r="F363" i="16"/>
  <c r="B364" i="16"/>
  <c r="C364" i="16"/>
  <c r="D364" i="16"/>
  <c r="E364" i="16"/>
  <c r="F364" i="16"/>
  <c r="B365" i="16"/>
  <c r="C365" i="16"/>
  <c r="D365" i="16"/>
  <c r="E365" i="16"/>
  <c r="F365" i="16"/>
  <c r="B366" i="16"/>
  <c r="C366" i="16"/>
  <c r="D366" i="16"/>
  <c r="E366" i="16"/>
  <c r="F366" i="16"/>
  <c r="B367" i="16"/>
  <c r="C367" i="16"/>
  <c r="D367" i="16"/>
  <c r="E367" i="16"/>
  <c r="F367" i="16"/>
  <c r="B368" i="16"/>
  <c r="C368" i="16"/>
  <c r="D368" i="16"/>
  <c r="E368" i="16"/>
  <c r="F368" i="16"/>
  <c r="B369" i="16"/>
  <c r="C369" i="16"/>
  <c r="D369" i="16"/>
  <c r="E369" i="16"/>
  <c r="F369" i="16"/>
  <c r="B370" i="16"/>
  <c r="C370" i="16"/>
  <c r="D370" i="16"/>
  <c r="E370" i="16"/>
  <c r="F370" i="16"/>
  <c r="B371" i="16"/>
  <c r="C371" i="16"/>
  <c r="D371" i="16"/>
  <c r="E371" i="16"/>
  <c r="F371" i="16"/>
  <c r="B372" i="16"/>
  <c r="C372" i="16"/>
  <c r="D372" i="16"/>
  <c r="E372" i="16"/>
  <c r="F372" i="16"/>
  <c r="B373" i="16"/>
  <c r="C373" i="16"/>
  <c r="D373" i="16"/>
  <c r="E373" i="16"/>
  <c r="F373" i="16"/>
  <c r="B374" i="16"/>
  <c r="C374" i="16"/>
  <c r="D374" i="16"/>
  <c r="E374" i="16"/>
  <c r="F374" i="16"/>
  <c r="B375" i="16"/>
  <c r="C375" i="16"/>
  <c r="D375" i="16"/>
  <c r="E375" i="16"/>
  <c r="F375" i="16"/>
  <c r="B376" i="16"/>
  <c r="C376" i="16"/>
  <c r="B377" i="16"/>
  <c r="C377" i="16"/>
  <c r="D207" i="16"/>
  <c r="E207" i="16"/>
  <c r="F207" i="16"/>
  <c r="D208" i="16"/>
  <c r="E208" i="16"/>
  <c r="F208" i="16"/>
  <c r="D209" i="16"/>
  <c r="E209" i="16"/>
  <c r="F209" i="16"/>
  <c r="D210" i="16"/>
  <c r="E210" i="16"/>
  <c r="F210" i="16"/>
  <c r="D211" i="16"/>
  <c r="E211" i="16"/>
  <c r="F211" i="16"/>
  <c r="D212" i="16"/>
  <c r="E212" i="16"/>
  <c r="F212" i="16"/>
  <c r="D213" i="16"/>
  <c r="E213" i="16"/>
  <c r="F213" i="16"/>
  <c r="D214" i="16"/>
  <c r="E214" i="16"/>
  <c r="F214" i="16"/>
  <c r="D215" i="16"/>
  <c r="E215" i="16"/>
  <c r="F215" i="16"/>
  <c r="D216" i="16"/>
  <c r="E216" i="16"/>
  <c r="F216" i="16"/>
  <c r="D217" i="16"/>
  <c r="E217" i="16"/>
  <c r="F217" i="16"/>
  <c r="D218" i="16"/>
  <c r="E218" i="16"/>
  <c r="F218" i="16"/>
  <c r="D219" i="16"/>
  <c r="E219" i="16"/>
  <c r="F219" i="16"/>
  <c r="D220" i="16"/>
  <c r="E220" i="16"/>
  <c r="F220" i="16"/>
  <c r="D221" i="16"/>
  <c r="E221" i="16"/>
  <c r="F221" i="16"/>
  <c r="D222" i="16"/>
  <c r="E222" i="16"/>
  <c r="F222" i="16"/>
  <c r="D223" i="16"/>
  <c r="E223" i="16"/>
  <c r="F223" i="16"/>
  <c r="D224" i="16"/>
  <c r="E224" i="16"/>
  <c r="F224" i="16"/>
  <c r="D225" i="16"/>
  <c r="E225" i="16"/>
  <c r="F225" i="16"/>
  <c r="D226" i="16"/>
  <c r="E226" i="16"/>
  <c r="F226" i="16"/>
  <c r="D227" i="16"/>
  <c r="E227" i="16"/>
  <c r="F227" i="16"/>
  <c r="D228" i="16"/>
  <c r="E228" i="16"/>
  <c r="F228" i="16"/>
  <c r="D229" i="16"/>
  <c r="E229" i="16"/>
  <c r="F229" i="16"/>
  <c r="D230" i="16"/>
  <c r="E230" i="16"/>
  <c r="F230" i="16"/>
  <c r="D231" i="16"/>
  <c r="E231" i="16"/>
  <c r="F231" i="16"/>
  <c r="D232" i="16"/>
  <c r="E232" i="16"/>
  <c r="F232" i="16"/>
  <c r="D233" i="16"/>
  <c r="E233" i="16"/>
  <c r="F233" i="16"/>
  <c r="D234" i="16"/>
  <c r="E234" i="16"/>
  <c r="F234" i="16"/>
  <c r="D235" i="16"/>
  <c r="E235" i="16"/>
  <c r="F235" i="16"/>
  <c r="D236" i="16"/>
  <c r="E236" i="16"/>
  <c r="F236" i="16"/>
  <c r="D237" i="16"/>
  <c r="E237" i="16"/>
  <c r="F237" i="16"/>
  <c r="D238" i="16"/>
  <c r="E238" i="16"/>
  <c r="F238" i="16"/>
  <c r="D239" i="16"/>
  <c r="E239" i="16"/>
  <c r="F239" i="16"/>
  <c r="D240" i="16"/>
  <c r="E240" i="16"/>
  <c r="F240" i="16"/>
  <c r="D241" i="16"/>
  <c r="E241" i="16"/>
  <c r="F241" i="16"/>
  <c r="D242" i="16"/>
  <c r="E242" i="16"/>
  <c r="F242" i="16"/>
  <c r="D243" i="16"/>
  <c r="E243" i="16"/>
  <c r="F243" i="16"/>
  <c r="D244" i="16"/>
  <c r="E244" i="16"/>
  <c r="F244" i="16"/>
  <c r="D245" i="16"/>
  <c r="E245" i="16"/>
  <c r="F245" i="16"/>
  <c r="D246" i="16"/>
  <c r="E246" i="16"/>
  <c r="F246" i="16"/>
  <c r="D247" i="16"/>
  <c r="E247" i="16"/>
  <c r="F247" i="16"/>
  <c r="D248" i="16"/>
  <c r="E248" i="16"/>
  <c r="F248" i="16"/>
  <c r="D249" i="16"/>
  <c r="E249" i="16"/>
  <c r="F249" i="16"/>
  <c r="D250" i="16"/>
  <c r="E250" i="16"/>
  <c r="F250" i="16"/>
  <c r="D251" i="16"/>
  <c r="E251" i="16"/>
  <c r="F251" i="16"/>
  <c r="D252" i="16"/>
  <c r="E252" i="16"/>
  <c r="F252" i="16"/>
  <c r="D253" i="16"/>
  <c r="E253" i="16"/>
  <c r="F253" i="16"/>
  <c r="D254" i="16"/>
  <c r="E254" i="16"/>
  <c r="F254" i="16"/>
  <c r="D255" i="16"/>
  <c r="E255" i="16"/>
  <c r="F255" i="16"/>
  <c r="D256" i="16"/>
  <c r="E256" i="16"/>
  <c r="F256" i="16"/>
  <c r="D257" i="16"/>
  <c r="E257" i="16"/>
  <c r="F257" i="16"/>
  <c r="D258" i="16"/>
  <c r="E258" i="16"/>
  <c r="F258" i="16"/>
  <c r="D259" i="16"/>
  <c r="E259" i="16"/>
  <c r="F259" i="16"/>
  <c r="D260" i="16"/>
  <c r="E260" i="16"/>
  <c r="F260" i="16"/>
  <c r="D261" i="16"/>
  <c r="E261" i="16"/>
  <c r="F261" i="16"/>
  <c r="D262" i="16"/>
  <c r="E262" i="16"/>
  <c r="F262" i="16"/>
  <c r="D263" i="16"/>
  <c r="E263" i="16"/>
  <c r="F263" i="16"/>
  <c r="D264" i="16"/>
  <c r="E264" i="16"/>
  <c r="F264" i="16"/>
  <c r="D265" i="16"/>
  <c r="E265" i="16"/>
  <c r="F265" i="16"/>
  <c r="D266" i="16"/>
  <c r="E266" i="16"/>
  <c r="F266" i="16"/>
  <c r="D267" i="16"/>
  <c r="E267" i="16"/>
  <c r="F267" i="16"/>
  <c r="D268" i="16"/>
  <c r="E268" i="16"/>
  <c r="F268" i="16"/>
  <c r="D269" i="16"/>
  <c r="E269" i="16"/>
  <c r="F269" i="16"/>
  <c r="D270" i="16"/>
  <c r="E270" i="16"/>
  <c r="F270" i="16"/>
  <c r="D271" i="16"/>
  <c r="E271" i="16"/>
  <c r="F271" i="16"/>
  <c r="D272" i="16"/>
  <c r="E272" i="16"/>
  <c r="F272" i="16"/>
  <c r="D273" i="16"/>
  <c r="E273" i="16"/>
  <c r="F273" i="16"/>
  <c r="D274" i="16"/>
  <c r="E274" i="16"/>
  <c r="F274" i="16"/>
  <c r="D275" i="16"/>
  <c r="E275" i="16"/>
  <c r="F275" i="16"/>
  <c r="D276" i="16"/>
  <c r="E276" i="16"/>
  <c r="F276" i="16"/>
  <c r="D277" i="16"/>
  <c r="E277" i="16"/>
  <c r="F277" i="16"/>
  <c r="D278" i="16"/>
  <c r="E278" i="16"/>
  <c r="F278" i="16"/>
  <c r="D279" i="16"/>
  <c r="E279" i="16"/>
  <c r="F279" i="16"/>
  <c r="D280" i="16"/>
  <c r="E280" i="16"/>
  <c r="F280" i="16"/>
  <c r="D281" i="16"/>
  <c r="E281" i="16"/>
  <c r="F281" i="16"/>
  <c r="D282" i="16"/>
  <c r="E282" i="16"/>
  <c r="F282" i="16"/>
  <c r="D283" i="16"/>
  <c r="E283" i="16"/>
  <c r="F283" i="16"/>
  <c r="D284" i="16"/>
  <c r="E284" i="16"/>
  <c r="F284" i="16"/>
  <c r="D285" i="16"/>
  <c r="E285" i="16"/>
  <c r="F285" i="16"/>
  <c r="D286" i="16"/>
  <c r="E286" i="16"/>
  <c r="F286" i="16"/>
  <c r="D287" i="16"/>
  <c r="E287" i="16"/>
  <c r="F287" i="16"/>
  <c r="D288" i="16"/>
  <c r="E288" i="16"/>
  <c r="F288" i="16"/>
  <c r="D289" i="16"/>
  <c r="E289" i="16"/>
  <c r="F289" i="16"/>
  <c r="D290" i="16"/>
  <c r="E290" i="16"/>
  <c r="F290" i="16"/>
  <c r="D291" i="16"/>
  <c r="E291" i="16"/>
  <c r="F291" i="16"/>
  <c r="D292" i="16"/>
  <c r="E292" i="16"/>
  <c r="F292" i="16"/>
  <c r="D293" i="16"/>
  <c r="E293" i="16"/>
  <c r="F293" i="16"/>
  <c r="D294" i="16"/>
  <c r="E294" i="16"/>
  <c r="F294" i="16"/>
  <c r="D295" i="16"/>
  <c r="E295" i="16"/>
  <c r="F295" i="16"/>
  <c r="D296" i="16"/>
  <c r="E296" i="16"/>
  <c r="F296" i="16"/>
  <c r="D297" i="16"/>
  <c r="E297" i="16"/>
  <c r="F297" i="16"/>
  <c r="D298" i="16"/>
  <c r="E298" i="16"/>
  <c r="F298" i="16"/>
  <c r="D299" i="16"/>
  <c r="E299" i="16"/>
  <c r="F299" i="16"/>
  <c r="D300" i="16"/>
  <c r="E300" i="16"/>
  <c r="F300" i="16"/>
  <c r="D301" i="16"/>
  <c r="E301" i="16"/>
  <c r="F301" i="16"/>
  <c r="D302" i="16"/>
  <c r="E302" i="16"/>
  <c r="F302" i="16"/>
  <c r="D303" i="16"/>
  <c r="E303" i="16"/>
  <c r="F303" i="16"/>
  <c r="D304" i="16"/>
  <c r="E304" i="16"/>
  <c r="F304" i="16"/>
  <c r="D305" i="16"/>
  <c r="E305" i="16"/>
  <c r="F305" i="16"/>
  <c r="D306" i="16"/>
  <c r="E306" i="16"/>
  <c r="F306" i="16"/>
  <c r="D307" i="16"/>
  <c r="E307" i="16"/>
  <c r="F307" i="16"/>
  <c r="D308" i="16"/>
  <c r="E308" i="16"/>
  <c r="F308" i="16"/>
  <c r="D309" i="16"/>
  <c r="E309" i="16"/>
  <c r="F309" i="16"/>
  <c r="D310" i="16"/>
  <c r="E310" i="16"/>
  <c r="F310" i="16"/>
  <c r="D311" i="16"/>
  <c r="E311" i="16"/>
  <c r="F311" i="16"/>
  <c r="D312" i="16"/>
  <c r="E312" i="16"/>
  <c r="F312" i="16"/>
  <c r="D313" i="16"/>
  <c r="E313" i="16"/>
  <c r="F313" i="16"/>
  <c r="D314" i="16"/>
  <c r="E314" i="16"/>
  <c r="F314" i="16"/>
  <c r="D315" i="16"/>
  <c r="E315" i="16"/>
  <c r="F315" i="16"/>
  <c r="D316" i="16"/>
  <c r="E316" i="16"/>
  <c r="F316" i="16"/>
  <c r="D317" i="16"/>
  <c r="E317" i="16"/>
  <c r="F317" i="16"/>
  <c r="D318" i="16"/>
  <c r="E318" i="16"/>
  <c r="F318" i="16"/>
  <c r="D319" i="16"/>
  <c r="E319" i="16"/>
  <c r="F319" i="16"/>
  <c r="D320" i="16"/>
  <c r="E320" i="16"/>
  <c r="F320" i="16"/>
  <c r="D321" i="16"/>
  <c r="E321" i="16"/>
  <c r="F321" i="16"/>
  <c r="D322" i="16"/>
  <c r="E322" i="16"/>
  <c r="F322" i="16"/>
  <c r="D323" i="16"/>
  <c r="E323" i="16"/>
  <c r="F323" i="16"/>
  <c r="D324" i="16"/>
  <c r="E324" i="16"/>
  <c r="F324" i="16"/>
  <c r="D325" i="16"/>
  <c r="E325" i="16"/>
  <c r="F325" i="16"/>
  <c r="D326" i="16"/>
  <c r="E326" i="16"/>
  <c r="F326" i="16"/>
  <c r="D327" i="16"/>
  <c r="E327" i="16"/>
  <c r="F327" i="16"/>
  <c r="D328" i="16"/>
  <c r="E328" i="16"/>
  <c r="F328" i="16"/>
  <c r="D329" i="16"/>
  <c r="E329" i="16"/>
  <c r="F329" i="16"/>
  <c r="D330" i="16"/>
  <c r="E330" i="16"/>
  <c r="F330" i="16"/>
  <c r="D331" i="16"/>
  <c r="E331" i="16"/>
  <c r="F331" i="16"/>
  <c r="D332" i="16"/>
  <c r="E332" i="16"/>
  <c r="F332" i="16"/>
  <c r="D333" i="16"/>
  <c r="E333" i="16"/>
  <c r="F333" i="16"/>
  <c r="D334" i="16"/>
  <c r="E334" i="16"/>
  <c r="F334" i="16"/>
  <c r="D335" i="16"/>
  <c r="E335" i="16"/>
  <c r="F335" i="16"/>
  <c r="D336" i="16"/>
  <c r="E336" i="16"/>
  <c r="F336" i="16"/>
  <c r="D337" i="16"/>
  <c r="E337" i="16"/>
  <c r="F337" i="16"/>
  <c r="D338" i="16"/>
  <c r="E338" i="16"/>
  <c r="F338" i="16"/>
  <c r="D339" i="16"/>
  <c r="E339" i="16"/>
  <c r="F339" i="16"/>
  <c r="D340" i="16"/>
  <c r="E340" i="16"/>
  <c r="F340" i="16"/>
  <c r="D341" i="16"/>
  <c r="E341" i="16"/>
  <c r="F341" i="16"/>
  <c r="D342" i="16"/>
  <c r="E342" i="16"/>
  <c r="F342" i="16"/>
  <c r="D343" i="16"/>
  <c r="E343" i="16"/>
  <c r="F343" i="16"/>
  <c r="D344" i="16"/>
  <c r="E344" i="16"/>
  <c r="F344" i="16"/>
  <c r="D345" i="16"/>
  <c r="E345" i="16"/>
  <c r="F345" i="16"/>
  <c r="D346" i="16"/>
  <c r="E346" i="16"/>
  <c r="F346" i="16"/>
  <c r="D347" i="16"/>
  <c r="E347" i="16"/>
  <c r="F347" i="16"/>
  <c r="D348" i="16"/>
  <c r="E348" i="16"/>
  <c r="F348" i="16"/>
  <c r="D349" i="16"/>
  <c r="E349" i="16"/>
  <c r="F349" i="16"/>
  <c r="D350" i="16"/>
  <c r="E350" i="16"/>
  <c r="F350" i="16"/>
  <c r="D351" i="16"/>
  <c r="E351" i="16"/>
  <c r="F351" i="16"/>
  <c r="D352" i="16"/>
  <c r="E352" i="16"/>
  <c r="F352" i="16"/>
  <c r="D353" i="16"/>
  <c r="E353" i="16"/>
  <c r="F353" i="16"/>
  <c r="D354" i="16"/>
  <c r="E354" i="16"/>
  <c r="F354" i="16"/>
  <c r="D355" i="16"/>
  <c r="E355" i="16"/>
  <c r="F355" i="16"/>
  <c r="D356" i="16"/>
  <c r="E356" i="16"/>
  <c r="F356" i="16"/>
  <c r="D357" i="16"/>
  <c r="E357" i="16"/>
  <c r="F357" i="16"/>
  <c r="D358" i="16"/>
  <c r="E358" i="16"/>
  <c r="F358" i="16"/>
  <c r="D359" i="16"/>
  <c r="E359" i="16"/>
  <c r="F359" i="16"/>
  <c r="D360" i="16"/>
  <c r="E360" i="16"/>
  <c r="F360" i="16"/>
  <c r="D361" i="16"/>
  <c r="E361" i="16"/>
  <c r="F361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2" i="16"/>
  <c r="G3" i="15" l="1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2" i="15"/>
  <c r="B362" i="13" l="1"/>
  <c r="C362" i="13"/>
  <c r="D362" i="13"/>
  <c r="E362" i="13"/>
  <c r="F362" i="13"/>
  <c r="G362" i="13"/>
  <c r="I362" i="13"/>
  <c r="B363" i="13"/>
  <c r="C363" i="13"/>
  <c r="D363" i="13"/>
  <c r="E363" i="13"/>
  <c r="F363" i="13"/>
  <c r="G363" i="13"/>
  <c r="I363" i="13"/>
  <c r="B364" i="13"/>
  <c r="C364" i="13"/>
  <c r="D364" i="13"/>
  <c r="E364" i="13"/>
  <c r="F364" i="13"/>
  <c r="G364" i="13"/>
  <c r="I364" i="13"/>
  <c r="B365" i="13"/>
  <c r="C365" i="13"/>
  <c r="D365" i="13"/>
  <c r="E365" i="13"/>
  <c r="F365" i="13"/>
  <c r="G365" i="13"/>
  <c r="I365" i="13"/>
  <c r="B366" i="13"/>
  <c r="C366" i="13"/>
  <c r="D366" i="13"/>
  <c r="E366" i="13"/>
  <c r="F366" i="13"/>
  <c r="G366" i="13"/>
  <c r="I366" i="13"/>
  <c r="B367" i="13"/>
  <c r="C367" i="13"/>
  <c r="D367" i="13"/>
  <c r="E367" i="13"/>
  <c r="F367" i="13"/>
  <c r="G367" i="13"/>
  <c r="I367" i="13"/>
  <c r="B368" i="13"/>
  <c r="C368" i="13"/>
  <c r="D368" i="13"/>
  <c r="E368" i="13"/>
  <c r="F368" i="13"/>
  <c r="G368" i="13"/>
  <c r="I368" i="13"/>
  <c r="B369" i="13"/>
  <c r="C369" i="13"/>
  <c r="D369" i="13"/>
  <c r="E369" i="13"/>
  <c r="F369" i="13"/>
  <c r="G369" i="13"/>
  <c r="I369" i="13"/>
  <c r="B370" i="13"/>
  <c r="C370" i="13"/>
  <c r="D370" i="13"/>
  <c r="E370" i="13"/>
  <c r="F370" i="13"/>
  <c r="G370" i="13"/>
  <c r="I370" i="13"/>
  <c r="B371" i="13"/>
  <c r="C371" i="13"/>
  <c r="D371" i="13"/>
  <c r="E371" i="13"/>
  <c r="F371" i="13"/>
  <c r="G371" i="13"/>
  <c r="I371" i="13"/>
  <c r="B372" i="13"/>
  <c r="C372" i="13"/>
  <c r="D372" i="13"/>
  <c r="E372" i="13"/>
  <c r="F372" i="13"/>
  <c r="G372" i="13"/>
  <c r="I372" i="13"/>
  <c r="B373" i="13"/>
  <c r="C373" i="13"/>
  <c r="D373" i="13"/>
  <c r="E373" i="13"/>
  <c r="F373" i="13"/>
  <c r="G373" i="13"/>
  <c r="I373" i="13"/>
  <c r="B374" i="13"/>
  <c r="C374" i="13"/>
  <c r="D374" i="13"/>
  <c r="E374" i="13"/>
  <c r="F374" i="13"/>
  <c r="G374" i="13"/>
  <c r="I374" i="13"/>
  <c r="B375" i="13"/>
  <c r="C375" i="13"/>
  <c r="D375" i="13"/>
  <c r="E375" i="13"/>
  <c r="F375" i="13"/>
  <c r="G375" i="13"/>
  <c r="B376" i="13"/>
  <c r="C376" i="13"/>
  <c r="D376" i="13"/>
  <c r="E376" i="13"/>
  <c r="F376" i="13"/>
  <c r="G376" i="13"/>
  <c r="B377" i="13"/>
  <c r="C377" i="13"/>
  <c r="D377" i="13"/>
  <c r="E377" i="13"/>
  <c r="F377" i="13"/>
  <c r="G377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2" i="13"/>
  <c r="G15" i="13" l="1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14" i="13"/>
  <c r="B350" i="14"/>
  <c r="C350" i="14"/>
  <c r="E350" i="14" s="1"/>
  <c r="D350" i="14"/>
  <c r="B351" i="14"/>
  <c r="C351" i="14"/>
  <c r="D351" i="14"/>
  <c r="E351" i="14" s="1"/>
  <c r="B352" i="14"/>
  <c r="C352" i="14"/>
  <c r="D352" i="14"/>
  <c r="E352" i="14"/>
  <c r="B353" i="14"/>
  <c r="C353" i="14"/>
  <c r="D353" i="14"/>
  <c r="E353" i="14"/>
  <c r="B354" i="14"/>
  <c r="C354" i="14"/>
  <c r="E354" i="14" s="1"/>
  <c r="D354" i="14"/>
  <c r="B355" i="14"/>
  <c r="C355" i="14"/>
  <c r="D355" i="14"/>
  <c r="E355" i="14"/>
  <c r="B356" i="14"/>
  <c r="C356" i="14"/>
  <c r="D356" i="14"/>
  <c r="E356" i="14"/>
  <c r="B357" i="14"/>
  <c r="C357" i="14"/>
  <c r="D357" i="14"/>
  <c r="E357" i="14"/>
  <c r="B358" i="14"/>
  <c r="C358" i="14"/>
  <c r="E358" i="14" s="1"/>
  <c r="D358" i="14"/>
  <c r="B359" i="14"/>
  <c r="C359" i="14"/>
  <c r="D359" i="14"/>
  <c r="E359" i="14"/>
  <c r="B360" i="14"/>
  <c r="C360" i="14"/>
  <c r="D360" i="14"/>
  <c r="E360" i="14"/>
  <c r="B361" i="14"/>
  <c r="C361" i="14"/>
  <c r="D361" i="14"/>
  <c r="E361" i="14"/>
  <c r="B362" i="14"/>
  <c r="C362" i="14"/>
  <c r="E362" i="14" s="1"/>
  <c r="D362" i="14"/>
  <c r="B363" i="14"/>
  <c r="C363" i="14"/>
  <c r="D363" i="14"/>
  <c r="E363" i="14"/>
  <c r="B364" i="14"/>
  <c r="C364" i="14"/>
  <c r="D364" i="14"/>
  <c r="E364" i="14"/>
  <c r="B365" i="14"/>
  <c r="C365" i="14"/>
  <c r="D365" i="14"/>
  <c r="E365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2" i="14"/>
  <c r="C350" i="2" l="1"/>
  <c r="E350" i="2"/>
  <c r="F350" i="2"/>
  <c r="C351" i="2"/>
  <c r="E351" i="2"/>
  <c r="F351" i="2"/>
  <c r="C352" i="2"/>
  <c r="E352" i="2"/>
  <c r="F352" i="2"/>
  <c r="C353" i="2"/>
  <c r="E353" i="2"/>
  <c r="F353" i="2"/>
  <c r="C354" i="2"/>
  <c r="E354" i="2"/>
  <c r="F354" i="2"/>
  <c r="C355" i="2"/>
  <c r="E355" i="2"/>
  <c r="F355" i="2"/>
  <c r="C356" i="2"/>
  <c r="E356" i="2"/>
  <c r="F356" i="2"/>
  <c r="C357" i="2"/>
  <c r="D357" i="2" s="1"/>
  <c r="E357" i="2"/>
  <c r="F357" i="2"/>
  <c r="C358" i="2"/>
  <c r="D358" i="2"/>
  <c r="E358" i="2"/>
  <c r="F358" i="2"/>
  <c r="C359" i="2"/>
  <c r="E359" i="2"/>
  <c r="F359" i="2"/>
  <c r="C360" i="2"/>
  <c r="E360" i="2"/>
  <c r="F360" i="2"/>
  <c r="C361" i="2"/>
  <c r="E361" i="2"/>
  <c r="F361" i="2"/>
  <c r="C362" i="2"/>
  <c r="E362" i="2"/>
  <c r="F362" i="2"/>
  <c r="C363" i="2"/>
  <c r="E363" i="2"/>
  <c r="F363" i="2"/>
  <c r="C364" i="2"/>
  <c r="E364" i="2"/>
  <c r="F364" i="2"/>
  <c r="C365" i="2"/>
  <c r="E365" i="2"/>
  <c r="F36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2" i="2"/>
  <c r="B350" i="2"/>
  <c r="D350" i="2" s="1"/>
  <c r="B351" i="2"/>
  <c r="D351" i="2" s="1"/>
  <c r="B352" i="2"/>
  <c r="D352" i="2" s="1"/>
  <c r="B353" i="2"/>
  <c r="D353" i="2" s="1"/>
  <c r="B354" i="2"/>
  <c r="B355" i="2"/>
  <c r="D355" i="2" s="1"/>
  <c r="B356" i="2"/>
  <c r="D356" i="2" s="1"/>
  <c r="B357" i="2"/>
  <c r="B358" i="2"/>
  <c r="B359" i="2"/>
  <c r="B360" i="2"/>
  <c r="D360" i="2" s="1"/>
  <c r="B361" i="2"/>
  <c r="D361" i="2" s="1"/>
  <c r="B362" i="2"/>
  <c r="D362" i="2" s="1"/>
  <c r="B363" i="2"/>
  <c r="B364" i="2"/>
  <c r="D364" i="2" s="1"/>
  <c r="B365" i="2"/>
  <c r="D365" i="2" s="1"/>
  <c r="C350" i="12"/>
  <c r="D350" i="12"/>
  <c r="E350" i="12"/>
  <c r="F350" i="12"/>
  <c r="G350" i="12"/>
  <c r="H350" i="12"/>
  <c r="I350" i="12"/>
  <c r="J350" i="12"/>
  <c r="C351" i="12"/>
  <c r="D351" i="12"/>
  <c r="E351" i="12"/>
  <c r="F351" i="12"/>
  <c r="G351" i="12"/>
  <c r="H351" i="12"/>
  <c r="I351" i="12"/>
  <c r="J351" i="12"/>
  <c r="C352" i="12"/>
  <c r="D352" i="12"/>
  <c r="E352" i="12"/>
  <c r="F352" i="12"/>
  <c r="G352" i="12"/>
  <c r="H352" i="12"/>
  <c r="I352" i="12"/>
  <c r="J352" i="12"/>
  <c r="C353" i="12"/>
  <c r="D353" i="12"/>
  <c r="E353" i="12"/>
  <c r="F353" i="12"/>
  <c r="G353" i="12"/>
  <c r="H353" i="12"/>
  <c r="I353" i="12"/>
  <c r="J353" i="12"/>
  <c r="C354" i="12"/>
  <c r="D354" i="12"/>
  <c r="E354" i="12"/>
  <c r="F354" i="12"/>
  <c r="G354" i="12"/>
  <c r="H354" i="12"/>
  <c r="I354" i="12"/>
  <c r="J354" i="12"/>
  <c r="C355" i="12"/>
  <c r="D355" i="12"/>
  <c r="E355" i="12"/>
  <c r="F355" i="12"/>
  <c r="G355" i="12"/>
  <c r="H355" i="12"/>
  <c r="I355" i="12"/>
  <c r="J355" i="12"/>
  <c r="C356" i="12"/>
  <c r="D356" i="12"/>
  <c r="E356" i="12"/>
  <c r="F356" i="12"/>
  <c r="G356" i="12"/>
  <c r="H356" i="12"/>
  <c r="I356" i="12"/>
  <c r="J356" i="12"/>
  <c r="C357" i="12"/>
  <c r="D357" i="12"/>
  <c r="E357" i="12"/>
  <c r="F357" i="12"/>
  <c r="G357" i="12"/>
  <c r="H357" i="12"/>
  <c r="I357" i="12"/>
  <c r="J357" i="12"/>
  <c r="C358" i="12"/>
  <c r="D358" i="12"/>
  <c r="E358" i="12"/>
  <c r="F358" i="12"/>
  <c r="G358" i="12"/>
  <c r="H358" i="12"/>
  <c r="I358" i="12"/>
  <c r="J358" i="12"/>
  <c r="C359" i="12"/>
  <c r="D359" i="12"/>
  <c r="E359" i="12"/>
  <c r="F359" i="12"/>
  <c r="G359" i="12"/>
  <c r="H359" i="12"/>
  <c r="I359" i="12"/>
  <c r="J359" i="12"/>
  <c r="C360" i="12"/>
  <c r="D360" i="12"/>
  <c r="E360" i="12"/>
  <c r="F360" i="12"/>
  <c r="G360" i="12"/>
  <c r="H360" i="12"/>
  <c r="I360" i="12"/>
  <c r="J360" i="12"/>
  <c r="C361" i="12"/>
  <c r="D361" i="12"/>
  <c r="E361" i="12"/>
  <c r="F361" i="12"/>
  <c r="G361" i="12"/>
  <c r="H361" i="12"/>
  <c r="I361" i="12"/>
  <c r="J361" i="12"/>
  <c r="C362" i="12"/>
  <c r="D362" i="12"/>
  <c r="E362" i="12"/>
  <c r="F362" i="12"/>
  <c r="G362" i="12"/>
  <c r="H362" i="12"/>
  <c r="I362" i="12"/>
  <c r="J362" i="12"/>
  <c r="C363" i="12"/>
  <c r="D363" i="12"/>
  <c r="E363" i="12"/>
  <c r="F363" i="12"/>
  <c r="G363" i="12"/>
  <c r="H363" i="12"/>
  <c r="I363" i="12"/>
  <c r="J363" i="12"/>
  <c r="C364" i="12"/>
  <c r="D364" i="12"/>
  <c r="E364" i="12"/>
  <c r="F364" i="12"/>
  <c r="G364" i="12"/>
  <c r="H364" i="12"/>
  <c r="I364" i="12"/>
  <c r="J364" i="12"/>
  <c r="C365" i="12"/>
  <c r="D365" i="12"/>
  <c r="E365" i="12"/>
  <c r="F365" i="12"/>
  <c r="G365" i="12"/>
  <c r="H365" i="12"/>
  <c r="I365" i="12"/>
  <c r="J365" i="1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2" i="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2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2" i="12"/>
  <c r="D354" i="2" l="1"/>
  <c r="D363" i="2"/>
  <c r="D359" i="2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2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49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2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2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2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2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2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2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50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" i="11"/>
  <c r="C2" i="11"/>
  <c r="B350" i="11"/>
  <c r="B351" i="11"/>
  <c r="B352" i="11"/>
  <c r="B353" i="11"/>
  <c r="D353" i="11" s="1"/>
  <c r="B354" i="11"/>
  <c r="D354" i="11" s="1"/>
  <c r="B355" i="11"/>
  <c r="D355" i="11" s="1"/>
  <c r="B356" i="11"/>
  <c r="B357" i="11"/>
  <c r="D357" i="11" s="1"/>
  <c r="B358" i="11"/>
  <c r="D358" i="11" s="1"/>
  <c r="B359" i="11"/>
  <c r="B360" i="11"/>
  <c r="B361" i="11"/>
  <c r="B362" i="11"/>
  <c r="B363" i="11"/>
  <c r="D363" i="11" s="1"/>
  <c r="B364" i="11"/>
  <c r="D364" i="11" s="1"/>
  <c r="B365" i="11"/>
  <c r="D365" i="11" s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D301" i="11" s="1"/>
  <c r="B302" i="11"/>
  <c r="B303" i="11"/>
  <c r="B304" i="11"/>
  <c r="D304" i="11" s="1"/>
  <c r="B305" i="11"/>
  <c r="D305" i="11" s="1"/>
  <c r="B306" i="11"/>
  <c r="D306" i="11" s="1"/>
  <c r="B307" i="11"/>
  <c r="D307" i="11" s="1"/>
  <c r="B308" i="11"/>
  <c r="D308" i="11" s="1"/>
  <c r="B309" i="11"/>
  <c r="B310" i="11"/>
  <c r="D310" i="11" s="1"/>
  <c r="B311" i="11"/>
  <c r="D311" i="11" s="1"/>
  <c r="B312" i="11"/>
  <c r="D312" i="11" s="1"/>
  <c r="B313" i="11"/>
  <c r="B314" i="11"/>
  <c r="D314" i="11" s="1"/>
  <c r="B315" i="11"/>
  <c r="D315" i="11" s="1"/>
  <c r="B316" i="11"/>
  <c r="B317" i="11"/>
  <c r="B318" i="11"/>
  <c r="B319" i="11"/>
  <c r="B320" i="11"/>
  <c r="B321" i="11"/>
  <c r="B322" i="11"/>
  <c r="B323" i="11"/>
  <c r="B324" i="11"/>
  <c r="D324" i="11" s="1"/>
  <c r="B325" i="11"/>
  <c r="D325" i="11" s="1"/>
  <c r="B326" i="11"/>
  <c r="D326" i="11" s="1"/>
  <c r="B327" i="11"/>
  <c r="D327" i="11" s="1"/>
  <c r="B328" i="11"/>
  <c r="D328" i="11" s="1"/>
  <c r="B329" i="11"/>
  <c r="B330" i="11"/>
  <c r="D330" i="11" s="1"/>
  <c r="B331" i="11"/>
  <c r="D331" i="11" s="1"/>
  <c r="B332" i="11"/>
  <c r="B333" i="11"/>
  <c r="B334" i="11"/>
  <c r="B335" i="11"/>
  <c r="B336" i="11"/>
  <c r="D336" i="11" s="1"/>
  <c r="B337" i="11"/>
  <c r="D337" i="11" s="1"/>
  <c r="B338" i="11"/>
  <c r="D338" i="11" s="1"/>
  <c r="B339" i="11"/>
  <c r="D339" i="11" s="1"/>
  <c r="B340" i="11"/>
  <c r="D340" i="11" s="1"/>
  <c r="B341" i="11"/>
  <c r="B342" i="11"/>
  <c r="B343" i="11"/>
  <c r="B344" i="11"/>
  <c r="B345" i="11"/>
  <c r="B346" i="11"/>
  <c r="B347" i="11"/>
  <c r="D347" i="11" s="1"/>
  <c r="B348" i="11"/>
  <c r="D348" i="11" s="1"/>
  <c r="B349" i="11"/>
  <c r="D349" i="11" s="1"/>
  <c r="B2" i="11"/>
  <c r="D334" i="11" l="1"/>
  <c r="D302" i="11"/>
  <c r="D361" i="11"/>
  <c r="D335" i="11"/>
  <c r="D333" i="11"/>
  <c r="D317" i="11"/>
  <c r="D360" i="11"/>
  <c r="D332" i="11"/>
  <c r="D359" i="11"/>
  <c r="D362" i="11"/>
  <c r="D329" i="11"/>
  <c r="D313" i="11"/>
  <c r="D356" i="11"/>
  <c r="D303" i="11"/>
  <c r="D352" i="11"/>
  <c r="D309" i="11"/>
  <c r="D341" i="11"/>
  <c r="D316" i="11"/>
  <c r="D351" i="11"/>
  <c r="D323" i="11"/>
  <c r="D350" i="11"/>
  <c r="D346" i="11"/>
  <c r="D322" i="11"/>
  <c r="D345" i="11"/>
  <c r="D321" i="11"/>
  <c r="D320" i="11"/>
  <c r="D344" i="11"/>
  <c r="D319" i="11"/>
  <c r="D343" i="11"/>
  <c r="D342" i="11"/>
  <c r="D318" i="1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2" i="2"/>
  <c r="F206" i="16" l="1"/>
  <c r="E206" i="16"/>
  <c r="D206" i="16"/>
  <c r="E349" i="14"/>
  <c r="E348" i="14"/>
  <c r="E347" i="14"/>
  <c r="E346" i="14"/>
  <c r="E345" i="14"/>
  <c r="E344" i="14"/>
  <c r="E343" i="14"/>
  <c r="E342" i="14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C8FFC45F-7130-461C-ACF9-3A113009A3A6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C1" authorId="0" shapeId="0" xr:uid="{88BFB49E-E1EA-49DD-AE77-E08BB1A884FF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D1" authorId="0" shapeId="0" xr:uid="{4EB788C1-E592-4A6B-995B-68EE13910203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E1" authorId="0" shapeId="0" xr:uid="{8B554A4D-DB2F-4BB2-9AF4-949424E0AECB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F1" authorId="0" shapeId="0" xr:uid="{79B93F08-E4C1-4F2D-916B-A1C1639B9834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G1" authorId="0" shapeId="0" xr:uid="{92DC2852-5B25-4109-9418-ABBCD2153D63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H1" authorId="0" shapeId="0" xr:uid="{AB27AA19-94C4-4E60-B8F8-F6AD8432050A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I1" authorId="0" shapeId="0" xr:uid="{A3689401-FCA4-4B6E-A0E8-EE20493AB3FE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J1" authorId="0" shapeId="0" xr:uid="{6B12F4FA-111C-4DA8-9E40-48250A1655C1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  <author>נויה שינדלר</author>
    <author>רחלי דניאל</author>
    <author>טטיאנה סלובודניצקי</author>
    <author>אליה פיקאר</author>
  </authors>
  <commentList>
    <comment ref="B1" authorId="0" shapeId="0" xr:uid="{D2AC5497-65CC-47F8-A12C-596BA147B0B6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C1" authorId="0" shapeId="0" xr:uid="{7F49B24D-604F-4DC2-A0FE-9837C520BD70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D1" authorId="0" shapeId="0" xr:uid="{DD6039E4-297D-4D65-BB4E-05A67B8328CC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מחושב מסים עקיפים</t>
        </r>
      </text>
    </comment>
    <comment ref="E1" authorId="1" shapeId="0" xr:uid="{8D7E2CCE-7E05-4138-B3E4-A20541899619}">
      <text>
        <r>
          <rPr>
            <b/>
            <sz val="9"/>
            <color indexed="81"/>
            <rFont val="Tahoma"/>
            <family val="2"/>
          </rPr>
          <t>נויה שינדלר:</t>
        </r>
        <r>
          <rPr>
            <sz val="9"/>
            <color indexed="81"/>
            <rFont val="Tahoma"/>
            <family val="2"/>
          </rPr>
          <t xml:space="preserve">
בדוח מרשות המסים סעיף זה נקרא מס קניה אחר</t>
        </r>
      </text>
    </comment>
    <comment ref="F1" authorId="0" shapeId="0" xr:uid="{6D4AF160-894B-4144-AE23-FDBDB5091EC9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B258" authorId="2" shapeId="0" xr:uid="{E2E2B5B0-7C39-4303-8046-4948F35E10D6}">
      <text>
        <r>
          <rPr>
            <b/>
            <sz val="8"/>
            <color indexed="81"/>
            <rFont val="Tahoma"/>
            <family val="2"/>
          </rPr>
          <t>רחלי דניאל:</t>
        </r>
        <r>
          <rPr>
            <sz val="8"/>
            <color indexed="81"/>
            <rFont val="Tahoma"/>
            <family val="2"/>
          </rPr>
          <t xml:space="preserve">
הורדנו 162 מיליון בעקבות טעות של סיגלית (הוסיפה פעמיים)</t>
        </r>
      </text>
    </comment>
    <comment ref="B259" authorId="2" shapeId="0" xr:uid="{FC7C2135-5C2F-4697-A8AE-D9761CF0AE65}">
      <text>
        <r>
          <rPr>
            <b/>
            <sz val="8"/>
            <color indexed="81"/>
            <rFont val="Tahoma"/>
            <family val="2"/>
          </rPr>
          <t>רחלי דניאל:</t>
        </r>
        <r>
          <rPr>
            <sz val="8"/>
            <color indexed="81"/>
            <rFont val="Tahoma"/>
            <family val="2"/>
          </rPr>
          <t xml:space="preserve">
הורדנו 204 מיליון בעקבות טעות של סיגלית (הוסיפה פעמיים)</t>
        </r>
      </text>
    </comment>
    <comment ref="C294" authorId="3" shapeId="0" xr:uid="{2B3A5CFC-7464-4FA8-AE2A-568F307EA99F}">
      <text>
        <r>
          <rPr>
            <b/>
            <sz val="9"/>
            <color indexed="81"/>
            <rFont val="Tahoma"/>
            <family val="2"/>
          </rPr>
          <t>טטיאנה סלובודניצקי:</t>
        </r>
        <r>
          <rPr>
            <sz val="9"/>
            <color indexed="81"/>
            <rFont val="Tahoma"/>
            <family val="2"/>
          </rPr>
          <t xml:space="preserve">
150 החזר לרשפ שלא נקלט (אמדן רשות המסים)</t>
        </r>
      </text>
    </comment>
    <comment ref="C295" authorId="3" shapeId="0" xr:uid="{C9DA81C8-9925-4B71-8A05-5C211C9265B2}">
      <text>
        <r>
          <rPr>
            <b/>
            <sz val="9"/>
            <color indexed="81"/>
            <rFont val="Tahoma"/>
            <family val="2"/>
          </rPr>
          <t>טטיאנה סלובודניצקי:</t>
        </r>
        <r>
          <rPr>
            <sz val="9"/>
            <color indexed="81"/>
            <rFont val="Tahoma"/>
            <family val="2"/>
          </rPr>
          <t xml:space="preserve">
150החזר לרשפ שלא נקלט (אמדן רשות המסים)</t>
        </r>
      </text>
    </comment>
    <comment ref="C296" authorId="4" shapeId="0" xr:uid="{968E3039-7D24-4A66-B48D-38BEA50A00C9}">
      <text>
        <r>
          <rPr>
            <b/>
            <sz val="9"/>
            <color indexed="81"/>
            <rFont val="Tahoma"/>
            <family val="2"/>
          </rPr>
          <t>אליה פיקאר:</t>
        </r>
        <r>
          <rPr>
            <sz val="9"/>
            <color indexed="81"/>
            <rFont val="Tahoma"/>
            <family val="2"/>
          </rPr>
          <t xml:space="preserve">
150 החזר רשפ שלא נקלט לאומדנים של רשות המיסים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BF18C58E-8515-4F79-BF14-B698D38B0B1E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C1" authorId="0" shapeId="0" xr:uid="{ACDDFE66-2550-4CC1-A28F-F64C71D7EEF2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D1" authorId="0" shapeId="0" xr:uid="{64201842-4BCD-44EB-8C0A-618BCC907B56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E1" authorId="0" shapeId="0" xr:uid="{3E062BB9-81C7-45FC-A837-407AB5906E0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7EF36667-03A8-4116-8C9A-2BB1AECAAAE1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C1" authorId="0" shapeId="0" xr:uid="{4C208D4A-0FC7-4663-8C30-3FD89CCB299B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D1" authorId="0" shapeId="0" xr:uid="{FA646347-1D65-4460-BF5E-50C4B53D4CED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E1" authorId="0" shapeId="0" xr:uid="{37DC1FC0-530F-4CF5-91E7-6D1D94A65AC9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F1" authorId="0" shapeId="0" xr:uid="{F3F12B84-0C0E-4A6B-8289-C7C2A19AC695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G1" authorId="0" shapeId="0" xr:uid="{DF2DB158-9393-4BC2-8B18-6D99E0ABB0EB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H1" authorId="0" shapeId="0" xr:uid="{1E58AF81-01CA-4840-8057-98F5A285FE36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קובץ משרד האוצר</t>
        </r>
      </text>
    </comment>
    <comment ref="I1" authorId="0" shapeId="0" xr:uid="{A6BA53FE-D304-49F1-AB55-00B298BECA73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קובץ משרד האוצר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324D534E-3FFC-462C-BDD0-49A6B608A3E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C1" authorId="0" shapeId="0" xr:uid="{B8D39166-E838-49BB-A1FF-50E9A3564D85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MDD13_LEVEL_M.M.CSEI._T._Z.Y.I23_L
</t>
        </r>
      </text>
    </comment>
    <comment ref="D1" authorId="0" shapeId="0" xr:uid="{F1E4EB38-335A-4768-8E27-FB2356BEECA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MDD13_LVL_CC_M.M.CSEI.CC._Z.Y.I23_L</t>
        </r>
      </text>
    </comment>
    <comment ref="E1" authorId="0" shapeId="0" xr:uid="{1AFD0BDE-C0DE-4E5C-8E63-6144C78DBB4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BI_REVENUE_ST_M_FP_SA.M.Y.G_to_S_xO.Q_2011.CHN_1</t>
        </r>
      </text>
    </comment>
    <comment ref="F1" authorId="0" shapeId="0" xr:uid="{56689DBD-C547-4D7D-A82C-AA9555D6DAF8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MDD13_TPR_M.M.CSEI.SECT_IND_TPR_C._Z.Y.I23_L</t>
        </r>
      </text>
    </comment>
    <comment ref="G1" authorId="0" shapeId="0" xr:uid="{2C63016F-15CB-4EDF-9FF6-DBD173507AD7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FD41ECB6-253F-4177-8210-0D98A00692F5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RW_M_SA.WG.WG1.M.Y._Z._Z._Z.ILS.INC_FRN_PLS._T._Z._Z._Z._X._Z._T._T._T._Z.Q_2011</t>
        </r>
      </text>
    </comment>
    <comment ref="C1" authorId="0" shapeId="0" xr:uid="{A4FC4711-E16B-4CAC-BFBC-997D1261EE3D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EP_M_SA.EP.EP1.M.Y._Z._Z._Z.NBRE.INC_FRN_PLS._T._Z._Z._Z._X._Z._T._T._T._Z._Z</t>
        </r>
      </text>
    </comment>
    <comment ref="D1" authorId="0" shapeId="0" xr:uid="{2D905C58-C3DD-4B12-B697-EC42A8E23BCF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E1" authorId="0" shapeId="0" xr:uid="{DCA78CD1-FCC8-44E6-9B21-7BAD912D081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F1" authorId="0" shapeId="0" xr:uid="{511C4D0A-84E6-4636-AE8B-F82F3DB3CD9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גל כץ</author>
    <author>Elad Benjo</author>
  </authors>
  <commentList>
    <comment ref="B1" authorId="0" shapeId="0" xr:uid="{54F9A96B-9A6F-48D4-B58C-385769E2DE76}">
      <text>
        <r>
          <rPr>
            <b/>
            <sz val="9"/>
            <color indexed="81"/>
            <rFont val="Tahoma"/>
            <charset val="177"/>
          </rPr>
          <t>גל כץ:</t>
        </r>
        <r>
          <rPr>
            <sz val="9"/>
            <color indexed="81"/>
            <rFont val="Tahoma"/>
            <charset val="177"/>
          </rPr>
          <t xml:space="preserve">
RER_ILS_BSK_IDX:M:ILT_L:ILS:I_DEC09_L:ERC0</t>
        </r>
      </text>
    </comment>
    <comment ref="D1" authorId="1" shapeId="0" xr:uid="{436CB567-4A9E-4C69-A421-41C5CF660DBE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</commentList>
</comments>
</file>

<file path=xl/sharedStrings.xml><?xml version="1.0" encoding="utf-8"?>
<sst xmlns="http://schemas.openxmlformats.org/spreadsheetml/2006/main" count="70" uniqueCount="60">
  <si>
    <t>Total Gross Income Tax Division</t>
  </si>
  <si>
    <t>Total refunds from the Income Tax Department</t>
  </si>
  <si>
    <t>Deductions and the capital market</t>
  </si>
  <si>
    <t>Independents advances</t>
  </si>
  <si>
    <t>Self-employed tax differences</t>
  </si>
  <si>
    <t>Independent Cancellations</t>
  </si>
  <si>
    <t>Companies advances</t>
  </si>
  <si>
    <t>tax differential companies</t>
  </si>
  <si>
    <t>Cancellation companies</t>
  </si>
  <si>
    <t>Deduction from salary</t>
  </si>
  <si>
    <t>Non-profit institution tax</t>
  </si>
  <si>
    <t>excess expenses</t>
  </si>
  <si>
    <t>Cancellations Deductions</t>
  </si>
  <si>
    <t>self employed returns</t>
  </si>
  <si>
    <t>Capital Gains Tax Refunds</t>
  </si>
  <si>
    <t>Bonds and dividends</t>
  </si>
  <si>
    <t>Goods and services</t>
  </si>
  <si>
    <t>Gross import VAT</t>
  </si>
  <si>
    <t>Gross local VAT</t>
  </si>
  <si>
    <t>VAT refund autonomy and traders</t>
  </si>
  <si>
    <t>Total net VAT</t>
  </si>
  <si>
    <t>Net customs</t>
  </si>
  <si>
    <t>Total import taxes</t>
  </si>
  <si>
    <t>Net local sales tax</t>
  </si>
  <si>
    <t>Gross fuel tax</t>
  </si>
  <si>
    <t>Property tax</t>
  </si>
  <si>
    <t>praise tax</t>
  </si>
  <si>
    <t>Real estate purchase tax</t>
  </si>
  <si>
    <t>Real estate taxation</t>
  </si>
  <si>
    <t>Apartment Price Index (1993=100) - Mid-period reviewed</t>
  </si>
  <si>
    <t>Apartments sold at an annual rate</t>
  </si>
  <si>
    <t>madad_cc_purchases_sa</t>
  </si>
  <si>
    <t>madad_yetzur_industrial</t>
  </si>
  <si>
    <t>cons_trust</t>
  </si>
  <si>
    <t>CPI</t>
  </si>
  <si>
    <t>TA125</t>
  </si>
  <si>
    <t>Foreign exchange reserves (millions of dollars)</t>
  </si>
  <si>
    <t>Total Income Tax Division Net</t>
  </si>
  <si>
    <t>Income tax for self-employed individuals and companies (advances and deductions)</t>
  </si>
  <si>
    <t>VAT Financial Institutions (Salary)</t>
  </si>
  <si>
    <t>Companies returns</t>
  </si>
  <si>
    <t>Net import purchase tax</t>
  </si>
  <si>
    <t>Date</t>
  </si>
  <si>
    <t>Oil</t>
  </si>
  <si>
    <t>Reer</t>
  </si>
  <si>
    <t>Dollar</t>
  </si>
  <si>
    <t>TA35</t>
  </si>
  <si>
    <t>Nasdaq</t>
  </si>
  <si>
    <t>sp500</t>
  </si>
  <si>
    <t>VAT_rate</t>
  </si>
  <si>
    <t>praise tax returns</t>
  </si>
  <si>
    <t>purchase returns</t>
  </si>
  <si>
    <t>GDP</t>
  </si>
  <si>
    <t>real salary</t>
  </si>
  <si>
    <t>salaried jobs</t>
  </si>
  <si>
    <t>madad meshulav</t>
  </si>
  <si>
    <t>madad_pedio</t>
  </si>
  <si>
    <t>unemployment rate</t>
  </si>
  <si>
    <t>participation rate</t>
  </si>
  <si>
    <t>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</si>
</sst>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0.0%"/>
    <numFmt numFmtId="169" formatCode="yyyy\-mm\-dd;@"/>
  </numFmts>
  <fonts count="21" x14ac:knownFonts="1">
    <font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color theme="8"/>
      <name val="Arial"/>
      <family val="2"/>
      <charset val="177"/>
      <scheme val="minor"/>
    </font>
    <font>
      <sz val="1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  <charset val="177"/>
    </font>
    <font>
      <sz val="12"/>
      <name val="Times New Roman"/>
      <family val="1"/>
    </font>
    <font>
      <sz val="12"/>
      <name val="David"/>
      <family val="2"/>
      <charset val="177"/>
    </font>
    <font>
      <sz val="11"/>
      <name val="Arial"/>
      <family val="2"/>
      <charset val="177"/>
    </font>
    <font>
      <sz val="12"/>
      <color indexed="8"/>
      <name val="Arial"/>
      <family val="2"/>
    </font>
    <font>
      <sz val="9"/>
      <color indexed="81"/>
      <name val="Tahoma"/>
    </font>
    <font>
      <b/>
      <sz val="9"/>
      <color indexed="81"/>
      <name val="Tahoma"/>
    </font>
    <font>
      <sz val="11"/>
      <color indexed="8"/>
      <name val="Arial"/>
      <family val="2"/>
      <scheme val="minor"/>
    </font>
    <font>
      <sz val="9"/>
      <color indexed="8"/>
      <name val="Calibri"/>
      <family val="2"/>
    </font>
    <font>
      <sz val="9"/>
      <color indexed="81"/>
      <name val="Tahoma"/>
      <charset val="177"/>
    </font>
    <font>
      <b/>
      <sz val="9"/>
      <color indexed="81"/>
      <name val="Tahoma"/>
      <charset val="177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14" fillId="0" borderId="1">
      <alignment horizontal="center" vertical="center" wrapText="1"/>
    </xf>
    <xf numFmtId="0" fontId="5" fillId="0" borderId="0"/>
    <xf numFmtId="0" fontId="11" fillId="0" borderId="0"/>
    <xf numFmtId="0" fontId="5" fillId="0" borderId="0"/>
    <xf numFmtId="0" fontId="17" fillId="0" borderId="0"/>
  </cellStyleXfs>
  <cellXfs count="48">
    <xf numFmtId="0" fontId="0" fillId="0" borderId="0" xfId="0"/>
    <xf numFmtId="2" fontId="5" fillId="0" borderId="0" xfId="1" applyNumberFormat="1" applyFont="1" applyFill="1"/>
    <xf numFmtId="2" fontId="0" fillId="0" borderId="0" xfId="0" applyNumberFormat="1"/>
    <xf numFmtId="2" fontId="0" fillId="0" borderId="2" xfId="0" applyNumberFormat="1" applyBorder="1"/>
    <xf numFmtId="2" fontId="0" fillId="2" borderId="2" xfId="0" applyNumberFormat="1" applyFill="1" applyBorder="1"/>
    <xf numFmtId="2" fontId="3" fillId="0" borderId="0" xfId="1" applyNumberFormat="1" applyAlignment="1">
      <alignment horizontal="right"/>
    </xf>
    <xf numFmtId="2" fontId="3" fillId="0" borderId="0" xfId="1" applyNumberFormat="1"/>
    <xf numFmtId="2" fontId="6" fillId="0" borderId="0" xfId="1" applyNumberFormat="1" applyFont="1" applyFill="1"/>
    <xf numFmtId="2" fontId="5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5" fontId="4" fillId="0" borderId="0" xfId="1" applyNumberFormat="1" applyFont="1" applyAlignment="1">
      <alignment horizontal="center"/>
    </xf>
    <xf numFmtId="166" fontId="10" fillId="0" borderId="0" xfId="1" applyNumberFormat="1" applyFont="1" applyFill="1" applyBorder="1" applyAlignment="1">
      <alignment horizontal="center" wrapText="1"/>
    </xf>
    <xf numFmtId="167" fontId="12" fillId="4" borderId="0" xfId="0" applyNumberFormat="1" applyFont="1" applyFill="1" applyAlignment="1">
      <alignment horizontal="center"/>
    </xf>
    <xf numFmtId="167" fontId="12" fillId="0" borderId="0" xfId="0" applyNumberFormat="1" applyFont="1" applyAlignment="1">
      <alignment horizontal="center"/>
    </xf>
    <xf numFmtId="9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166" fontId="10" fillId="0" borderId="0" xfId="5" applyNumberFormat="1" applyFont="1" applyAlignment="1">
      <alignment horizontal="center" wrapText="1"/>
    </xf>
    <xf numFmtId="2" fontId="12" fillId="0" borderId="0" xfId="0" applyNumberFormat="1" applyFont="1" applyAlignment="1">
      <alignment horizontal="center"/>
    </xf>
    <xf numFmtId="10" fontId="0" fillId="3" borderId="0" xfId="0" applyNumberFormat="1" applyFill="1" applyAlignment="1">
      <alignment horizontal="center"/>
    </xf>
    <xf numFmtId="168" fontId="0" fillId="0" borderId="0" xfId="2" applyNumberFormat="1" applyFont="1" applyAlignment="1">
      <alignment horizontal="center"/>
    </xf>
    <xf numFmtId="2" fontId="5" fillId="0" borderId="0" xfId="5" applyNumberFormat="1" applyFont="1" applyFill="1"/>
    <xf numFmtId="2" fontId="12" fillId="0" borderId="0" xfId="3" applyNumberFormat="1" applyFont="1" applyFill="1" applyBorder="1" applyAlignment="1">
      <alignment horizontal="center"/>
    </xf>
    <xf numFmtId="3" fontId="5" fillId="0" borderId="0" xfId="9" applyNumberFormat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 vertical="center" wrapText="1"/>
    </xf>
    <xf numFmtId="169" fontId="0" fillId="0" borderId="0" xfId="0" applyNumberFormat="1"/>
    <xf numFmtId="169" fontId="0" fillId="0" borderId="0" xfId="0" applyNumberFormat="1" applyAlignment="1">
      <alignment horizontal="center" wrapText="1"/>
    </xf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5" fillId="0" borderId="0" xfId="1" applyNumberFormat="1" applyFont="1" applyFill="1"/>
    <xf numFmtId="0" fontId="0" fillId="0" borderId="0" xfId="1" applyNumberFormat="1" applyFont="1" applyAlignment="1">
      <alignment horizontal="center" wrapText="1"/>
    </xf>
    <xf numFmtId="0" fontId="5" fillId="0" borderId="0" xfId="1" applyNumberFormat="1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12" fillId="0" borderId="0" xfId="0" applyNumberFormat="1" applyFont="1" applyAlignment="1">
      <alignment horizontal="left"/>
    </xf>
    <xf numFmtId="2" fontId="13" fillId="0" borderId="0" xfId="4" applyNumberFormat="1" applyFont="1" applyAlignment="1">
      <alignment horizontal="center"/>
    </xf>
    <xf numFmtId="2" fontId="12" fillId="0" borderId="0" xfId="0" applyNumberFormat="1" applyFont="1"/>
    <xf numFmtId="2" fontId="0" fillId="0" borderId="0" xfId="0" applyNumberFormat="1" applyFill="1"/>
    <xf numFmtId="0" fontId="0" fillId="0" borderId="0" xfId="0" applyFill="1"/>
    <xf numFmtId="0" fontId="0" fillId="3" borderId="0" xfId="0" applyFill="1" applyAlignment="1">
      <alignment horizontal="center" wrapText="1"/>
    </xf>
    <xf numFmtId="0" fontId="0" fillId="5" borderId="0" xfId="0" applyFill="1"/>
    <xf numFmtId="0" fontId="18" fillId="0" borderId="0" xfId="10" applyFont="1" applyAlignment="1" applyProtection="1">
      <alignment wrapText="1"/>
      <protection locked="0"/>
    </xf>
    <xf numFmtId="0" fontId="18" fillId="0" borderId="0" xfId="10" applyFont="1" applyAlignment="1" applyProtection="1">
      <alignment wrapText="1"/>
      <protection locked="0"/>
    </xf>
    <xf numFmtId="0" fontId="18" fillId="0" borderId="0" xfId="10" applyFont="1" applyAlignment="1" applyProtection="1">
      <alignment wrapText="1"/>
      <protection locked="0"/>
    </xf>
    <xf numFmtId="0" fontId="18" fillId="0" borderId="0" xfId="10" applyFont="1" applyAlignment="1" applyProtection="1">
      <alignment wrapText="1"/>
      <protection locked="0"/>
    </xf>
    <xf numFmtId="43" fontId="0" fillId="0" borderId="0" xfId="0" applyNumberFormat="1"/>
    <xf numFmtId="2" fontId="0" fillId="3" borderId="0" xfId="0" applyNumberFormat="1" applyFill="1" applyAlignment="1">
      <alignment horizontal="center"/>
    </xf>
  </cellXfs>
  <cellStyles count="11">
    <cellStyle name="Comma" xfId="1" builtinId="3"/>
    <cellStyle name="Comma 20 2 2 2 2" xfId="3" xr:uid="{AA2452A6-B375-4725-B5F5-45CE907A7084}"/>
    <cellStyle name="Comma 53" xfId="5" xr:uid="{1C6F1364-C8BC-45AE-91C3-76C84AEC02C6}"/>
    <cellStyle name="Normal" xfId="0" builtinId="0"/>
    <cellStyle name="Normal 160" xfId="9" xr:uid="{59278AE8-D348-4FCE-BFCB-47089C96A5D3}"/>
    <cellStyle name="Normal 161" xfId="8" xr:uid="{EB7D0D06-EBCF-4627-828A-1BAB456562D8}"/>
    <cellStyle name="Normal 2" xfId="10" xr:uid="{A954F275-8345-4EE1-8F6B-1298C4775A2A}"/>
    <cellStyle name="Normal 2 16" xfId="7" xr:uid="{076F3ED2-2900-4E8B-AB34-DCEDFAC7F9FE}"/>
    <cellStyle name="Normal 59" xfId="4" xr:uid="{A0DF4A9F-051F-45C0-B59E-2F692EE6BD24}"/>
    <cellStyle name="Percent" xfId="2" builtinId="5"/>
    <cellStyle name="regularStyle" xfId="6" xr:uid="{FDB4F70C-0C3A-422F-8838-0300410313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MKLKALA/&#1510;&#1493;&#1493;&#1514;%20&#1502;&#1495;&#1511;&#1512;%20-%20&#1492;&#1499;&#1504;&#1505;&#1493;&#1514;%20&#1492;&#1502;&#1491;&#1497;&#1504;&#1492;/&#1491;&#1493;&#1495;%20&#1495;&#1493;&#1491;&#1513;&#1497;/Excel/Database/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pdata_new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ldata_n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htdata_new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xdata_new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edata_ne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rdat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ישיר"/>
      <sheetName val="ישיר תיקונים"/>
      <sheetName val="ישיר מתוקן"/>
      <sheetName val="ישיר מתואם"/>
      <sheetName val="חישובים"/>
      <sheetName val="עקיף"/>
      <sheetName val="תקציב"/>
      <sheetName val="מדד"/>
    </sheetNames>
    <sheetDataSet>
      <sheetData sheetId="0">
        <row r="6">
          <cell r="B6">
            <v>4774987</v>
          </cell>
          <cell r="C6">
            <v>680754</v>
          </cell>
          <cell r="F6">
            <v>2775423</v>
          </cell>
          <cell r="H6">
            <v>23709</v>
          </cell>
          <cell r="I6">
            <v>600103</v>
          </cell>
          <cell r="J6">
            <v>4331</v>
          </cell>
          <cell r="V6">
            <v>2183611</v>
          </cell>
          <cell r="Y6">
            <v>196775</v>
          </cell>
          <cell r="Z6">
            <v>60689</v>
          </cell>
          <cell r="AG6">
            <v>112555</v>
          </cell>
          <cell r="AK6">
            <v>16848</v>
          </cell>
        </row>
        <row r="7">
          <cell r="B7">
            <v>4874883</v>
          </cell>
          <cell r="C7">
            <v>436582</v>
          </cell>
          <cell r="F7">
            <v>2717365</v>
          </cell>
          <cell r="H7">
            <v>326348</v>
          </cell>
          <cell r="I7">
            <v>202116</v>
          </cell>
          <cell r="J7">
            <v>6226</v>
          </cell>
          <cell r="V7">
            <v>2040219</v>
          </cell>
          <cell r="Y7">
            <v>258045</v>
          </cell>
          <cell r="Z7">
            <v>61703</v>
          </cell>
          <cell r="AG7">
            <v>83118</v>
          </cell>
          <cell r="AK7">
            <v>5091</v>
          </cell>
        </row>
        <row r="8">
          <cell r="B8">
            <v>4747457</v>
          </cell>
          <cell r="C8">
            <v>337940</v>
          </cell>
          <cell r="F8">
            <v>2903470</v>
          </cell>
          <cell r="H8">
            <v>437301</v>
          </cell>
          <cell r="I8">
            <v>119197</v>
          </cell>
          <cell r="J8">
            <v>2159</v>
          </cell>
          <cell r="V8">
            <v>2265911</v>
          </cell>
          <cell r="Y8">
            <v>236928</v>
          </cell>
          <cell r="Z8">
            <v>59295</v>
          </cell>
          <cell r="AG8">
            <v>69766</v>
          </cell>
          <cell r="AK8">
            <v>11221</v>
          </cell>
        </row>
        <row r="9">
          <cell r="B9">
            <v>4344510</v>
          </cell>
          <cell r="C9">
            <v>328559</v>
          </cell>
          <cell r="F9">
            <v>2703780</v>
          </cell>
          <cell r="H9">
            <v>295287</v>
          </cell>
          <cell r="I9">
            <v>102835</v>
          </cell>
          <cell r="J9">
            <v>3505</v>
          </cell>
          <cell r="V9">
            <v>2075698</v>
          </cell>
          <cell r="Y9">
            <v>231896</v>
          </cell>
          <cell r="Z9">
            <v>87516</v>
          </cell>
          <cell r="AG9">
            <v>42851</v>
          </cell>
          <cell r="AK9">
            <v>7480</v>
          </cell>
        </row>
        <row r="10">
          <cell r="B10">
            <v>4685954</v>
          </cell>
          <cell r="C10">
            <v>297485</v>
          </cell>
          <cell r="F10">
            <v>2924295</v>
          </cell>
          <cell r="H10">
            <v>432090</v>
          </cell>
          <cell r="I10">
            <v>110420</v>
          </cell>
          <cell r="J10">
            <v>4939</v>
          </cell>
          <cell r="V10">
            <v>2259705</v>
          </cell>
          <cell r="Y10">
            <v>259031</v>
          </cell>
          <cell r="Z10">
            <v>55916</v>
          </cell>
          <cell r="AG10">
            <v>141592</v>
          </cell>
          <cell r="AK10">
            <v>4311</v>
          </cell>
        </row>
        <row r="11">
          <cell r="B11">
            <v>4219188</v>
          </cell>
          <cell r="C11">
            <v>309144</v>
          </cell>
          <cell r="F11">
            <v>2543930</v>
          </cell>
          <cell r="H11">
            <v>323198</v>
          </cell>
          <cell r="I11">
            <v>153808</v>
          </cell>
          <cell r="J11">
            <v>4353</v>
          </cell>
          <cell r="V11">
            <v>1908199</v>
          </cell>
          <cell r="Y11">
            <v>262471</v>
          </cell>
          <cell r="Z11">
            <v>53518</v>
          </cell>
          <cell r="AG11">
            <v>197849</v>
          </cell>
          <cell r="AK11">
            <v>10043</v>
          </cell>
        </row>
        <row r="12">
          <cell r="B12">
            <v>5275390</v>
          </cell>
          <cell r="C12">
            <v>471700</v>
          </cell>
          <cell r="F12">
            <v>3308040</v>
          </cell>
          <cell r="H12">
            <v>474844</v>
          </cell>
          <cell r="I12">
            <v>116932</v>
          </cell>
          <cell r="J12">
            <v>3942</v>
          </cell>
          <cell r="V12">
            <v>2591462</v>
          </cell>
          <cell r="Y12">
            <v>308877</v>
          </cell>
          <cell r="Z12">
            <v>45899</v>
          </cell>
          <cell r="AG12">
            <v>234310</v>
          </cell>
          <cell r="AK12">
            <v>3902</v>
          </cell>
        </row>
        <row r="13">
          <cell r="B13">
            <v>4620456</v>
          </cell>
          <cell r="C13">
            <v>509112</v>
          </cell>
          <cell r="F13">
            <v>2987933</v>
          </cell>
          <cell r="H13">
            <v>354186</v>
          </cell>
          <cell r="I13">
            <v>123234</v>
          </cell>
          <cell r="J13">
            <v>5878</v>
          </cell>
          <cell r="V13">
            <v>2279710</v>
          </cell>
          <cell r="Y13">
            <v>298453</v>
          </cell>
          <cell r="Z13">
            <v>53064</v>
          </cell>
          <cell r="AG13">
            <v>255882</v>
          </cell>
          <cell r="AK13">
            <v>4986</v>
          </cell>
        </row>
        <row r="14">
          <cell r="B14">
            <v>4990967</v>
          </cell>
          <cell r="C14">
            <v>372648</v>
          </cell>
          <cell r="F14">
            <v>3198954</v>
          </cell>
          <cell r="H14">
            <v>501668</v>
          </cell>
          <cell r="I14">
            <v>125946</v>
          </cell>
          <cell r="J14">
            <v>2821</v>
          </cell>
          <cell r="V14">
            <v>2490302</v>
          </cell>
          <cell r="Y14">
            <v>282085</v>
          </cell>
          <cell r="Z14">
            <v>53802</v>
          </cell>
          <cell r="AG14">
            <v>161668</v>
          </cell>
          <cell r="AK14">
            <v>8643</v>
          </cell>
        </row>
        <row r="15">
          <cell r="B15">
            <v>4383491</v>
          </cell>
          <cell r="C15">
            <v>438401</v>
          </cell>
          <cell r="F15">
            <v>2735431</v>
          </cell>
          <cell r="H15">
            <v>325279</v>
          </cell>
          <cell r="I15">
            <v>119995</v>
          </cell>
          <cell r="J15">
            <v>7402</v>
          </cell>
          <cell r="V15">
            <v>2076888</v>
          </cell>
          <cell r="Y15">
            <v>272624</v>
          </cell>
          <cell r="Z15">
            <v>51547</v>
          </cell>
          <cell r="AG15">
            <v>161244</v>
          </cell>
          <cell r="AK15">
            <v>4429</v>
          </cell>
        </row>
        <row r="16">
          <cell r="B16">
            <v>5032923</v>
          </cell>
          <cell r="C16">
            <v>519094</v>
          </cell>
          <cell r="F16">
            <v>3072490</v>
          </cell>
          <cell r="H16">
            <v>513250</v>
          </cell>
          <cell r="I16">
            <v>144010</v>
          </cell>
          <cell r="J16">
            <v>2877</v>
          </cell>
          <cell r="V16">
            <v>2374642</v>
          </cell>
          <cell r="Y16">
            <v>272018</v>
          </cell>
          <cell r="Z16">
            <v>50385</v>
          </cell>
          <cell r="AG16">
            <v>134578</v>
          </cell>
          <cell r="AK16">
            <v>3593</v>
          </cell>
        </row>
        <row r="17">
          <cell r="B17">
            <v>4418478</v>
          </cell>
          <cell r="C17">
            <v>668837</v>
          </cell>
          <cell r="F17">
            <v>2833585</v>
          </cell>
          <cell r="H17">
            <v>314112</v>
          </cell>
          <cell r="I17">
            <v>137124</v>
          </cell>
          <cell r="J17">
            <v>5140</v>
          </cell>
          <cell r="V17">
            <v>2148921</v>
          </cell>
          <cell r="Y17">
            <v>284343</v>
          </cell>
          <cell r="Z17">
            <v>48610</v>
          </cell>
          <cell r="AG17">
            <v>115060</v>
          </cell>
          <cell r="AK17">
            <v>6468</v>
          </cell>
        </row>
        <row r="18">
          <cell r="B18">
            <v>5592318</v>
          </cell>
          <cell r="C18">
            <v>466736</v>
          </cell>
          <cell r="F18">
            <v>3493214</v>
          </cell>
          <cell r="H18">
            <v>6862</v>
          </cell>
          <cell r="I18">
            <v>696447</v>
          </cell>
          <cell r="J18">
            <v>4434</v>
          </cell>
          <cell r="V18">
            <v>2704813</v>
          </cell>
          <cell r="Y18">
            <v>259979</v>
          </cell>
          <cell r="Z18">
            <v>54135</v>
          </cell>
          <cell r="AG18">
            <v>120438</v>
          </cell>
          <cell r="AK18">
            <v>9857</v>
          </cell>
        </row>
        <row r="19">
          <cell r="B19">
            <v>5617716</v>
          </cell>
          <cell r="C19">
            <v>487758</v>
          </cell>
          <cell r="F19">
            <v>3207100</v>
          </cell>
          <cell r="H19">
            <v>349120</v>
          </cell>
          <cell r="I19">
            <v>198732</v>
          </cell>
          <cell r="J19">
            <v>4637</v>
          </cell>
          <cell r="V19">
            <v>2487361</v>
          </cell>
          <cell r="Y19">
            <v>286534</v>
          </cell>
          <cell r="Z19">
            <v>73891</v>
          </cell>
          <cell r="AG19">
            <v>61115</v>
          </cell>
          <cell r="AK19">
            <v>10531</v>
          </cell>
        </row>
        <row r="20">
          <cell r="B20">
            <v>5402143</v>
          </cell>
          <cell r="C20">
            <v>326139</v>
          </cell>
          <cell r="F20">
            <v>3338111</v>
          </cell>
          <cell r="H20">
            <v>458682</v>
          </cell>
          <cell r="I20">
            <v>139088</v>
          </cell>
          <cell r="J20">
            <v>7089</v>
          </cell>
          <cell r="V20">
            <v>2656197</v>
          </cell>
          <cell r="Y20">
            <v>262962</v>
          </cell>
          <cell r="Z20">
            <v>71846</v>
          </cell>
          <cell r="AG20">
            <v>60400</v>
          </cell>
          <cell r="AK20">
            <v>8254</v>
          </cell>
        </row>
        <row r="21">
          <cell r="B21">
            <v>4999980</v>
          </cell>
          <cell r="C21">
            <v>162804</v>
          </cell>
          <cell r="F21">
            <v>3136694</v>
          </cell>
          <cell r="H21">
            <v>314017</v>
          </cell>
          <cell r="I21">
            <v>116312</v>
          </cell>
          <cell r="J21">
            <v>3474</v>
          </cell>
          <cell r="V21">
            <v>2541617</v>
          </cell>
          <cell r="Y21">
            <v>251470</v>
          </cell>
          <cell r="Z21">
            <v>90886</v>
          </cell>
          <cell r="AG21">
            <v>46237</v>
          </cell>
          <cell r="AK21">
            <v>5851</v>
          </cell>
        </row>
        <row r="22">
          <cell r="B22">
            <v>5426733</v>
          </cell>
          <cell r="C22">
            <v>224920</v>
          </cell>
          <cell r="F22">
            <v>3456147</v>
          </cell>
          <cell r="H22">
            <v>482134</v>
          </cell>
          <cell r="I22">
            <v>132396</v>
          </cell>
          <cell r="J22">
            <v>7532</v>
          </cell>
          <cell r="V22">
            <v>2692398</v>
          </cell>
          <cell r="Y22">
            <v>288717</v>
          </cell>
          <cell r="Z22">
            <v>84869</v>
          </cell>
          <cell r="AG22">
            <v>91012</v>
          </cell>
          <cell r="AK22">
            <v>9250</v>
          </cell>
        </row>
        <row r="23">
          <cell r="B23">
            <v>4694161</v>
          </cell>
          <cell r="C23">
            <v>344090</v>
          </cell>
          <cell r="F23">
            <v>3007103</v>
          </cell>
          <cell r="H23">
            <v>316368</v>
          </cell>
          <cell r="I23">
            <v>117034</v>
          </cell>
          <cell r="J23">
            <v>4100</v>
          </cell>
          <cell r="V23">
            <v>2268594</v>
          </cell>
          <cell r="Y23">
            <v>285755</v>
          </cell>
          <cell r="Z23">
            <v>81774</v>
          </cell>
          <cell r="AG23">
            <v>163837</v>
          </cell>
          <cell r="AK23">
            <v>6599</v>
          </cell>
        </row>
        <row r="24">
          <cell r="B24">
            <v>6023564</v>
          </cell>
          <cell r="C24">
            <v>493702</v>
          </cell>
          <cell r="F24">
            <v>3867112</v>
          </cell>
          <cell r="H24">
            <v>492505</v>
          </cell>
          <cell r="I24">
            <v>130234</v>
          </cell>
          <cell r="J24">
            <v>5580</v>
          </cell>
          <cell r="V24">
            <v>3043060</v>
          </cell>
          <cell r="Y24">
            <v>312393</v>
          </cell>
          <cell r="Z24">
            <v>86013</v>
          </cell>
          <cell r="AG24">
            <v>223096</v>
          </cell>
          <cell r="AK24">
            <v>10721</v>
          </cell>
        </row>
        <row r="25">
          <cell r="B25">
            <v>5364047</v>
          </cell>
          <cell r="C25">
            <v>437865</v>
          </cell>
          <cell r="F25">
            <v>3436176</v>
          </cell>
          <cell r="H25">
            <v>362717</v>
          </cell>
          <cell r="I25">
            <v>148484</v>
          </cell>
          <cell r="J25">
            <v>3617</v>
          </cell>
          <cell r="V25">
            <v>2658594</v>
          </cell>
          <cell r="Y25">
            <v>328276</v>
          </cell>
          <cell r="Z25">
            <v>63089</v>
          </cell>
          <cell r="AG25">
            <v>221158</v>
          </cell>
          <cell r="AK25">
            <v>8838</v>
          </cell>
        </row>
        <row r="26">
          <cell r="B26">
            <v>5835310</v>
          </cell>
          <cell r="C26">
            <v>445930</v>
          </cell>
          <cell r="F26">
            <v>3558493</v>
          </cell>
          <cell r="H26">
            <v>524130</v>
          </cell>
          <cell r="I26">
            <v>136173</v>
          </cell>
          <cell r="J26">
            <v>4048</v>
          </cell>
          <cell r="V26">
            <v>2841732</v>
          </cell>
          <cell r="Y26">
            <v>330281</v>
          </cell>
          <cell r="Z26">
            <v>57858</v>
          </cell>
          <cell r="AG26">
            <v>198736</v>
          </cell>
          <cell r="AK26">
            <v>6641</v>
          </cell>
        </row>
        <row r="27">
          <cell r="B27">
            <v>5007480</v>
          </cell>
          <cell r="C27">
            <v>220639</v>
          </cell>
          <cell r="F27">
            <v>3250752</v>
          </cell>
          <cell r="H27">
            <v>331133</v>
          </cell>
          <cell r="I27">
            <v>116417</v>
          </cell>
          <cell r="J27">
            <v>5922</v>
          </cell>
          <cell r="V27">
            <v>2562972</v>
          </cell>
          <cell r="Y27">
            <v>293075</v>
          </cell>
          <cell r="Z27">
            <v>68691</v>
          </cell>
          <cell r="AG27">
            <v>114189</v>
          </cell>
          <cell r="AK27">
            <v>3839</v>
          </cell>
        </row>
        <row r="28">
          <cell r="B28">
            <v>5388693</v>
          </cell>
          <cell r="C28">
            <v>536863</v>
          </cell>
          <cell r="F28">
            <v>3552121</v>
          </cell>
          <cell r="H28">
            <v>518743</v>
          </cell>
          <cell r="I28">
            <v>113228</v>
          </cell>
          <cell r="J28">
            <v>5942</v>
          </cell>
          <cell r="V28">
            <v>2783612</v>
          </cell>
          <cell r="Y28">
            <v>297122</v>
          </cell>
          <cell r="Z28">
            <v>62056</v>
          </cell>
          <cell r="AG28">
            <v>207418</v>
          </cell>
          <cell r="AK28">
            <v>9918</v>
          </cell>
        </row>
        <row r="29">
          <cell r="B29">
            <v>4818837</v>
          </cell>
          <cell r="C29">
            <v>569501</v>
          </cell>
          <cell r="F29">
            <v>3199776</v>
          </cell>
          <cell r="H29">
            <v>330349</v>
          </cell>
          <cell r="I29">
            <v>178505</v>
          </cell>
          <cell r="J29">
            <v>4600</v>
          </cell>
          <cell r="V29">
            <v>2495492</v>
          </cell>
          <cell r="Y29">
            <v>268584</v>
          </cell>
          <cell r="Z29">
            <v>55715</v>
          </cell>
          <cell r="AG29">
            <v>154274</v>
          </cell>
          <cell r="AK29">
            <v>4354</v>
          </cell>
        </row>
        <row r="30">
          <cell r="B30">
            <v>6033572</v>
          </cell>
          <cell r="C30">
            <v>164167</v>
          </cell>
          <cell r="F30">
            <v>4105194</v>
          </cell>
          <cell r="H30">
            <v>5105</v>
          </cell>
          <cell r="I30">
            <v>795353</v>
          </cell>
          <cell r="J30">
            <v>2421</v>
          </cell>
          <cell r="V30">
            <v>3143923</v>
          </cell>
          <cell r="Y30">
            <v>434385</v>
          </cell>
          <cell r="Z30">
            <v>56932</v>
          </cell>
          <cell r="AG30">
            <v>48018</v>
          </cell>
          <cell r="AK30">
            <v>83</v>
          </cell>
        </row>
        <row r="31">
          <cell r="B31">
            <v>4365419</v>
          </cell>
          <cell r="C31">
            <v>580074</v>
          </cell>
          <cell r="F31">
            <v>2612295</v>
          </cell>
          <cell r="H31">
            <v>188571</v>
          </cell>
          <cell r="I31">
            <v>355205</v>
          </cell>
          <cell r="J31">
            <v>6999</v>
          </cell>
          <cell r="V31">
            <v>1964078</v>
          </cell>
          <cell r="Y31">
            <v>493099</v>
          </cell>
          <cell r="Z31">
            <v>18770</v>
          </cell>
          <cell r="AG31">
            <v>151128</v>
          </cell>
          <cell r="AK31">
            <v>12534</v>
          </cell>
        </row>
        <row r="32">
          <cell r="B32">
            <v>7264530</v>
          </cell>
          <cell r="C32">
            <v>518539</v>
          </cell>
          <cell r="F32">
            <v>4603470</v>
          </cell>
          <cell r="H32">
            <v>617693</v>
          </cell>
          <cell r="I32">
            <v>168941</v>
          </cell>
          <cell r="J32">
            <v>4569</v>
          </cell>
          <cell r="V32">
            <v>2993876</v>
          </cell>
          <cell r="Y32">
            <v>403664</v>
          </cell>
          <cell r="Z32">
            <v>87690</v>
          </cell>
          <cell r="AG32">
            <v>110612</v>
          </cell>
          <cell r="AK32">
            <v>11124</v>
          </cell>
        </row>
        <row r="33">
          <cell r="B33">
            <v>5661141</v>
          </cell>
          <cell r="C33">
            <v>214848</v>
          </cell>
          <cell r="F33">
            <v>3585348</v>
          </cell>
          <cell r="H33">
            <v>334945</v>
          </cell>
          <cell r="I33">
            <v>271523</v>
          </cell>
          <cell r="J33">
            <v>3123</v>
          </cell>
          <cell r="V33">
            <v>2530988</v>
          </cell>
          <cell r="Y33">
            <v>375914</v>
          </cell>
          <cell r="Z33">
            <v>60257</v>
          </cell>
          <cell r="AG33">
            <v>60136</v>
          </cell>
          <cell r="AK33">
            <v>5808</v>
          </cell>
        </row>
        <row r="34">
          <cell r="B34">
            <v>6059758</v>
          </cell>
          <cell r="C34">
            <v>435700</v>
          </cell>
          <cell r="F34">
            <v>3818540</v>
          </cell>
          <cell r="H34">
            <v>496616</v>
          </cell>
          <cell r="I34">
            <v>143763</v>
          </cell>
          <cell r="J34">
            <v>4510</v>
          </cell>
          <cell r="V34">
            <v>2769717</v>
          </cell>
          <cell r="Y34">
            <v>411469</v>
          </cell>
          <cell r="Z34">
            <v>93897</v>
          </cell>
          <cell r="AG34">
            <v>147172</v>
          </cell>
          <cell r="AK34">
            <v>8228</v>
          </cell>
        </row>
        <row r="35">
          <cell r="B35">
            <v>5095820</v>
          </cell>
          <cell r="C35">
            <v>395879</v>
          </cell>
          <cell r="F35">
            <v>3259926</v>
          </cell>
          <cell r="H35">
            <v>339126</v>
          </cell>
          <cell r="I35">
            <v>129333</v>
          </cell>
          <cell r="J35">
            <v>6877</v>
          </cell>
          <cell r="V35">
            <v>2259904</v>
          </cell>
          <cell r="Y35">
            <v>391192</v>
          </cell>
          <cell r="Z35">
            <v>72972</v>
          </cell>
          <cell r="AG35">
            <v>201196</v>
          </cell>
          <cell r="AK35">
            <v>9483</v>
          </cell>
        </row>
        <row r="36">
          <cell r="B36">
            <v>6672308</v>
          </cell>
          <cell r="C36">
            <v>523321</v>
          </cell>
          <cell r="F36">
            <v>4110929</v>
          </cell>
          <cell r="H36">
            <v>520081</v>
          </cell>
          <cell r="I36">
            <v>148774</v>
          </cell>
          <cell r="J36">
            <v>3396</v>
          </cell>
          <cell r="V36">
            <v>2952013</v>
          </cell>
          <cell r="Y36">
            <v>471606</v>
          </cell>
          <cell r="Z36">
            <v>72304</v>
          </cell>
          <cell r="AG36">
            <v>275386</v>
          </cell>
          <cell r="AK36">
            <v>9708</v>
          </cell>
        </row>
        <row r="37">
          <cell r="B37">
            <v>5003630</v>
          </cell>
          <cell r="C37">
            <v>226995</v>
          </cell>
          <cell r="F37">
            <v>3009385</v>
          </cell>
          <cell r="H37">
            <v>354990</v>
          </cell>
          <cell r="I37">
            <v>296086</v>
          </cell>
          <cell r="J37">
            <v>1890</v>
          </cell>
          <cell r="V37">
            <v>2123338</v>
          </cell>
          <cell r="Y37">
            <v>293010</v>
          </cell>
          <cell r="Z37">
            <v>74550</v>
          </cell>
          <cell r="AG37">
            <v>138972</v>
          </cell>
          <cell r="AK37">
            <v>6277</v>
          </cell>
        </row>
        <row r="38">
          <cell r="B38">
            <v>5716289</v>
          </cell>
          <cell r="C38">
            <v>47602</v>
          </cell>
          <cell r="F38">
            <v>3628280</v>
          </cell>
          <cell r="H38">
            <v>510115</v>
          </cell>
          <cell r="I38">
            <v>231528</v>
          </cell>
          <cell r="J38">
            <v>4105</v>
          </cell>
          <cell r="V38">
            <v>2708394</v>
          </cell>
          <cell r="Y38">
            <v>319074</v>
          </cell>
          <cell r="Z38">
            <v>81261</v>
          </cell>
          <cell r="AG38">
            <v>27234</v>
          </cell>
          <cell r="AK38">
            <v>49</v>
          </cell>
        </row>
        <row r="39">
          <cell r="B39">
            <v>6181019</v>
          </cell>
          <cell r="C39">
            <v>253617</v>
          </cell>
          <cell r="F39">
            <v>4398952</v>
          </cell>
          <cell r="H39">
            <v>347183</v>
          </cell>
          <cell r="I39">
            <v>118040</v>
          </cell>
          <cell r="J39">
            <v>4682</v>
          </cell>
          <cell r="V39">
            <v>3081338</v>
          </cell>
          <cell r="Y39">
            <v>677304</v>
          </cell>
          <cell r="Z39">
            <v>92750</v>
          </cell>
          <cell r="AG39">
            <v>111938</v>
          </cell>
          <cell r="AK39">
            <v>8254</v>
          </cell>
        </row>
        <row r="40">
          <cell r="B40">
            <v>5800693</v>
          </cell>
          <cell r="C40">
            <v>921179</v>
          </cell>
          <cell r="F40">
            <v>3637059</v>
          </cell>
          <cell r="H40">
            <v>528238</v>
          </cell>
          <cell r="I40">
            <v>136909</v>
          </cell>
          <cell r="J40">
            <v>8953</v>
          </cell>
          <cell r="V40">
            <v>2747922</v>
          </cell>
          <cell r="Y40">
            <v>376458</v>
          </cell>
          <cell r="Z40">
            <v>82307</v>
          </cell>
          <cell r="AG40">
            <v>347601</v>
          </cell>
          <cell r="AK40">
            <v>6269</v>
          </cell>
        </row>
        <row r="41">
          <cell r="B41">
            <v>5622840</v>
          </cell>
          <cell r="C41">
            <v>744505</v>
          </cell>
          <cell r="F41">
            <v>3726834</v>
          </cell>
          <cell r="H41">
            <v>340827</v>
          </cell>
          <cell r="I41">
            <v>157047</v>
          </cell>
          <cell r="J41">
            <v>7430</v>
          </cell>
          <cell r="V41">
            <v>2720132</v>
          </cell>
          <cell r="Y41">
            <v>402393</v>
          </cell>
          <cell r="Z41">
            <v>87651</v>
          </cell>
          <cell r="AG41">
            <v>260048</v>
          </cell>
          <cell r="AK41">
            <v>14035</v>
          </cell>
        </row>
        <row r="42">
          <cell r="B42">
            <v>6329963</v>
          </cell>
          <cell r="C42">
            <v>416200</v>
          </cell>
          <cell r="F42">
            <v>4317070</v>
          </cell>
          <cell r="H42">
            <v>5191</v>
          </cell>
          <cell r="I42">
            <v>678773</v>
          </cell>
          <cell r="J42">
            <v>4323</v>
          </cell>
          <cell r="V42">
            <v>3104235</v>
          </cell>
          <cell r="Y42">
            <v>507778</v>
          </cell>
          <cell r="Z42">
            <v>75620</v>
          </cell>
          <cell r="AG42">
            <v>130263</v>
          </cell>
          <cell r="AK42">
            <v>7098</v>
          </cell>
        </row>
        <row r="43">
          <cell r="B43">
            <v>6102266</v>
          </cell>
          <cell r="C43">
            <v>539823</v>
          </cell>
          <cell r="F43">
            <v>3912272</v>
          </cell>
          <cell r="H43">
            <v>349093</v>
          </cell>
          <cell r="I43">
            <v>215736</v>
          </cell>
          <cell r="J43">
            <v>6014</v>
          </cell>
          <cell r="V43">
            <v>2961786</v>
          </cell>
          <cell r="Y43">
            <v>386127</v>
          </cell>
          <cell r="Z43">
            <v>80920</v>
          </cell>
          <cell r="AG43">
            <v>138169</v>
          </cell>
          <cell r="AK43">
            <v>4657</v>
          </cell>
        </row>
        <row r="44">
          <cell r="B44">
            <v>5813805</v>
          </cell>
          <cell r="C44">
            <v>667987</v>
          </cell>
          <cell r="F44">
            <v>3705328</v>
          </cell>
          <cell r="H44">
            <v>481894</v>
          </cell>
          <cell r="I44">
            <v>190531</v>
          </cell>
          <cell r="J44">
            <v>4545</v>
          </cell>
          <cell r="V44">
            <v>2797389</v>
          </cell>
          <cell r="Y44">
            <v>364844</v>
          </cell>
          <cell r="Z44">
            <v>79694</v>
          </cell>
          <cell r="AG44">
            <v>100433</v>
          </cell>
          <cell r="AK44">
            <v>5937</v>
          </cell>
        </row>
        <row r="45">
          <cell r="B45">
            <v>5769936</v>
          </cell>
          <cell r="C45">
            <v>280516</v>
          </cell>
          <cell r="F45">
            <v>3817241</v>
          </cell>
          <cell r="H45">
            <v>353075</v>
          </cell>
          <cell r="I45">
            <v>123346</v>
          </cell>
          <cell r="J45">
            <v>4963</v>
          </cell>
          <cell r="V45">
            <v>2886658</v>
          </cell>
          <cell r="Y45">
            <v>330847</v>
          </cell>
          <cell r="Z45">
            <v>82891</v>
          </cell>
          <cell r="AG45">
            <v>63504</v>
          </cell>
          <cell r="AK45">
            <v>8938</v>
          </cell>
        </row>
        <row r="46">
          <cell r="B46">
            <v>6712673</v>
          </cell>
          <cell r="C46">
            <v>310387</v>
          </cell>
          <cell r="F46">
            <v>4419822</v>
          </cell>
          <cell r="H46">
            <v>532466</v>
          </cell>
          <cell r="I46">
            <v>225771</v>
          </cell>
          <cell r="J46">
            <v>5981</v>
          </cell>
          <cell r="V46">
            <v>3484795</v>
          </cell>
          <cell r="Y46">
            <v>295915</v>
          </cell>
          <cell r="Z46">
            <v>146625</v>
          </cell>
          <cell r="AG46">
            <v>120381</v>
          </cell>
          <cell r="AK46">
            <v>11809</v>
          </cell>
        </row>
        <row r="47">
          <cell r="B47">
            <v>6124261</v>
          </cell>
          <cell r="C47">
            <v>565552</v>
          </cell>
          <cell r="F47">
            <v>3661045</v>
          </cell>
          <cell r="H47">
            <v>361741</v>
          </cell>
          <cell r="I47">
            <v>310925</v>
          </cell>
          <cell r="J47">
            <v>5416</v>
          </cell>
          <cell r="V47">
            <v>2712433</v>
          </cell>
          <cell r="Y47">
            <v>285251</v>
          </cell>
          <cell r="Z47">
            <v>105374</v>
          </cell>
          <cell r="AG47">
            <v>266369</v>
          </cell>
          <cell r="AK47">
            <v>5261</v>
          </cell>
        </row>
        <row r="48">
          <cell r="B48">
            <v>7205185</v>
          </cell>
          <cell r="C48">
            <v>732897</v>
          </cell>
          <cell r="F48">
            <v>4582114</v>
          </cell>
          <cell r="H48">
            <v>532234</v>
          </cell>
          <cell r="I48">
            <v>482430</v>
          </cell>
          <cell r="J48">
            <v>5374</v>
          </cell>
          <cell r="V48">
            <v>3569950</v>
          </cell>
          <cell r="Y48">
            <v>375295</v>
          </cell>
          <cell r="Z48">
            <v>108960</v>
          </cell>
          <cell r="AG48">
            <v>292361</v>
          </cell>
          <cell r="AK48">
            <v>5804</v>
          </cell>
        </row>
        <row r="49">
          <cell r="B49">
            <v>6273720</v>
          </cell>
          <cell r="C49">
            <v>572022</v>
          </cell>
          <cell r="F49">
            <v>4045610</v>
          </cell>
          <cell r="H49">
            <v>389926</v>
          </cell>
          <cell r="I49">
            <v>210944</v>
          </cell>
          <cell r="J49">
            <v>4153</v>
          </cell>
          <cell r="V49">
            <v>3115631</v>
          </cell>
          <cell r="Y49">
            <v>329899</v>
          </cell>
          <cell r="Z49">
            <v>105252</v>
          </cell>
          <cell r="AG49">
            <v>304287</v>
          </cell>
          <cell r="AK49">
            <v>7169</v>
          </cell>
        </row>
        <row r="50">
          <cell r="B50">
            <v>6088800</v>
          </cell>
          <cell r="C50">
            <v>467816</v>
          </cell>
          <cell r="F50">
            <v>3437384</v>
          </cell>
          <cell r="H50">
            <v>596968</v>
          </cell>
          <cell r="I50">
            <v>207768</v>
          </cell>
          <cell r="J50">
            <v>4059</v>
          </cell>
          <cell r="V50">
            <v>2774006</v>
          </cell>
          <cell r="Y50">
            <v>157495</v>
          </cell>
          <cell r="Z50">
            <v>99635</v>
          </cell>
          <cell r="AG50">
            <v>193985</v>
          </cell>
          <cell r="AK50">
            <v>6048</v>
          </cell>
        </row>
        <row r="51">
          <cell r="B51">
            <v>6834784</v>
          </cell>
          <cell r="C51">
            <v>686688</v>
          </cell>
          <cell r="F51">
            <v>4596640</v>
          </cell>
          <cell r="H51">
            <v>365883</v>
          </cell>
          <cell r="I51">
            <v>213514</v>
          </cell>
          <cell r="J51">
            <v>7764</v>
          </cell>
          <cell r="V51">
            <v>3460834</v>
          </cell>
          <cell r="Y51">
            <v>477844</v>
          </cell>
          <cell r="Z51">
            <v>82683</v>
          </cell>
          <cell r="AG51">
            <v>248432</v>
          </cell>
          <cell r="AK51">
            <v>4998</v>
          </cell>
        </row>
        <row r="52">
          <cell r="B52">
            <v>6318104</v>
          </cell>
          <cell r="C52">
            <v>505231</v>
          </cell>
          <cell r="F52">
            <v>3823314</v>
          </cell>
          <cell r="H52">
            <v>578233</v>
          </cell>
          <cell r="I52">
            <v>150358</v>
          </cell>
          <cell r="J52">
            <v>7825</v>
          </cell>
          <cell r="V52">
            <v>3029920</v>
          </cell>
          <cell r="Y52">
            <v>233796</v>
          </cell>
          <cell r="Z52">
            <v>83102</v>
          </cell>
          <cell r="AG52">
            <v>218981</v>
          </cell>
          <cell r="AK52">
            <v>5165</v>
          </cell>
        </row>
        <row r="53">
          <cell r="B53">
            <v>6862855</v>
          </cell>
          <cell r="C53">
            <v>1168752</v>
          </cell>
          <cell r="F53">
            <v>4485687</v>
          </cell>
          <cell r="H53">
            <v>364034</v>
          </cell>
          <cell r="I53">
            <v>265776</v>
          </cell>
          <cell r="J53">
            <v>6995</v>
          </cell>
          <cell r="V53">
            <v>3451561</v>
          </cell>
          <cell r="Y53">
            <v>413710</v>
          </cell>
          <cell r="Z53">
            <v>65333</v>
          </cell>
          <cell r="AG53">
            <v>193446</v>
          </cell>
          <cell r="AK53">
            <v>7845</v>
          </cell>
        </row>
        <row r="54">
          <cell r="B54">
            <v>7863204</v>
          </cell>
          <cell r="C54">
            <v>373041</v>
          </cell>
          <cell r="F54">
            <v>5050696</v>
          </cell>
          <cell r="H54">
            <v>4339</v>
          </cell>
          <cell r="I54">
            <v>929820</v>
          </cell>
          <cell r="J54">
            <v>6380</v>
          </cell>
          <cell r="V54">
            <v>4022630</v>
          </cell>
          <cell r="Y54">
            <v>355581</v>
          </cell>
          <cell r="Z54">
            <v>71263</v>
          </cell>
          <cell r="AG54">
            <v>122183</v>
          </cell>
          <cell r="AK54">
            <v>13469</v>
          </cell>
        </row>
        <row r="55">
          <cell r="B55">
            <v>7782236</v>
          </cell>
          <cell r="C55">
            <v>421943</v>
          </cell>
          <cell r="F55">
            <v>4671984</v>
          </cell>
          <cell r="H55">
            <v>363724</v>
          </cell>
          <cell r="I55">
            <v>238970</v>
          </cell>
          <cell r="J55">
            <v>6686</v>
          </cell>
          <cell r="V55">
            <v>3658159</v>
          </cell>
          <cell r="Y55">
            <v>362326</v>
          </cell>
          <cell r="Z55">
            <v>70284</v>
          </cell>
          <cell r="AG55">
            <v>106487</v>
          </cell>
          <cell r="AK55">
            <v>6773</v>
          </cell>
        </row>
        <row r="56">
          <cell r="B56">
            <v>7426821</v>
          </cell>
          <cell r="C56">
            <v>352591</v>
          </cell>
          <cell r="F56">
            <v>4738919</v>
          </cell>
          <cell r="H56">
            <v>558278</v>
          </cell>
          <cell r="I56">
            <v>213534</v>
          </cell>
          <cell r="J56">
            <v>6399</v>
          </cell>
          <cell r="V56">
            <v>3819638</v>
          </cell>
          <cell r="Y56">
            <v>306696</v>
          </cell>
          <cell r="Z56">
            <v>64407</v>
          </cell>
          <cell r="AG56">
            <v>102308</v>
          </cell>
          <cell r="AK56">
            <v>8075</v>
          </cell>
        </row>
        <row r="57">
          <cell r="B57">
            <v>6697417</v>
          </cell>
          <cell r="C57">
            <v>211571</v>
          </cell>
          <cell r="F57">
            <v>3996389</v>
          </cell>
          <cell r="H57">
            <v>347805</v>
          </cell>
          <cell r="I57">
            <v>393020</v>
          </cell>
          <cell r="J57">
            <v>2524</v>
          </cell>
          <cell r="V57">
            <v>3223902</v>
          </cell>
          <cell r="Y57">
            <v>157446</v>
          </cell>
          <cell r="Z57">
            <v>89032</v>
          </cell>
          <cell r="AG57">
            <v>60260</v>
          </cell>
          <cell r="AK57">
            <v>5105</v>
          </cell>
        </row>
        <row r="58">
          <cell r="B58">
            <v>8622891</v>
          </cell>
          <cell r="C58">
            <v>395440</v>
          </cell>
          <cell r="F58">
            <v>5641987</v>
          </cell>
          <cell r="H58">
            <v>540585</v>
          </cell>
          <cell r="I58">
            <v>318647</v>
          </cell>
          <cell r="J58">
            <v>7564</v>
          </cell>
          <cell r="V58">
            <v>4555049</v>
          </cell>
          <cell r="Y58">
            <v>497203</v>
          </cell>
          <cell r="Z58">
            <v>112236</v>
          </cell>
          <cell r="AG58">
            <v>164065</v>
          </cell>
          <cell r="AK58">
            <v>9303</v>
          </cell>
        </row>
        <row r="59">
          <cell r="B59">
            <v>7337246</v>
          </cell>
          <cell r="C59">
            <v>414781</v>
          </cell>
          <cell r="F59">
            <v>4164912</v>
          </cell>
          <cell r="H59">
            <v>374856</v>
          </cell>
          <cell r="I59">
            <v>498622</v>
          </cell>
          <cell r="J59">
            <v>7566</v>
          </cell>
          <cell r="V59">
            <v>3347237</v>
          </cell>
          <cell r="Y59">
            <v>386344</v>
          </cell>
          <cell r="Z59">
            <v>73963</v>
          </cell>
          <cell r="AG59">
            <v>250700</v>
          </cell>
          <cell r="AK59">
            <v>20656</v>
          </cell>
        </row>
        <row r="60">
          <cell r="B60">
            <v>7709586</v>
          </cell>
          <cell r="C60">
            <v>465625</v>
          </cell>
          <cell r="F60">
            <v>4980500</v>
          </cell>
          <cell r="H60">
            <v>593135</v>
          </cell>
          <cell r="I60">
            <v>240287</v>
          </cell>
          <cell r="J60">
            <v>4635</v>
          </cell>
          <cell r="V60">
            <v>4037888</v>
          </cell>
          <cell r="Y60">
            <v>368442</v>
          </cell>
          <cell r="Z60">
            <v>98144</v>
          </cell>
          <cell r="AG60">
            <v>264888</v>
          </cell>
          <cell r="AK60">
            <v>11722</v>
          </cell>
        </row>
        <row r="61">
          <cell r="B61">
            <v>7628842</v>
          </cell>
          <cell r="C61">
            <v>562221</v>
          </cell>
          <cell r="F61">
            <v>4750559</v>
          </cell>
          <cell r="H61">
            <v>413464</v>
          </cell>
          <cell r="I61">
            <v>217431</v>
          </cell>
          <cell r="J61">
            <v>2402</v>
          </cell>
          <cell r="V61">
            <v>3770053</v>
          </cell>
          <cell r="Y61">
            <v>373167</v>
          </cell>
          <cell r="Z61">
            <v>87383</v>
          </cell>
          <cell r="AG61">
            <v>288636</v>
          </cell>
          <cell r="AK61">
            <v>9456</v>
          </cell>
        </row>
        <row r="62">
          <cell r="B62">
            <v>7744433</v>
          </cell>
          <cell r="C62">
            <v>477180</v>
          </cell>
          <cell r="F62">
            <v>4879029</v>
          </cell>
          <cell r="H62">
            <v>607689</v>
          </cell>
          <cell r="I62">
            <v>227803</v>
          </cell>
          <cell r="J62">
            <v>8632</v>
          </cell>
          <cell r="V62">
            <v>3966152</v>
          </cell>
          <cell r="Y62">
            <v>351878</v>
          </cell>
          <cell r="Z62">
            <v>87444</v>
          </cell>
          <cell r="AG62">
            <v>253299</v>
          </cell>
          <cell r="AK62">
            <v>9694</v>
          </cell>
        </row>
        <row r="63">
          <cell r="B63">
            <v>7479394</v>
          </cell>
          <cell r="C63">
            <v>406811</v>
          </cell>
          <cell r="F63">
            <v>4761403</v>
          </cell>
          <cell r="H63">
            <v>359133</v>
          </cell>
          <cell r="I63">
            <v>316703</v>
          </cell>
          <cell r="J63">
            <v>4470</v>
          </cell>
          <cell r="V63">
            <v>3833142</v>
          </cell>
          <cell r="Y63">
            <v>328275</v>
          </cell>
          <cell r="Z63">
            <v>90768</v>
          </cell>
          <cell r="AG63">
            <v>171104</v>
          </cell>
          <cell r="AK63">
            <v>12375</v>
          </cell>
        </row>
        <row r="64">
          <cell r="B64">
            <v>7764650</v>
          </cell>
          <cell r="C64">
            <v>503295</v>
          </cell>
          <cell r="F64">
            <v>5020664</v>
          </cell>
          <cell r="H64">
            <v>588437</v>
          </cell>
          <cell r="I64">
            <v>221470</v>
          </cell>
          <cell r="J64">
            <v>7914</v>
          </cell>
          <cell r="V64">
            <v>4019317</v>
          </cell>
          <cell r="Y64">
            <v>398726</v>
          </cell>
          <cell r="Z64">
            <v>94393</v>
          </cell>
          <cell r="AG64">
            <v>206433</v>
          </cell>
          <cell r="AK64">
            <v>9982</v>
          </cell>
        </row>
        <row r="65">
          <cell r="B65">
            <v>6497909</v>
          </cell>
          <cell r="C65">
            <v>840765</v>
          </cell>
          <cell r="F65">
            <v>4645549</v>
          </cell>
          <cell r="H65">
            <v>357846</v>
          </cell>
          <cell r="I65">
            <v>157797</v>
          </cell>
          <cell r="J65">
            <v>5197</v>
          </cell>
          <cell r="V65">
            <v>3728470</v>
          </cell>
          <cell r="Y65">
            <v>305489</v>
          </cell>
          <cell r="Z65">
            <v>72184</v>
          </cell>
          <cell r="AG65">
            <v>203161</v>
          </cell>
          <cell r="AK65">
            <v>13050</v>
          </cell>
        </row>
        <row r="66">
          <cell r="B66">
            <v>8214621</v>
          </cell>
          <cell r="C66">
            <v>325411</v>
          </cell>
          <cell r="F66">
            <v>5175828</v>
          </cell>
          <cell r="H66">
            <v>350355</v>
          </cell>
          <cell r="I66">
            <v>951597</v>
          </cell>
          <cell r="J66">
            <v>3844</v>
          </cell>
          <cell r="V66">
            <v>4198773</v>
          </cell>
          <cell r="Y66">
            <v>354537</v>
          </cell>
          <cell r="Z66">
            <v>81876</v>
          </cell>
          <cell r="AG66">
            <v>129846</v>
          </cell>
          <cell r="AK66">
            <v>6609</v>
          </cell>
        </row>
        <row r="67">
          <cell r="B67">
            <v>7635837</v>
          </cell>
          <cell r="C67">
            <v>456287</v>
          </cell>
          <cell r="F67">
            <v>5027834</v>
          </cell>
          <cell r="H67">
            <v>374873</v>
          </cell>
          <cell r="I67">
            <v>238357</v>
          </cell>
          <cell r="J67">
            <v>4395</v>
          </cell>
          <cell r="V67">
            <v>4094329</v>
          </cell>
          <cell r="Y67">
            <v>370314</v>
          </cell>
          <cell r="Z67">
            <v>71018</v>
          </cell>
          <cell r="AG67">
            <v>104135</v>
          </cell>
          <cell r="AK67">
            <v>7939</v>
          </cell>
        </row>
        <row r="68">
          <cell r="B68">
            <v>8544680</v>
          </cell>
          <cell r="C68">
            <v>297676</v>
          </cell>
          <cell r="F68">
            <v>5370491</v>
          </cell>
          <cell r="H68">
            <v>537247</v>
          </cell>
          <cell r="I68">
            <v>184743</v>
          </cell>
          <cell r="J68">
            <v>5363</v>
          </cell>
          <cell r="V68">
            <v>4263659</v>
          </cell>
          <cell r="Y68">
            <v>539633</v>
          </cell>
          <cell r="Z68">
            <v>84189</v>
          </cell>
          <cell r="AG68">
            <v>105101</v>
          </cell>
          <cell r="AK68">
            <v>9469</v>
          </cell>
        </row>
        <row r="69">
          <cell r="B69">
            <v>7014328</v>
          </cell>
          <cell r="C69">
            <v>281334</v>
          </cell>
          <cell r="F69">
            <v>4662875</v>
          </cell>
          <cell r="H69">
            <v>343183</v>
          </cell>
          <cell r="I69">
            <v>164366</v>
          </cell>
          <cell r="J69">
            <v>4046</v>
          </cell>
          <cell r="V69">
            <v>3890207</v>
          </cell>
          <cell r="Y69">
            <v>295253</v>
          </cell>
          <cell r="Z69">
            <v>89693</v>
          </cell>
          <cell r="AG69">
            <v>80948</v>
          </cell>
          <cell r="AK69">
            <v>3842</v>
          </cell>
        </row>
        <row r="70">
          <cell r="B70">
            <v>7955202</v>
          </cell>
          <cell r="C70">
            <v>416272</v>
          </cell>
          <cell r="F70">
            <v>5442644</v>
          </cell>
          <cell r="H70">
            <v>543232</v>
          </cell>
          <cell r="I70">
            <v>196627</v>
          </cell>
          <cell r="J70">
            <v>4880</v>
          </cell>
          <cell r="V70">
            <v>4653382</v>
          </cell>
          <cell r="Y70">
            <v>309957</v>
          </cell>
          <cell r="Z70">
            <v>111971</v>
          </cell>
          <cell r="AG70">
            <v>176283</v>
          </cell>
          <cell r="AK70">
            <v>7509</v>
          </cell>
        </row>
        <row r="71">
          <cell r="B71">
            <v>7397247</v>
          </cell>
          <cell r="C71">
            <v>471957</v>
          </cell>
          <cell r="F71">
            <v>4850130</v>
          </cell>
          <cell r="H71">
            <v>336536</v>
          </cell>
          <cell r="I71">
            <v>298620</v>
          </cell>
          <cell r="J71">
            <v>4655</v>
          </cell>
          <cell r="V71">
            <v>3852005</v>
          </cell>
          <cell r="Y71">
            <v>387718</v>
          </cell>
          <cell r="Z71">
            <v>93734</v>
          </cell>
          <cell r="AG71">
            <v>282475</v>
          </cell>
          <cell r="AK71">
            <v>9497</v>
          </cell>
        </row>
        <row r="72">
          <cell r="B72">
            <v>8594088</v>
          </cell>
          <cell r="C72">
            <v>601339</v>
          </cell>
          <cell r="F72">
            <v>5585545</v>
          </cell>
          <cell r="H72">
            <v>577728</v>
          </cell>
          <cell r="I72">
            <v>415125</v>
          </cell>
          <cell r="J72">
            <v>4065</v>
          </cell>
          <cell r="V72">
            <v>4538586</v>
          </cell>
          <cell r="Y72">
            <v>424089</v>
          </cell>
          <cell r="Z72">
            <v>95808</v>
          </cell>
          <cell r="AG72">
            <v>302825</v>
          </cell>
          <cell r="AK72">
            <v>14670</v>
          </cell>
        </row>
        <row r="73">
          <cell r="B73">
            <v>7813737</v>
          </cell>
          <cell r="C73">
            <v>536036</v>
          </cell>
          <cell r="F73">
            <v>5344922</v>
          </cell>
          <cell r="H73">
            <v>362618</v>
          </cell>
          <cell r="I73">
            <v>188094</v>
          </cell>
          <cell r="J73">
            <v>4912</v>
          </cell>
          <cell r="V73">
            <v>4330499</v>
          </cell>
          <cell r="Y73">
            <v>469481</v>
          </cell>
          <cell r="Z73">
            <v>85324</v>
          </cell>
          <cell r="AG73">
            <v>276816</v>
          </cell>
          <cell r="AK73">
            <v>4824</v>
          </cell>
        </row>
        <row r="74">
          <cell r="B74">
            <v>7691746</v>
          </cell>
          <cell r="C74">
            <v>452725</v>
          </cell>
          <cell r="F74">
            <v>5111368</v>
          </cell>
          <cell r="H74">
            <v>608037</v>
          </cell>
          <cell r="I74">
            <v>196155</v>
          </cell>
          <cell r="J74">
            <v>2972</v>
          </cell>
          <cell r="V74">
            <v>4257464</v>
          </cell>
          <cell r="Y74">
            <v>404138</v>
          </cell>
          <cell r="Z74">
            <v>87211</v>
          </cell>
          <cell r="AG74">
            <v>181877</v>
          </cell>
          <cell r="AK74">
            <v>9923</v>
          </cell>
        </row>
        <row r="75">
          <cell r="B75">
            <v>6564442</v>
          </cell>
          <cell r="C75">
            <v>484803</v>
          </cell>
          <cell r="F75">
            <v>4508463</v>
          </cell>
          <cell r="H75">
            <v>315296</v>
          </cell>
          <cell r="I75">
            <v>199267</v>
          </cell>
          <cell r="J75">
            <v>7476</v>
          </cell>
          <cell r="V75">
            <v>3677955</v>
          </cell>
          <cell r="Y75">
            <v>390745</v>
          </cell>
          <cell r="Z75">
            <v>73939</v>
          </cell>
          <cell r="AG75">
            <v>203352</v>
          </cell>
          <cell r="AK75">
            <v>4129</v>
          </cell>
        </row>
        <row r="76">
          <cell r="B76">
            <v>7130905</v>
          </cell>
          <cell r="C76">
            <v>696768</v>
          </cell>
          <cell r="F76">
            <v>4789304</v>
          </cell>
          <cell r="H76">
            <v>590687</v>
          </cell>
          <cell r="I76">
            <v>163695</v>
          </cell>
          <cell r="J76">
            <v>4052</v>
          </cell>
          <cell r="V76">
            <v>3925666</v>
          </cell>
          <cell r="Y76">
            <v>341532</v>
          </cell>
          <cell r="Z76">
            <v>66068</v>
          </cell>
          <cell r="AG76">
            <v>238646</v>
          </cell>
          <cell r="AK76">
            <v>16048</v>
          </cell>
        </row>
        <row r="77">
          <cell r="B77">
            <v>6519826</v>
          </cell>
          <cell r="C77">
            <v>718213</v>
          </cell>
          <cell r="F77">
            <v>4651223</v>
          </cell>
          <cell r="H77">
            <v>316902</v>
          </cell>
          <cell r="I77">
            <v>218840</v>
          </cell>
          <cell r="J77">
            <v>5011</v>
          </cell>
          <cell r="V77">
            <v>3731271</v>
          </cell>
          <cell r="Y77">
            <v>386768</v>
          </cell>
          <cell r="Z77">
            <v>82649</v>
          </cell>
          <cell r="AG77">
            <v>189132</v>
          </cell>
          <cell r="AK77">
            <v>8489</v>
          </cell>
        </row>
        <row r="78">
          <cell r="B78">
            <v>7720190</v>
          </cell>
          <cell r="C78">
            <v>502076</v>
          </cell>
          <cell r="F78">
            <v>5368796</v>
          </cell>
          <cell r="H78">
            <v>6012</v>
          </cell>
          <cell r="I78">
            <v>880771</v>
          </cell>
          <cell r="J78">
            <v>6157</v>
          </cell>
          <cell r="V78">
            <v>4336366</v>
          </cell>
          <cell r="Y78">
            <v>407516</v>
          </cell>
          <cell r="Z78">
            <v>95805</v>
          </cell>
          <cell r="AG78">
            <v>168537</v>
          </cell>
          <cell r="AK78">
            <v>8743</v>
          </cell>
        </row>
        <row r="79">
          <cell r="B79">
            <v>7872956</v>
          </cell>
          <cell r="C79">
            <v>687853</v>
          </cell>
          <cell r="F79">
            <v>5060895</v>
          </cell>
          <cell r="H79">
            <v>334003</v>
          </cell>
          <cell r="I79">
            <v>363519</v>
          </cell>
          <cell r="J79">
            <v>6934</v>
          </cell>
          <cell r="V79">
            <v>4112414</v>
          </cell>
          <cell r="Y79">
            <v>400756</v>
          </cell>
          <cell r="Z79">
            <v>62256</v>
          </cell>
          <cell r="AG79">
            <v>124127</v>
          </cell>
          <cell r="AK79">
            <v>8414</v>
          </cell>
        </row>
        <row r="80">
          <cell r="B80">
            <v>7563748</v>
          </cell>
          <cell r="C80">
            <v>572843</v>
          </cell>
          <cell r="F80">
            <v>4855173</v>
          </cell>
          <cell r="H80">
            <v>538062</v>
          </cell>
          <cell r="I80">
            <v>254093</v>
          </cell>
          <cell r="J80">
            <v>3843</v>
          </cell>
          <cell r="V80">
            <v>4137537</v>
          </cell>
          <cell r="Y80">
            <v>290820</v>
          </cell>
          <cell r="Z80">
            <v>95236</v>
          </cell>
          <cell r="AG80">
            <v>117801</v>
          </cell>
          <cell r="AK80">
            <v>4165</v>
          </cell>
        </row>
        <row r="81">
          <cell r="B81">
            <v>7062036</v>
          </cell>
          <cell r="C81">
            <v>281924</v>
          </cell>
          <cell r="F81">
            <v>4780197</v>
          </cell>
          <cell r="H81">
            <v>327276</v>
          </cell>
          <cell r="I81">
            <v>196281</v>
          </cell>
          <cell r="J81">
            <v>4425</v>
          </cell>
          <cell r="V81">
            <v>3630122</v>
          </cell>
          <cell r="Y81">
            <v>498256</v>
          </cell>
          <cell r="Z81">
            <v>109340</v>
          </cell>
          <cell r="AG81">
            <v>102533</v>
          </cell>
          <cell r="AK81">
            <v>4202</v>
          </cell>
        </row>
        <row r="82">
          <cell r="B82">
            <v>7535421</v>
          </cell>
          <cell r="C82">
            <v>464691</v>
          </cell>
          <cell r="F82">
            <v>5073527</v>
          </cell>
          <cell r="H82">
            <v>559178</v>
          </cell>
          <cell r="I82">
            <v>200935</v>
          </cell>
          <cell r="J82">
            <v>6814</v>
          </cell>
          <cell r="V82">
            <v>4175896</v>
          </cell>
          <cell r="Y82">
            <v>363634</v>
          </cell>
          <cell r="Z82">
            <v>109411</v>
          </cell>
          <cell r="AG82">
            <v>264509</v>
          </cell>
          <cell r="AK82">
            <v>7370</v>
          </cell>
        </row>
        <row r="83">
          <cell r="B83">
            <v>6664510</v>
          </cell>
          <cell r="C83">
            <v>503438</v>
          </cell>
          <cell r="F83">
            <v>4560367</v>
          </cell>
          <cell r="H83">
            <v>351492</v>
          </cell>
          <cell r="I83">
            <v>209554</v>
          </cell>
          <cell r="J83">
            <v>6765</v>
          </cell>
          <cell r="V83">
            <v>3759323</v>
          </cell>
          <cell r="Y83">
            <v>383284</v>
          </cell>
          <cell r="Z83">
            <v>96973</v>
          </cell>
          <cell r="AG83">
            <v>293635</v>
          </cell>
          <cell r="AK83">
            <v>11050</v>
          </cell>
        </row>
        <row r="84">
          <cell r="B84">
            <v>8334395</v>
          </cell>
          <cell r="C84">
            <v>541993</v>
          </cell>
          <cell r="F84">
            <v>5849770</v>
          </cell>
          <cell r="H84">
            <v>594722</v>
          </cell>
          <cell r="I84">
            <v>232706</v>
          </cell>
          <cell r="J84">
            <v>6386</v>
          </cell>
          <cell r="V84">
            <v>4844040</v>
          </cell>
          <cell r="Y84">
            <v>609207</v>
          </cell>
          <cell r="Z84">
            <v>108597</v>
          </cell>
          <cell r="AG84">
            <v>349115</v>
          </cell>
          <cell r="AK84">
            <v>4274</v>
          </cell>
        </row>
        <row r="85">
          <cell r="B85">
            <v>7077272</v>
          </cell>
          <cell r="C85">
            <v>845397</v>
          </cell>
          <cell r="F85">
            <v>5102757</v>
          </cell>
          <cell r="H85">
            <v>321942</v>
          </cell>
          <cell r="I85">
            <v>170560</v>
          </cell>
          <cell r="J85">
            <v>5083</v>
          </cell>
          <cell r="V85">
            <v>4016060</v>
          </cell>
          <cell r="Y85">
            <v>579869</v>
          </cell>
          <cell r="Z85">
            <v>103489</v>
          </cell>
          <cell r="AG85">
            <v>349280</v>
          </cell>
          <cell r="AK85">
            <v>7236</v>
          </cell>
        </row>
        <row r="86">
          <cell r="B86">
            <v>6756781</v>
          </cell>
          <cell r="C86">
            <v>233382</v>
          </cell>
          <cell r="F86">
            <v>4670539</v>
          </cell>
          <cell r="H86">
            <v>531245</v>
          </cell>
          <cell r="I86">
            <v>158320</v>
          </cell>
          <cell r="J86">
            <v>8634</v>
          </cell>
          <cell r="V86">
            <v>3868865</v>
          </cell>
          <cell r="Y86">
            <v>436639</v>
          </cell>
          <cell r="Z86">
            <v>108162</v>
          </cell>
          <cell r="AG86">
            <v>149398</v>
          </cell>
          <cell r="AK86">
            <v>5153</v>
          </cell>
        </row>
        <row r="87">
          <cell r="B87">
            <v>6591214</v>
          </cell>
          <cell r="C87">
            <v>308246</v>
          </cell>
          <cell r="F87">
            <v>4933946</v>
          </cell>
          <cell r="H87">
            <v>256338</v>
          </cell>
          <cell r="I87">
            <v>126496</v>
          </cell>
          <cell r="J87">
            <v>2352</v>
          </cell>
          <cell r="V87">
            <v>4301696</v>
          </cell>
          <cell r="Y87">
            <v>375750</v>
          </cell>
          <cell r="Z87">
            <v>81990</v>
          </cell>
          <cell r="AG87">
            <v>150736</v>
          </cell>
          <cell r="AK87">
            <v>604</v>
          </cell>
        </row>
        <row r="88">
          <cell r="B88">
            <v>6673613</v>
          </cell>
          <cell r="C88">
            <v>379108</v>
          </cell>
          <cell r="F88">
            <v>4741576</v>
          </cell>
          <cell r="H88">
            <v>501904</v>
          </cell>
          <cell r="I88">
            <v>117657</v>
          </cell>
          <cell r="J88">
            <v>9164</v>
          </cell>
          <cell r="V88">
            <v>3593481</v>
          </cell>
          <cell r="Y88">
            <v>644328</v>
          </cell>
          <cell r="Z88">
            <v>87215</v>
          </cell>
          <cell r="AG88">
            <v>155602</v>
          </cell>
          <cell r="AK88">
            <v>7</v>
          </cell>
        </row>
        <row r="89">
          <cell r="B89">
            <v>6523853</v>
          </cell>
          <cell r="C89">
            <v>508510</v>
          </cell>
          <cell r="F89">
            <v>4643090</v>
          </cell>
          <cell r="H89">
            <v>252690</v>
          </cell>
          <cell r="I89">
            <v>193797</v>
          </cell>
          <cell r="J89">
            <v>7661</v>
          </cell>
          <cell r="V89">
            <v>3639410</v>
          </cell>
          <cell r="Y89">
            <v>479781</v>
          </cell>
          <cell r="Z89">
            <v>91365</v>
          </cell>
          <cell r="AG89">
            <v>253872</v>
          </cell>
          <cell r="AK89">
            <v>8258</v>
          </cell>
        </row>
        <row r="90">
          <cell r="B90">
            <v>7441435</v>
          </cell>
          <cell r="C90">
            <v>1114562</v>
          </cell>
          <cell r="F90">
            <v>5134721</v>
          </cell>
          <cell r="H90">
            <v>5999</v>
          </cell>
          <cell r="I90">
            <v>726777</v>
          </cell>
          <cell r="J90">
            <v>4437</v>
          </cell>
          <cell r="V90">
            <v>4048891</v>
          </cell>
          <cell r="Y90">
            <v>448224</v>
          </cell>
          <cell r="Z90">
            <v>93135</v>
          </cell>
          <cell r="AG90">
            <v>280702</v>
          </cell>
          <cell r="AK90">
            <v>12073</v>
          </cell>
        </row>
        <row r="91">
          <cell r="B91">
            <v>7089012</v>
          </cell>
          <cell r="C91">
            <v>744465</v>
          </cell>
          <cell r="F91">
            <v>4713466</v>
          </cell>
          <cell r="H91">
            <v>226103</v>
          </cell>
          <cell r="I91">
            <v>271681</v>
          </cell>
          <cell r="J91">
            <v>4476</v>
          </cell>
          <cell r="V91">
            <v>3863442</v>
          </cell>
          <cell r="Y91">
            <v>554129</v>
          </cell>
          <cell r="Z91">
            <v>97951</v>
          </cell>
          <cell r="AG91">
            <v>193426</v>
          </cell>
          <cell r="AK91">
            <v>9989</v>
          </cell>
        </row>
        <row r="92">
          <cell r="B92">
            <v>7233885</v>
          </cell>
          <cell r="C92">
            <v>524740</v>
          </cell>
          <cell r="F92">
            <v>4901420</v>
          </cell>
          <cell r="H92">
            <v>424145</v>
          </cell>
          <cell r="I92">
            <v>248157</v>
          </cell>
          <cell r="J92">
            <v>4483</v>
          </cell>
          <cell r="V92">
            <v>3816222</v>
          </cell>
          <cell r="Y92">
            <v>519556</v>
          </cell>
          <cell r="Z92">
            <v>121245</v>
          </cell>
          <cell r="AG92">
            <v>139901</v>
          </cell>
          <cell r="AK92">
            <v>6272</v>
          </cell>
        </row>
        <row r="93">
          <cell r="B93">
            <v>6350271</v>
          </cell>
          <cell r="C93">
            <v>348810</v>
          </cell>
          <cell r="F93">
            <v>4465717</v>
          </cell>
          <cell r="H93">
            <v>226380</v>
          </cell>
          <cell r="I93">
            <v>152595</v>
          </cell>
          <cell r="J93">
            <v>1980</v>
          </cell>
          <cell r="V93">
            <v>3518759</v>
          </cell>
          <cell r="Y93">
            <v>384359</v>
          </cell>
          <cell r="Z93">
            <v>106420</v>
          </cell>
          <cell r="AG93">
            <v>71602</v>
          </cell>
          <cell r="AK93">
            <v>6034</v>
          </cell>
        </row>
        <row r="94">
          <cell r="B94">
            <v>7098745</v>
          </cell>
          <cell r="C94">
            <v>525271</v>
          </cell>
          <cell r="F94">
            <v>4792198</v>
          </cell>
          <cell r="H94">
            <v>438139</v>
          </cell>
          <cell r="I94">
            <v>344177</v>
          </cell>
          <cell r="J94">
            <v>15612</v>
          </cell>
          <cell r="V94">
            <v>3721948</v>
          </cell>
          <cell r="Y94">
            <v>476676</v>
          </cell>
          <cell r="Z94">
            <v>103242</v>
          </cell>
          <cell r="AG94">
            <v>119745</v>
          </cell>
          <cell r="AK94">
            <v>11547</v>
          </cell>
        </row>
        <row r="95">
          <cell r="B95">
            <v>6457279</v>
          </cell>
          <cell r="C95">
            <v>480980</v>
          </cell>
          <cell r="F95">
            <v>4253139</v>
          </cell>
          <cell r="H95">
            <v>231641</v>
          </cell>
          <cell r="I95">
            <v>203382</v>
          </cell>
          <cell r="J95">
            <v>7504</v>
          </cell>
          <cell r="V95">
            <v>3095910</v>
          </cell>
          <cell r="Y95">
            <v>464769</v>
          </cell>
          <cell r="Z95">
            <v>105128</v>
          </cell>
          <cell r="AG95">
            <v>287347</v>
          </cell>
          <cell r="AK95">
            <v>12030</v>
          </cell>
        </row>
        <row r="96">
          <cell r="B96">
            <v>7816055</v>
          </cell>
          <cell r="C96">
            <v>613633</v>
          </cell>
          <cell r="F96">
            <v>5049252</v>
          </cell>
          <cell r="H96">
            <v>454496</v>
          </cell>
          <cell r="I96">
            <v>394066</v>
          </cell>
          <cell r="J96">
            <v>5152</v>
          </cell>
          <cell r="V96">
            <v>3593671</v>
          </cell>
          <cell r="Y96">
            <v>482309</v>
          </cell>
          <cell r="Z96">
            <v>121385</v>
          </cell>
          <cell r="AG96">
            <v>329153</v>
          </cell>
          <cell r="AK96">
            <v>13715</v>
          </cell>
        </row>
        <row r="97">
          <cell r="B97">
            <v>6972344</v>
          </cell>
          <cell r="C97">
            <v>649972</v>
          </cell>
          <cell r="F97">
            <v>4326773</v>
          </cell>
          <cell r="H97">
            <v>249848</v>
          </cell>
          <cell r="I97">
            <v>545642</v>
          </cell>
          <cell r="J97">
            <v>4128</v>
          </cell>
          <cell r="V97">
            <v>3108135</v>
          </cell>
          <cell r="Y97">
            <v>583947</v>
          </cell>
          <cell r="Z97">
            <v>106936</v>
          </cell>
          <cell r="AG97">
            <v>286550</v>
          </cell>
          <cell r="AK97">
            <v>8108</v>
          </cell>
        </row>
        <row r="98">
          <cell r="B98">
            <v>7170525</v>
          </cell>
          <cell r="C98">
            <v>628780</v>
          </cell>
          <cell r="F98">
            <v>4710926</v>
          </cell>
          <cell r="H98">
            <v>463683</v>
          </cell>
          <cell r="I98">
            <v>183229</v>
          </cell>
          <cell r="J98">
            <v>2960</v>
          </cell>
          <cell r="V98">
            <v>3532954</v>
          </cell>
          <cell r="Y98">
            <v>453318</v>
          </cell>
          <cell r="Z98">
            <v>103174</v>
          </cell>
          <cell r="AG98">
            <v>295506</v>
          </cell>
          <cell r="AK98">
            <v>13512</v>
          </cell>
        </row>
        <row r="99">
          <cell r="B99">
            <v>6652486</v>
          </cell>
          <cell r="C99">
            <v>386546</v>
          </cell>
          <cell r="F99">
            <v>4455021</v>
          </cell>
          <cell r="H99">
            <v>227324</v>
          </cell>
          <cell r="I99">
            <v>188433</v>
          </cell>
          <cell r="J99">
            <v>3983</v>
          </cell>
          <cell r="V99">
            <v>3384061</v>
          </cell>
          <cell r="Y99">
            <v>479390</v>
          </cell>
          <cell r="Z99">
            <v>105518</v>
          </cell>
          <cell r="AG99">
            <v>191385</v>
          </cell>
          <cell r="AK99">
            <v>12749</v>
          </cell>
        </row>
        <row r="100">
          <cell r="B100">
            <v>6783495</v>
          </cell>
          <cell r="C100">
            <v>396334</v>
          </cell>
          <cell r="F100">
            <v>4614810</v>
          </cell>
          <cell r="H100">
            <v>441244</v>
          </cell>
          <cell r="I100">
            <v>186555</v>
          </cell>
          <cell r="J100">
            <v>2648</v>
          </cell>
          <cell r="V100">
            <v>3672792</v>
          </cell>
          <cell r="Y100">
            <v>520551</v>
          </cell>
          <cell r="Z100">
            <v>90473</v>
          </cell>
          <cell r="AG100">
            <v>156546</v>
          </cell>
          <cell r="AK100">
            <v>8676</v>
          </cell>
        </row>
        <row r="101">
          <cell r="B101">
            <v>6190145</v>
          </cell>
          <cell r="C101">
            <v>647031</v>
          </cell>
          <cell r="F101">
            <v>4411330</v>
          </cell>
          <cell r="H101">
            <v>215128</v>
          </cell>
          <cell r="I101">
            <v>164209</v>
          </cell>
          <cell r="J101">
            <v>7063</v>
          </cell>
          <cell r="V101">
            <v>3266898</v>
          </cell>
          <cell r="Y101">
            <v>514874</v>
          </cell>
          <cell r="Z101">
            <v>97805</v>
          </cell>
          <cell r="AG101">
            <v>175467</v>
          </cell>
          <cell r="AK101">
            <v>4688</v>
          </cell>
        </row>
        <row r="102">
          <cell r="B102">
            <v>7484584</v>
          </cell>
          <cell r="C102">
            <v>564150</v>
          </cell>
          <cell r="F102">
            <v>5239621</v>
          </cell>
          <cell r="H102">
            <v>3201</v>
          </cell>
          <cell r="I102">
            <v>648038</v>
          </cell>
          <cell r="J102">
            <v>5033</v>
          </cell>
          <cell r="V102">
            <v>3738511</v>
          </cell>
          <cell r="Y102">
            <v>536060</v>
          </cell>
          <cell r="Z102">
            <v>97805</v>
          </cell>
          <cell r="AG102">
            <v>210370</v>
          </cell>
          <cell r="AK102">
            <v>5293</v>
          </cell>
        </row>
        <row r="103">
          <cell r="B103">
            <v>8157028</v>
          </cell>
          <cell r="C103">
            <v>628105</v>
          </cell>
          <cell r="F103">
            <v>5306171</v>
          </cell>
          <cell r="H103">
            <v>216044</v>
          </cell>
          <cell r="I103">
            <v>278332</v>
          </cell>
          <cell r="J103">
            <v>6201</v>
          </cell>
          <cell r="V103">
            <v>3865049</v>
          </cell>
          <cell r="Y103">
            <v>661427</v>
          </cell>
          <cell r="Z103">
            <v>104456</v>
          </cell>
          <cell r="AG103">
            <v>186524</v>
          </cell>
          <cell r="AK103">
            <v>5949</v>
          </cell>
        </row>
        <row r="104">
          <cell r="B104">
            <v>8031894</v>
          </cell>
          <cell r="C104">
            <v>829527</v>
          </cell>
          <cell r="F104">
            <v>4937287</v>
          </cell>
          <cell r="H104">
            <v>437871</v>
          </cell>
          <cell r="I104">
            <v>228892</v>
          </cell>
          <cell r="J104">
            <v>3227</v>
          </cell>
          <cell r="V104">
            <v>3767546</v>
          </cell>
          <cell r="Y104">
            <v>643038</v>
          </cell>
          <cell r="Z104">
            <v>103845</v>
          </cell>
          <cell r="AG104">
            <v>172315</v>
          </cell>
          <cell r="AK104">
            <v>10094</v>
          </cell>
        </row>
        <row r="105">
          <cell r="B105">
            <v>7074433</v>
          </cell>
          <cell r="C105">
            <v>482990</v>
          </cell>
          <cell r="F105">
            <v>4469483</v>
          </cell>
          <cell r="H105">
            <v>240402</v>
          </cell>
          <cell r="I105">
            <v>202018</v>
          </cell>
          <cell r="J105">
            <v>3457</v>
          </cell>
          <cell r="V105">
            <v>3333042</v>
          </cell>
          <cell r="Y105">
            <v>486735</v>
          </cell>
          <cell r="Z105">
            <v>113626</v>
          </cell>
          <cell r="AG105">
            <v>102642</v>
          </cell>
          <cell r="AK105">
            <v>5132</v>
          </cell>
        </row>
        <row r="106">
          <cell r="B106">
            <v>7326785</v>
          </cell>
          <cell r="C106">
            <v>477199</v>
          </cell>
          <cell r="F106">
            <v>4676075</v>
          </cell>
          <cell r="H106">
            <v>466736</v>
          </cell>
          <cell r="I106">
            <v>221842</v>
          </cell>
          <cell r="J106">
            <v>4420</v>
          </cell>
          <cell r="V106">
            <v>3573971</v>
          </cell>
          <cell r="Y106">
            <v>532126</v>
          </cell>
          <cell r="Z106">
            <v>137634</v>
          </cell>
          <cell r="AG106">
            <v>160488</v>
          </cell>
          <cell r="AK106">
            <v>12567</v>
          </cell>
        </row>
        <row r="107">
          <cell r="B107">
            <v>6640058</v>
          </cell>
          <cell r="C107">
            <v>778290</v>
          </cell>
          <cell r="F107">
            <v>4081746</v>
          </cell>
          <cell r="H107">
            <v>243997</v>
          </cell>
          <cell r="I107">
            <v>206719</v>
          </cell>
          <cell r="J107">
            <v>5112</v>
          </cell>
          <cell r="V107">
            <v>3030193</v>
          </cell>
          <cell r="Y107">
            <v>478826</v>
          </cell>
          <cell r="Z107">
            <v>104183</v>
          </cell>
          <cell r="AG107">
            <v>373243</v>
          </cell>
          <cell r="AK107">
            <v>11072</v>
          </cell>
        </row>
        <row r="108">
          <cell r="B108">
            <v>7887460</v>
          </cell>
          <cell r="C108">
            <v>801687</v>
          </cell>
          <cell r="F108">
            <v>4950935</v>
          </cell>
          <cell r="H108">
            <v>492137</v>
          </cell>
          <cell r="I108">
            <v>261823</v>
          </cell>
          <cell r="J108">
            <v>8223</v>
          </cell>
          <cell r="V108">
            <v>3772855</v>
          </cell>
          <cell r="Y108">
            <v>530405</v>
          </cell>
          <cell r="Z108">
            <v>120564</v>
          </cell>
          <cell r="AG108">
            <v>344516</v>
          </cell>
          <cell r="AK108">
            <v>9566</v>
          </cell>
        </row>
        <row r="109">
          <cell r="B109">
            <v>6857405</v>
          </cell>
          <cell r="C109">
            <v>682686</v>
          </cell>
          <cell r="F109">
            <v>4270124</v>
          </cell>
          <cell r="H109">
            <v>262756</v>
          </cell>
          <cell r="I109">
            <v>221285</v>
          </cell>
          <cell r="J109">
            <v>4165</v>
          </cell>
          <cell r="V109">
            <v>3114766</v>
          </cell>
          <cell r="Y109">
            <v>500110</v>
          </cell>
          <cell r="Z109">
            <v>92891</v>
          </cell>
          <cell r="AG109">
            <v>360692</v>
          </cell>
          <cell r="AK109">
            <v>8320</v>
          </cell>
        </row>
        <row r="110">
          <cell r="B110">
            <v>7394611</v>
          </cell>
          <cell r="C110">
            <v>469115</v>
          </cell>
          <cell r="F110">
            <v>4464370</v>
          </cell>
          <cell r="H110">
            <v>505298</v>
          </cell>
          <cell r="I110">
            <v>186380</v>
          </cell>
          <cell r="J110">
            <v>2551</v>
          </cell>
          <cell r="V110">
            <v>3335714</v>
          </cell>
          <cell r="Y110">
            <v>473274</v>
          </cell>
          <cell r="Z110">
            <v>102633</v>
          </cell>
          <cell r="AG110">
            <v>271384</v>
          </cell>
          <cell r="AK110">
            <v>7435</v>
          </cell>
        </row>
        <row r="111">
          <cell r="B111">
            <v>6784471</v>
          </cell>
          <cell r="C111">
            <v>436426</v>
          </cell>
          <cell r="F111">
            <v>4169962</v>
          </cell>
          <cell r="H111">
            <v>232746</v>
          </cell>
          <cell r="I111">
            <v>205476</v>
          </cell>
          <cell r="J111">
            <v>4826</v>
          </cell>
          <cell r="V111">
            <v>3216664</v>
          </cell>
          <cell r="Y111">
            <v>495820</v>
          </cell>
          <cell r="Z111">
            <v>91059</v>
          </cell>
          <cell r="AG111">
            <v>244910</v>
          </cell>
          <cell r="AK111">
            <v>7693</v>
          </cell>
        </row>
        <row r="112">
          <cell r="B112">
            <v>7277169</v>
          </cell>
          <cell r="C112">
            <v>593229</v>
          </cell>
          <cell r="F112">
            <v>4404609</v>
          </cell>
          <cell r="H112">
            <v>481927</v>
          </cell>
          <cell r="I112">
            <v>179467</v>
          </cell>
          <cell r="J112">
            <v>4769</v>
          </cell>
          <cell r="V112">
            <v>3282226</v>
          </cell>
          <cell r="Y112">
            <v>491710</v>
          </cell>
          <cell r="Z112">
            <v>97684</v>
          </cell>
          <cell r="AG112">
            <v>303909</v>
          </cell>
          <cell r="AK112">
            <v>6458</v>
          </cell>
        </row>
        <row r="113">
          <cell r="B113">
            <v>6650952</v>
          </cell>
          <cell r="C113">
            <v>711977</v>
          </cell>
          <cell r="F113">
            <v>4385541</v>
          </cell>
          <cell r="H113">
            <v>245560</v>
          </cell>
          <cell r="I113">
            <v>216753</v>
          </cell>
          <cell r="J113">
            <v>4630</v>
          </cell>
          <cell r="V113">
            <v>3221393</v>
          </cell>
          <cell r="Y113">
            <v>517430</v>
          </cell>
          <cell r="Z113">
            <v>96050</v>
          </cell>
          <cell r="AG113">
            <v>260162</v>
          </cell>
          <cell r="AK113">
            <v>9007</v>
          </cell>
        </row>
        <row r="114">
          <cell r="B114">
            <v>8925754</v>
          </cell>
          <cell r="C114">
            <v>551358</v>
          </cell>
          <cell r="F114">
            <v>5645039</v>
          </cell>
          <cell r="H114">
            <v>3921</v>
          </cell>
          <cell r="I114">
            <v>908411</v>
          </cell>
          <cell r="J114">
            <v>4369</v>
          </cell>
          <cell r="V114">
            <v>4195048</v>
          </cell>
          <cell r="Y114">
            <v>625482</v>
          </cell>
          <cell r="Z114">
            <v>105962</v>
          </cell>
          <cell r="AG114">
            <v>198121</v>
          </cell>
          <cell r="AK114">
            <v>11271</v>
          </cell>
        </row>
        <row r="115">
          <cell r="B115">
            <v>7701864</v>
          </cell>
          <cell r="C115">
            <v>698994</v>
          </cell>
          <cell r="F115">
            <v>4708929</v>
          </cell>
          <cell r="H115">
            <v>206674</v>
          </cell>
          <cell r="I115">
            <v>311955</v>
          </cell>
          <cell r="J115">
            <v>5310</v>
          </cell>
          <cell r="V115">
            <v>3407320</v>
          </cell>
          <cell r="Y115">
            <v>578253</v>
          </cell>
          <cell r="Z115">
            <v>96767</v>
          </cell>
          <cell r="AG115">
            <v>179901</v>
          </cell>
          <cell r="AK115">
            <v>7771</v>
          </cell>
        </row>
        <row r="116">
          <cell r="B116">
            <v>8295198</v>
          </cell>
          <cell r="C116">
            <v>475885</v>
          </cell>
          <cell r="F116">
            <v>4701389</v>
          </cell>
          <cell r="H116">
            <v>467935</v>
          </cell>
          <cell r="I116">
            <v>412917</v>
          </cell>
          <cell r="J116">
            <v>6363</v>
          </cell>
          <cell r="V116">
            <v>3429424</v>
          </cell>
          <cell r="Y116">
            <v>511459</v>
          </cell>
          <cell r="Z116">
            <v>111565</v>
          </cell>
          <cell r="AG116">
            <v>164091</v>
          </cell>
          <cell r="AK116">
            <v>12188</v>
          </cell>
        </row>
        <row r="117">
          <cell r="B117">
            <v>7403884</v>
          </cell>
          <cell r="C117">
            <v>358231</v>
          </cell>
          <cell r="F117">
            <v>4260546</v>
          </cell>
          <cell r="H117">
            <v>232519</v>
          </cell>
          <cell r="I117">
            <v>243999</v>
          </cell>
          <cell r="J117">
            <v>5266</v>
          </cell>
          <cell r="V117">
            <v>3083428</v>
          </cell>
          <cell r="Y117">
            <v>502762</v>
          </cell>
          <cell r="Z117">
            <v>106383</v>
          </cell>
          <cell r="AG117">
            <v>101140</v>
          </cell>
          <cell r="AK117">
            <v>3519</v>
          </cell>
        </row>
        <row r="118">
          <cell r="B118">
            <v>8337693</v>
          </cell>
          <cell r="C118">
            <v>407998</v>
          </cell>
          <cell r="F118">
            <v>5119408</v>
          </cell>
          <cell r="H118">
            <v>517963</v>
          </cell>
          <cell r="I118">
            <v>237036</v>
          </cell>
          <cell r="J118">
            <v>5468</v>
          </cell>
          <cell r="V118">
            <v>3892629</v>
          </cell>
          <cell r="Y118">
            <v>521371</v>
          </cell>
          <cell r="Z118">
            <v>151733</v>
          </cell>
          <cell r="AG118">
            <v>213501</v>
          </cell>
          <cell r="AK118">
            <v>3814</v>
          </cell>
        </row>
        <row r="119">
          <cell r="B119">
            <v>7590230</v>
          </cell>
          <cell r="C119">
            <v>575883</v>
          </cell>
          <cell r="F119">
            <v>4358183</v>
          </cell>
          <cell r="H119">
            <v>247267</v>
          </cell>
          <cell r="I119">
            <v>288102</v>
          </cell>
          <cell r="J119">
            <v>10529</v>
          </cell>
          <cell r="V119">
            <v>3011534</v>
          </cell>
          <cell r="Y119">
            <v>554206</v>
          </cell>
          <cell r="Z119">
            <v>159383</v>
          </cell>
          <cell r="AG119">
            <v>337908</v>
          </cell>
          <cell r="AK119">
            <v>23554</v>
          </cell>
        </row>
        <row r="120">
          <cell r="B120">
            <v>8293059</v>
          </cell>
          <cell r="C120">
            <v>686581</v>
          </cell>
          <cell r="F120">
            <v>5072509</v>
          </cell>
          <cell r="H120">
            <v>538762</v>
          </cell>
          <cell r="I120">
            <v>225899</v>
          </cell>
          <cell r="J120">
            <v>9144</v>
          </cell>
          <cell r="V120">
            <v>3741700</v>
          </cell>
          <cell r="Y120">
            <v>608433</v>
          </cell>
          <cell r="Z120">
            <v>138421</v>
          </cell>
          <cell r="AG120">
            <v>371689</v>
          </cell>
          <cell r="AK120">
            <v>8439</v>
          </cell>
        </row>
        <row r="121">
          <cell r="B121">
            <v>7821499</v>
          </cell>
          <cell r="C121">
            <v>666230</v>
          </cell>
          <cell r="F121">
            <v>4668395</v>
          </cell>
          <cell r="H121">
            <v>286152</v>
          </cell>
          <cell r="I121">
            <v>352830</v>
          </cell>
          <cell r="J121">
            <v>6224</v>
          </cell>
          <cell r="V121">
            <v>3353671</v>
          </cell>
          <cell r="Y121">
            <v>662374</v>
          </cell>
          <cell r="Z121">
            <v>120651</v>
          </cell>
          <cell r="AG121">
            <v>378842</v>
          </cell>
          <cell r="AK121">
            <v>10394</v>
          </cell>
        </row>
        <row r="122">
          <cell r="B122">
            <v>8609509</v>
          </cell>
          <cell r="C122">
            <v>899982</v>
          </cell>
          <cell r="F122">
            <v>4776915</v>
          </cell>
          <cell r="H122">
            <v>597431</v>
          </cell>
          <cell r="I122">
            <v>308659</v>
          </cell>
          <cell r="J122">
            <v>11323</v>
          </cell>
          <cell r="V122">
            <v>3590669</v>
          </cell>
          <cell r="Y122">
            <v>595145</v>
          </cell>
          <cell r="Z122">
            <v>121470</v>
          </cell>
          <cell r="AG122">
            <v>318688</v>
          </cell>
          <cell r="AK122">
            <v>7826</v>
          </cell>
        </row>
        <row r="123">
          <cell r="B123">
            <v>7485496</v>
          </cell>
          <cell r="C123">
            <v>284010</v>
          </cell>
          <cell r="F123">
            <v>4598103</v>
          </cell>
          <cell r="H123">
            <v>265228</v>
          </cell>
          <cell r="I123">
            <v>172935</v>
          </cell>
          <cell r="J123">
            <v>2685</v>
          </cell>
          <cell r="V123">
            <v>3458115</v>
          </cell>
          <cell r="Y123">
            <v>613406</v>
          </cell>
          <cell r="Z123">
            <v>118781</v>
          </cell>
          <cell r="AG123">
            <v>169849</v>
          </cell>
          <cell r="AK123">
            <v>4108</v>
          </cell>
        </row>
        <row r="124">
          <cell r="B124">
            <v>8097252</v>
          </cell>
          <cell r="C124">
            <v>524691</v>
          </cell>
          <cell r="F124">
            <v>4687454</v>
          </cell>
          <cell r="H124">
            <v>514445</v>
          </cell>
          <cell r="I124">
            <v>259162</v>
          </cell>
          <cell r="J124">
            <v>5679</v>
          </cell>
          <cell r="V124">
            <v>3367234</v>
          </cell>
          <cell r="Y124">
            <v>520376</v>
          </cell>
          <cell r="Z124">
            <v>113659</v>
          </cell>
          <cell r="AG124">
            <v>256689</v>
          </cell>
          <cell r="AK124">
            <v>15471</v>
          </cell>
        </row>
        <row r="125">
          <cell r="B125">
            <v>7071961</v>
          </cell>
          <cell r="C125">
            <v>1131702</v>
          </cell>
          <cell r="F125">
            <v>4604404</v>
          </cell>
          <cell r="H125">
            <v>241081</v>
          </cell>
          <cell r="I125">
            <v>226128</v>
          </cell>
          <cell r="J125">
            <v>5043</v>
          </cell>
          <cell r="V125">
            <v>3301991</v>
          </cell>
          <cell r="Y125">
            <v>551125</v>
          </cell>
          <cell r="Z125">
            <v>104545</v>
          </cell>
          <cell r="AG125">
            <v>300485</v>
          </cell>
          <cell r="AK125">
            <v>8948</v>
          </cell>
        </row>
        <row r="126">
          <cell r="B126">
            <v>10450197</v>
          </cell>
          <cell r="C126">
            <v>474068</v>
          </cell>
          <cell r="F126">
            <v>6342020</v>
          </cell>
          <cell r="H126">
            <v>12043</v>
          </cell>
          <cell r="I126">
            <v>1035609</v>
          </cell>
          <cell r="J126">
            <v>8026</v>
          </cell>
          <cell r="V126">
            <v>4111701</v>
          </cell>
          <cell r="Y126">
            <v>573997</v>
          </cell>
          <cell r="Z126">
            <v>155531</v>
          </cell>
          <cell r="AG126">
            <v>188973</v>
          </cell>
          <cell r="AK126">
            <v>9945</v>
          </cell>
        </row>
        <row r="127">
          <cell r="B127">
            <v>9358951</v>
          </cell>
          <cell r="C127">
            <v>442619</v>
          </cell>
          <cell r="F127">
            <v>5071524</v>
          </cell>
          <cell r="H127">
            <v>249259</v>
          </cell>
          <cell r="I127">
            <v>472871</v>
          </cell>
          <cell r="J127">
            <v>4054</v>
          </cell>
          <cell r="V127">
            <v>3554260</v>
          </cell>
          <cell r="Y127">
            <v>570816</v>
          </cell>
          <cell r="Z127">
            <v>137969</v>
          </cell>
          <cell r="AG127">
            <v>149109</v>
          </cell>
          <cell r="AK127">
            <v>11096</v>
          </cell>
        </row>
        <row r="128">
          <cell r="B128">
            <v>9130679</v>
          </cell>
          <cell r="C128">
            <v>475537</v>
          </cell>
          <cell r="F128">
            <v>5225869</v>
          </cell>
          <cell r="H128">
            <v>517707</v>
          </cell>
          <cell r="I128">
            <v>288671</v>
          </cell>
          <cell r="J128">
            <v>4988</v>
          </cell>
          <cell r="V128">
            <v>3823069</v>
          </cell>
          <cell r="Y128">
            <v>553696</v>
          </cell>
          <cell r="Z128">
            <v>169561</v>
          </cell>
          <cell r="AG128">
            <v>131564</v>
          </cell>
          <cell r="AK128">
            <v>10142</v>
          </cell>
        </row>
        <row r="129">
          <cell r="B129">
            <v>9441985</v>
          </cell>
          <cell r="C129">
            <v>434018</v>
          </cell>
          <cell r="F129">
            <v>4913873</v>
          </cell>
          <cell r="H129">
            <v>267355</v>
          </cell>
          <cell r="I129">
            <v>631781</v>
          </cell>
          <cell r="J129">
            <v>3272</v>
          </cell>
          <cell r="V129">
            <v>3539130</v>
          </cell>
          <cell r="Y129">
            <v>522002</v>
          </cell>
          <cell r="Z129">
            <v>161160</v>
          </cell>
          <cell r="AG129">
            <v>83584</v>
          </cell>
          <cell r="AK129">
            <v>4585</v>
          </cell>
        </row>
        <row r="130">
          <cell r="B130">
            <v>9241347</v>
          </cell>
          <cell r="C130">
            <v>781579</v>
          </cell>
          <cell r="F130">
            <v>5345391</v>
          </cell>
          <cell r="H130">
            <v>633051</v>
          </cell>
          <cell r="I130">
            <v>405524</v>
          </cell>
          <cell r="J130">
            <v>4728</v>
          </cell>
          <cell r="V130">
            <v>3880669</v>
          </cell>
          <cell r="Y130">
            <v>558092</v>
          </cell>
          <cell r="Z130">
            <v>177260</v>
          </cell>
          <cell r="AG130">
            <v>223220</v>
          </cell>
          <cell r="AK130">
            <v>9841</v>
          </cell>
        </row>
        <row r="131">
          <cell r="B131">
            <v>7793106</v>
          </cell>
          <cell r="C131">
            <v>709203</v>
          </cell>
          <cell r="F131">
            <v>4502793</v>
          </cell>
          <cell r="H131">
            <v>282689</v>
          </cell>
          <cell r="I131">
            <v>315018</v>
          </cell>
          <cell r="J131">
            <v>4439</v>
          </cell>
          <cell r="V131">
            <v>3090622</v>
          </cell>
          <cell r="Y131">
            <v>544110</v>
          </cell>
          <cell r="Z131">
            <v>128561</v>
          </cell>
          <cell r="AG131">
            <v>340901</v>
          </cell>
          <cell r="AK131">
            <v>9655</v>
          </cell>
        </row>
        <row r="132">
          <cell r="B132">
            <v>8959017</v>
          </cell>
          <cell r="C132">
            <v>647930</v>
          </cell>
          <cell r="F132">
            <v>5270500</v>
          </cell>
          <cell r="H132">
            <v>607219</v>
          </cell>
          <cell r="I132">
            <v>363178</v>
          </cell>
          <cell r="J132">
            <v>6785</v>
          </cell>
          <cell r="V132">
            <v>3793465</v>
          </cell>
          <cell r="Y132">
            <v>652737</v>
          </cell>
          <cell r="Z132">
            <v>138804</v>
          </cell>
          <cell r="AG132">
            <v>378367</v>
          </cell>
          <cell r="AK132">
            <v>14170</v>
          </cell>
        </row>
        <row r="133">
          <cell r="B133">
            <v>11566318</v>
          </cell>
          <cell r="C133">
            <v>625726</v>
          </cell>
          <cell r="F133">
            <v>4580184</v>
          </cell>
          <cell r="H133">
            <v>304350</v>
          </cell>
          <cell r="I133">
            <v>297377</v>
          </cell>
          <cell r="J133">
            <v>5957</v>
          </cell>
          <cell r="V133">
            <v>3349260</v>
          </cell>
          <cell r="Y133">
            <v>479464</v>
          </cell>
          <cell r="Z133">
            <v>128622</v>
          </cell>
          <cell r="AG133">
            <v>326099</v>
          </cell>
          <cell r="AK133">
            <v>9573</v>
          </cell>
        </row>
        <row r="134">
          <cell r="B134">
            <v>8678912</v>
          </cell>
          <cell r="C134">
            <v>651594</v>
          </cell>
          <cell r="F134">
            <v>5373980</v>
          </cell>
          <cell r="H134">
            <v>572444</v>
          </cell>
          <cell r="I134">
            <v>235115</v>
          </cell>
          <cell r="J134">
            <v>4914</v>
          </cell>
          <cell r="V134">
            <v>3892576</v>
          </cell>
          <cell r="Y134">
            <v>492767</v>
          </cell>
          <cell r="Z134">
            <v>133462</v>
          </cell>
          <cell r="AG134">
            <v>301853</v>
          </cell>
          <cell r="AK134">
            <v>10742</v>
          </cell>
        </row>
        <row r="135">
          <cell r="B135">
            <v>7562916</v>
          </cell>
          <cell r="C135">
            <v>450291</v>
          </cell>
          <cell r="F135">
            <v>4732159</v>
          </cell>
          <cell r="H135">
            <v>274999</v>
          </cell>
          <cell r="I135">
            <v>234685</v>
          </cell>
          <cell r="J135">
            <v>10354</v>
          </cell>
          <cell r="V135">
            <v>3402034</v>
          </cell>
          <cell r="Y135">
            <v>500293</v>
          </cell>
          <cell r="Z135">
            <v>115518</v>
          </cell>
          <cell r="AG135">
            <v>219712</v>
          </cell>
          <cell r="AK135">
            <v>4399</v>
          </cell>
        </row>
        <row r="136">
          <cell r="B136">
            <v>9310512</v>
          </cell>
          <cell r="C136">
            <v>913137</v>
          </cell>
          <cell r="F136">
            <v>5048403</v>
          </cell>
          <cell r="H136">
            <v>583950</v>
          </cell>
          <cell r="I136">
            <v>332808</v>
          </cell>
          <cell r="J136">
            <v>4078</v>
          </cell>
          <cell r="V136">
            <v>3671237</v>
          </cell>
          <cell r="Y136">
            <v>494068</v>
          </cell>
          <cell r="Z136">
            <v>107731</v>
          </cell>
          <cell r="AG136">
            <v>316346</v>
          </cell>
          <cell r="AK136">
            <v>38385</v>
          </cell>
        </row>
        <row r="137">
          <cell r="B137">
            <v>7699522</v>
          </cell>
          <cell r="C137">
            <v>786155</v>
          </cell>
          <cell r="F137">
            <v>5103046</v>
          </cell>
          <cell r="H137">
            <v>294037</v>
          </cell>
          <cell r="I137">
            <v>302824</v>
          </cell>
          <cell r="J137">
            <v>4187</v>
          </cell>
          <cell r="V137">
            <v>3480959</v>
          </cell>
          <cell r="Y137">
            <v>481500</v>
          </cell>
          <cell r="Z137">
            <v>116653</v>
          </cell>
          <cell r="AG137">
            <v>258768</v>
          </cell>
          <cell r="AK137">
            <v>20271</v>
          </cell>
        </row>
        <row r="138">
          <cell r="B138">
            <v>11552158</v>
          </cell>
          <cell r="C138">
            <v>486978</v>
          </cell>
          <cell r="F138">
            <v>6146139</v>
          </cell>
          <cell r="H138">
            <v>57237</v>
          </cell>
          <cell r="I138">
            <v>1064634</v>
          </cell>
          <cell r="J138">
            <v>4850</v>
          </cell>
          <cell r="V138">
            <v>4170065</v>
          </cell>
          <cell r="Y138">
            <v>518817</v>
          </cell>
          <cell r="Z138">
            <v>139248</v>
          </cell>
          <cell r="AG138">
            <v>178332</v>
          </cell>
          <cell r="AK138">
            <v>26896</v>
          </cell>
        </row>
        <row r="139">
          <cell r="B139">
            <v>9967401</v>
          </cell>
          <cell r="C139">
            <v>474689</v>
          </cell>
          <cell r="F139">
            <v>5311802</v>
          </cell>
          <cell r="H139">
            <v>272703</v>
          </cell>
          <cell r="I139">
            <v>469432</v>
          </cell>
          <cell r="J139">
            <v>18749</v>
          </cell>
          <cell r="V139">
            <v>3704796</v>
          </cell>
          <cell r="Y139">
            <v>533335</v>
          </cell>
          <cell r="Z139">
            <v>126642</v>
          </cell>
          <cell r="AG139">
            <v>136588</v>
          </cell>
          <cell r="AK139">
            <v>22109</v>
          </cell>
        </row>
        <row r="140">
          <cell r="B140">
            <v>10053636</v>
          </cell>
          <cell r="C140">
            <v>598297</v>
          </cell>
          <cell r="F140">
            <v>5853630</v>
          </cell>
          <cell r="H140">
            <v>522189</v>
          </cell>
          <cell r="I140">
            <v>352259</v>
          </cell>
          <cell r="J140">
            <v>4091</v>
          </cell>
          <cell r="V140">
            <v>3950664</v>
          </cell>
          <cell r="Y140">
            <v>505942</v>
          </cell>
          <cell r="Z140">
            <v>120150</v>
          </cell>
          <cell r="AG140">
            <v>112211</v>
          </cell>
          <cell r="AK140">
            <v>15959</v>
          </cell>
        </row>
        <row r="141">
          <cell r="B141">
            <v>9426544</v>
          </cell>
          <cell r="C141">
            <v>354498</v>
          </cell>
          <cell r="F141">
            <v>5396155</v>
          </cell>
          <cell r="H141">
            <v>296918</v>
          </cell>
          <cell r="I141">
            <v>560975</v>
          </cell>
          <cell r="J141">
            <v>8438</v>
          </cell>
          <cell r="V141">
            <v>3815491</v>
          </cell>
          <cell r="Y141">
            <v>492981</v>
          </cell>
          <cell r="Z141">
            <v>139495</v>
          </cell>
          <cell r="AG141">
            <v>82467</v>
          </cell>
          <cell r="AK141">
            <v>15670</v>
          </cell>
        </row>
        <row r="142">
          <cell r="B142">
            <v>9725028</v>
          </cell>
          <cell r="C142">
            <v>1184177</v>
          </cell>
          <cell r="F142">
            <v>5770406</v>
          </cell>
          <cell r="H142">
            <v>611423</v>
          </cell>
          <cell r="I142">
            <v>375077</v>
          </cell>
          <cell r="J142">
            <v>8229</v>
          </cell>
          <cell r="V142">
            <v>4011726</v>
          </cell>
          <cell r="Y142">
            <v>497259</v>
          </cell>
          <cell r="Z142">
            <v>197505</v>
          </cell>
          <cell r="AG142">
            <v>193098</v>
          </cell>
          <cell r="AK142">
            <v>13534</v>
          </cell>
        </row>
        <row r="143">
          <cell r="B143">
            <v>8915420</v>
          </cell>
          <cell r="C143">
            <v>562570</v>
          </cell>
          <cell r="F143">
            <v>5157414</v>
          </cell>
          <cell r="H143">
            <v>361126</v>
          </cell>
          <cell r="I143">
            <v>362770</v>
          </cell>
          <cell r="J143">
            <v>5852</v>
          </cell>
          <cell r="V143">
            <v>3398017</v>
          </cell>
          <cell r="Y143">
            <v>516112</v>
          </cell>
          <cell r="Z143">
            <v>165607</v>
          </cell>
          <cell r="AG143">
            <v>315392</v>
          </cell>
          <cell r="AK143">
            <v>25311</v>
          </cell>
        </row>
        <row r="144">
          <cell r="B144">
            <v>10387408</v>
          </cell>
          <cell r="C144">
            <v>675879</v>
          </cell>
          <cell r="F144">
            <v>6119776</v>
          </cell>
          <cell r="H144">
            <v>685363</v>
          </cell>
          <cell r="I144">
            <v>366808</v>
          </cell>
          <cell r="J144">
            <v>20513</v>
          </cell>
          <cell r="V144">
            <v>4223792</v>
          </cell>
          <cell r="Y144">
            <v>653845</v>
          </cell>
          <cell r="Z144">
            <v>136859</v>
          </cell>
          <cell r="AG144">
            <v>359730</v>
          </cell>
          <cell r="AK144">
            <v>28193</v>
          </cell>
        </row>
        <row r="145">
          <cell r="B145">
            <v>9557876</v>
          </cell>
          <cell r="C145">
            <v>697745</v>
          </cell>
          <cell r="F145">
            <v>5381309</v>
          </cell>
          <cell r="H145">
            <v>340249</v>
          </cell>
          <cell r="I145">
            <v>383956</v>
          </cell>
          <cell r="J145">
            <v>4109</v>
          </cell>
          <cell r="V145">
            <v>3741974</v>
          </cell>
          <cell r="Y145">
            <v>520870</v>
          </cell>
          <cell r="Z145">
            <v>126304</v>
          </cell>
          <cell r="AG145">
            <v>369158</v>
          </cell>
          <cell r="AK145">
            <v>11511</v>
          </cell>
        </row>
        <row r="146">
          <cell r="B146">
            <v>9404483</v>
          </cell>
          <cell r="C146">
            <v>477885</v>
          </cell>
          <cell r="F146">
            <v>5658160</v>
          </cell>
          <cell r="H146">
            <v>625739</v>
          </cell>
          <cell r="I146">
            <v>304418</v>
          </cell>
          <cell r="J146">
            <v>3367</v>
          </cell>
          <cell r="V146">
            <v>3998879</v>
          </cell>
          <cell r="Y146">
            <v>531838</v>
          </cell>
          <cell r="Z146">
            <v>128662</v>
          </cell>
          <cell r="AG146">
            <v>262279</v>
          </cell>
          <cell r="AK146">
            <v>7407</v>
          </cell>
        </row>
        <row r="147">
          <cell r="B147">
            <v>8571853</v>
          </cell>
          <cell r="C147">
            <v>575552</v>
          </cell>
          <cell r="F147">
            <v>5066021</v>
          </cell>
          <cell r="H147">
            <v>316427</v>
          </cell>
          <cell r="I147">
            <v>312217</v>
          </cell>
          <cell r="J147">
            <v>5119</v>
          </cell>
          <cell r="V147">
            <v>3606457</v>
          </cell>
          <cell r="Y147">
            <v>468848</v>
          </cell>
          <cell r="Z147">
            <v>112055</v>
          </cell>
          <cell r="AG147">
            <v>285016</v>
          </cell>
          <cell r="AK147">
            <v>10740</v>
          </cell>
        </row>
        <row r="148">
          <cell r="B148">
            <v>9135984</v>
          </cell>
          <cell r="C148">
            <v>858368</v>
          </cell>
          <cell r="F148">
            <v>5458589</v>
          </cell>
          <cell r="H148">
            <v>635617</v>
          </cell>
          <cell r="I148">
            <v>362809</v>
          </cell>
          <cell r="J148">
            <v>35604</v>
          </cell>
          <cell r="V148">
            <v>3842489</v>
          </cell>
          <cell r="Y148">
            <v>534158</v>
          </cell>
          <cell r="Z148">
            <v>131908</v>
          </cell>
          <cell r="AG148">
            <v>314461</v>
          </cell>
          <cell r="AK148">
            <v>8125</v>
          </cell>
        </row>
        <row r="149">
          <cell r="B149">
            <v>8030055</v>
          </cell>
          <cell r="C149">
            <v>911595</v>
          </cell>
          <cell r="F149">
            <v>5200742</v>
          </cell>
          <cell r="H149">
            <v>318843</v>
          </cell>
          <cell r="I149">
            <v>305216</v>
          </cell>
          <cell r="J149">
            <v>2934</v>
          </cell>
          <cell r="V149">
            <v>3493887</v>
          </cell>
          <cell r="Y149">
            <v>503103</v>
          </cell>
          <cell r="Z149">
            <v>131726</v>
          </cell>
          <cell r="AG149">
            <v>291616</v>
          </cell>
          <cell r="AK149">
            <v>9494</v>
          </cell>
        </row>
        <row r="150">
          <cell r="B150">
            <v>10485385</v>
          </cell>
          <cell r="C150">
            <v>647836</v>
          </cell>
          <cell r="F150">
            <v>6332167</v>
          </cell>
          <cell r="H150">
            <v>7419</v>
          </cell>
          <cell r="I150">
            <v>1089761</v>
          </cell>
          <cell r="J150">
            <v>5025</v>
          </cell>
          <cell r="V150">
            <v>4294473</v>
          </cell>
          <cell r="Y150">
            <v>576658</v>
          </cell>
          <cell r="Z150">
            <v>130958</v>
          </cell>
          <cell r="AG150">
            <v>226326</v>
          </cell>
          <cell r="AK150">
            <v>11669</v>
          </cell>
        </row>
        <row r="151">
          <cell r="B151">
            <v>9668888</v>
          </cell>
          <cell r="C151">
            <v>488989</v>
          </cell>
          <cell r="F151">
            <v>5432435</v>
          </cell>
          <cell r="H151">
            <v>285990</v>
          </cell>
          <cell r="I151">
            <v>432481</v>
          </cell>
          <cell r="J151">
            <v>4483</v>
          </cell>
          <cell r="V151">
            <v>3886889</v>
          </cell>
          <cell r="Y151">
            <v>567962</v>
          </cell>
          <cell r="Z151">
            <v>131532</v>
          </cell>
          <cell r="AG151">
            <v>168096</v>
          </cell>
          <cell r="AK151">
            <v>10079</v>
          </cell>
        </row>
        <row r="152">
          <cell r="B152">
            <v>8860863</v>
          </cell>
          <cell r="C152">
            <v>509456</v>
          </cell>
          <cell r="F152">
            <v>5126682</v>
          </cell>
          <cell r="H152">
            <v>563276</v>
          </cell>
          <cell r="I152">
            <v>297532</v>
          </cell>
          <cell r="J152">
            <v>6579</v>
          </cell>
          <cell r="V152">
            <v>3668748</v>
          </cell>
          <cell r="Y152">
            <v>526296</v>
          </cell>
          <cell r="Z152">
            <v>132953</v>
          </cell>
          <cell r="AG152">
            <v>142763</v>
          </cell>
          <cell r="AK152">
            <v>8014</v>
          </cell>
        </row>
        <row r="153">
          <cell r="B153">
            <v>8974366</v>
          </cell>
          <cell r="C153">
            <v>375132</v>
          </cell>
          <cell r="F153">
            <v>5219790</v>
          </cell>
          <cell r="H153">
            <v>397923</v>
          </cell>
          <cell r="I153">
            <v>307527</v>
          </cell>
          <cell r="J153">
            <v>12588</v>
          </cell>
          <cell r="V153">
            <v>3753802</v>
          </cell>
          <cell r="Y153">
            <v>584965</v>
          </cell>
          <cell r="Z153">
            <v>102145</v>
          </cell>
          <cell r="AG153">
            <v>98251</v>
          </cell>
          <cell r="AK153">
            <v>3218</v>
          </cell>
        </row>
        <row r="154">
          <cell r="B154">
            <v>9472075</v>
          </cell>
          <cell r="C154">
            <v>673039</v>
          </cell>
          <cell r="F154">
            <v>5610529</v>
          </cell>
          <cell r="H154">
            <v>646686</v>
          </cell>
          <cell r="I154">
            <v>294277</v>
          </cell>
          <cell r="J154">
            <v>7695</v>
          </cell>
          <cell r="V154">
            <v>3967036</v>
          </cell>
          <cell r="Y154">
            <v>563691</v>
          </cell>
          <cell r="Z154">
            <v>144750</v>
          </cell>
          <cell r="AG154">
            <v>213048</v>
          </cell>
          <cell r="AK154">
            <v>16936</v>
          </cell>
        </row>
        <row r="155">
          <cell r="B155">
            <v>8337462</v>
          </cell>
          <cell r="C155">
            <v>1203877</v>
          </cell>
          <cell r="F155">
            <v>4893460</v>
          </cell>
          <cell r="H155">
            <v>334251</v>
          </cell>
          <cell r="I155">
            <v>316341</v>
          </cell>
          <cell r="J155">
            <v>5150</v>
          </cell>
          <cell r="V155">
            <v>3272601</v>
          </cell>
          <cell r="Y155">
            <v>604874</v>
          </cell>
          <cell r="Z155">
            <v>240637</v>
          </cell>
          <cell r="AG155">
            <v>307621</v>
          </cell>
          <cell r="AK155">
            <v>10098</v>
          </cell>
        </row>
        <row r="156">
          <cell r="B156">
            <v>9572181</v>
          </cell>
          <cell r="C156">
            <v>841590</v>
          </cell>
          <cell r="F156">
            <v>5660396</v>
          </cell>
          <cell r="H156">
            <v>666867</v>
          </cell>
          <cell r="I156">
            <v>386858</v>
          </cell>
          <cell r="J156">
            <v>4452</v>
          </cell>
          <cell r="V156">
            <v>3943370</v>
          </cell>
          <cell r="Y156">
            <v>763104</v>
          </cell>
          <cell r="Z156">
            <v>151953</v>
          </cell>
          <cell r="AG156">
            <v>382776</v>
          </cell>
          <cell r="AK156">
            <v>18583</v>
          </cell>
        </row>
        <row r="157">
          <cell r="B157">
            <v>8564149</v>
          </cell>
          <cell r="C157">
            <v>1057643</v>
          </cell>
          <cell r="F157">
            <v>4942316</v>
          </cell>
          <cell r="H157">
            <v>365265</v>
          </cell>
          <cell r="I157">
            <v>258032</v>
          </cell>
          <cell r="J157">
            <v>3792</v>
          </cell>
          <cell r="V157">
            <v>3409247</v>
          </cell>
          <cell r="Y157">
            <v>606823</v>
          </cell>
          <cell r="Z157">
            <v>181567</v>
          </cell>
          <cell r="AG157">
            <v>336978</v>
          </cell>
          <cell r="AK157">
            <v>28812</v>
          </cell>
        </row>
        <row r="158">
          <cell r="B158">
            <v>8750071</v>
          </cell>
          <cell r="C158">
            <v>959320</v>
          </cell>
          <cell r="F158">
            <v>5022530</v>
          </cell>
          <cell r="H158">
            <v>654204</v>
          </cell>
          <cell r="I158">
            <v>306801</v>
          </cell>
          <cell r="J158">
            <v>2814</v>
          </cell>
          <cell r="V158">
            <v>3600979</v>
          </cell>
          <cell r="Y158">
            <v>587389</v>
          </cell>
          <cell r="Z158">
            <v>158901</v>
          </cell>
          <cell r="AG158">
            <v>332808</v>
          </cell>
          <cell r="AK158">
            <v>13779</v>
          </cell>
        </row>
        <row r="159">
          <cell r="B159">
            <v>7647964</v>
          </cell>
          <cell r="C159">
            <v>483273</v>
          </cell>
          <cell r="F159">
            <v>4759743</v>
          </cell>
          <cell r="H159">
            <v>327367</v>
          </cell>
          <cell r="I159">
            <v>313794</v>
          </cell>
          <cell r="J159">
            <v>4912</v>
          </cell>
          <cell r="V159">
            <v>3281993</v>
          </cell>
          <cell r="Y159">
            <v>605663</v>
          </cell>
          <cell r="Z159">
            <v>116742</v>
          </cell>
          <cell r="AG159">
            <v>199851</v>
          </cell>
          <cell r="AK159">
            <v>8539</v>
          </cell>
        </row>
        <row r="160">
          <cell r="B160">
            <v>7895058</v>
          </cell>
          <cell r="C160">
            <v>754467</v>
          </cell>
          <cell r="F160">
            <v>4789129</v>
          </cell>
          <cell r="H160">
            <v>619203</v>
          </cell>
          <cell r="I160">
            <v>257871</v>
          </cell>
          <cell r="J160">
            <v>4693</v>
          </cell>
          <cell r="V160">
            <v>3364404</v>
          </cell>
          <cell r="Y160">
            <v>588504</v>
          </cell>
          <cell r="Z160">
            <v>115999</v>
          </cell>
          <cell r="AG160">
            <v>268175</v>
          </cell>
          <cell r="AK160">
            <v>13885</v>
          </cell>
        </row>
        <row r="161">
          <cell r="B161">
            <v>7360515</v>
          </cell>
          <cell r="C161">
            <v>1107150</v>
          </cell>
          <cell r="F161">
            <v>4793666</v>
          </cell>
          <cell r="H161">
            <v>316837</v>
          </cell>
          <cell r="I161">
            <v>284690</v>
          </cell>
          <cell r="J161">
            <v>5043</v>
          </cell>
          <cell r="V161">
            <v>3270662</v>
          </cell>
          <cell r="Y161">
            <v>611374</v>
          </cell>
          <cell r="Z161">
            <v>163990</v>
          </cell>
          <cell r="AG161">
            <v>302586</v>
          </cell>
          <cell r="AK161">
            <v>15491</v>
          </cell>
        </row>
        <row r="162">
          <cell r="B162">
            <v>9125935</v>
          </cell>
          <cell r="C162">
            <v>881277</v>
          </cell>
          <cell r="F162">
            <v>5738637</v>
          </cell>
          <cell r="H162">
            <v>15160</v>
          </cell>
          <cell r="I162">
            <v>983799</v>
          </cell>
          <cell r="J162">
            <v>5078</v>
          </cell>
          <cell r="V162">
            <v>3749652</v>
          </cell>
          <cell r="Y162">
            <v>637637</v>
          </cell>
          <cell r="Z162">
            <v>183735</v>
          </cell>
          <cell r="AG162">
            <v>249574</v>
          </cell>
          <cell r="AK162">
            <v>23614</v>
          </cell>
        </row>
        <row r="163">
          <cell r="B163">
            <v>7712503</v>
          </cell>
          <cell r="C163">
            <v>745328</v>
          </cell>
          <cell r="F163">
            <v>4633146</v>
          </cell>
          <cell r="H163">
            <v>291921</v>
          </cell>
          <cell r="I163">
            <v>374749</v>
          </cell>
          <cell r="J163">
            <v>10436</v>
          </cell>
          <cell r="V163">
            <v>3218025</v>
          </cell>
          <cell r="Y163">
            <v>614101</v>
          </cell>
          <cell r="Z163">
            <v>178123</v>
          </cell>
          <cell r="AG163">
            <v>162084</v>
          </cell>
          <cell r="AK163">
            <v>14085</v>
          </cell>
        </row>
        <row r="164">
          <cell r="B164">
            <v>8343421</v>
          </cell>
          <cell r="C164">
            <v>1305566</v>
          </cell>
          <cell r="F164">
            <v>4934233</v>
          </cell>
          <cell r="H164">
            <v>568296</v>
          </cell>
          <cell r="I164">
            <v>400922</v>
          </cell>
          <cell r="J164">
            <v>4518</v>
          </cell>
          <cell r="V164">
            <v>3426301</v>
          </cell>
          <cell r="Y164">
            <v>601504</v>
          </cell>
          <cell r="Z164">
            <v>178412</v>
          </cell>
          <cell r="AG164">
            <v>190947</v>
          </cell>
          <cell r="AK164">
            <v>28757</v>
          </cell>
        </row>
        <row r="165">
          <cell r="B165">
            <v>9231359</v>
          </cell>
          <cell r="C165">
            <v>1249765</v>
          </cell>
          <cell r="F165">
            <v>4713253</v>
          </cell>
          <cell r="H165">
            <v>312299</v>
          </cell>
          <cell r="I165">
            <v>334625</v>
          </cell>
          <cell r="J165">
            <v>3576</v>
          </cell>
          <cell r="V165">
            <v>3264263</v>
          </cell>
          <cell r="Y165">
            <v>577089</v>
          </cell>
          <cell r="Z165">
            <v>178253</v>
          </cell>
          <cell r="AG165">
            <v>119415</v>
          </cell>
          <cell r="AK165">
            <v>14368</v>
          </cell>
        </row>
        <row r="166">
          <cell r="B166">
            <v>8148763</v>
          </cell>
          <cell r="C166">
            <v>920017</v>
          </cell>
          <cell r="F166">
            <v>4879328</v>
          </cell>
          <cell r="H166">
            <v>599409</v>
          </cell>
          <cell r="I166">
            <v>305725</v>
          </cell>
          <cell r="J166">
            <v>4494</v>
          </cell>
          <cell r="V166">
            <v>3285497</v>
          </cell>
          <cell r="Y166">
            <v>586623</v>
          </cell>
          <cell r="Z166">
            <v>197710</v>
          </cell>
          <cell r="AG166">
            <v>245722</v>
          </cell>
          <cell r="AK166">
            <v>21059</v>
          </cell>
        </row>
        <row r="167">
          <cell r="B167">
            <v>7351808</v>
          </cell>
          <cell r="C167">
            <v>1210339</v>
          </cell>
          <cell r="F167">
            <v>4364429</v>
          </cell>
          <cell r="H167">
            <v>342412</v>
          </cell>
          <cell r="I167">
            <v>281587</v>
          </cell>
          <cell r="J167">
            <v>4677</v>
          </cell>
          <cell r="V167">
            <v>2750861</v>
          </cell>
          <cell r="Y167">
            <v>585077</v>
          </cell>
          <cell r="Z167">
            <v>190159</v>
          </cell>
          <cell r="AG167">
            <v>424027</v>
          </cell>
          <cell r="AK167">
            <v>25418</v>
          </cell>
        </row>
        <row r="168">
          <cell r="B168">
            <v>9062942</v>
          </cell>
          <cell r="C168">
            <v>1402803</v>
          </cell>
          <cell r="F168">
            <v>5385536</v>
          </cell>
          <cell r="H168">
            <v>670241</v>
          </cell>
          <cell r="I168">
            <v>292399</v>
          </cell>
          <cell r="J168">
            <v>5842</v>
          </cell>
          <cell r="V168">
            <v>3589561</v>
          </cell>
          <cell r="Y168">
            <v>802022</v>
          </cell>
          <cell r="Z168">
            <v>169128</v>
          </cell>
          <cell r="AG168">
            <v>509637</v>
          </cell>
          <cell r="AK168">
            <v>19220</v>
          </cell>
        </row>
        <row r="169">
          <cell r="B169">
            <v>8008355</v>
          </cell>
          <cell r="C169">
            <v>1219217</v>
          </cell>
          <cell r="F169">
            <v>4831337</v>
          </cell>
          <cell r="H169">
            <v>328211</v>
          </cell>
          <cell r="I169">
            <v>305368</v>
          </cell>
          <cell r="J169">
            <v>3157</v>
          </cell>
          <cell r="V169">
            <v>3191775</v>
          </cell>
          <cell r="Y169">
            <v>630349</v>
          </cell>
          <cell r="Z169">
            <v>196307</v>
          </cell>
          <cell r="AG169">
            <v>418538</v>
          </cell>
          <cell r="AK169">
            <v>15353</v>
          </cell>
        </row>
        <row r="170">
          <cell r="B170">
            <v>8253583</v>
          </cell>
          <cell r="C170">
            <v>717436</v>
          </cell>
          <cell r="F170">
            <v>4697359</v>
          </cell>
          <cell r="H170">
            <v>649361</v>
          </cell>
          <cell r="I170">
            <v>252254</v>
          </cell>
          <cell r="J170">
            <v>4644</v>
          </cell>
          <cell r="V170">
            <v>3211937</v>
          </cell>
          <cell r="Y170">
            <v>574258</v>
          </cell>
          <cell r="Z170">
            <v>193347</v>
          </cell>
          <cell r="AG170">
            <v>341528</v>
          </cell>
          <cell r="AK170">
            <v>10688</v>
          </cell>
        </row>
        <row r="171">
          <cell r="B171">
            <v>7922307</v>
          </cell>
          <cell r="C171">
            <v>947286</v>
          </cell>
          <cell r="F171">
            <v>4599736</v>
          </cell>
          <cell r="H171">
            <v>324889</v>
          </cell>
          <cell r="I171">
            <v>280676</v>
          </cell>
          <cell r="J171">
            <v>4004</v>
          </cell>
          <cell r="V171">
            <v>3094799</v>
          </cell>
          <cell r="Y171">
            <v>628951</v>
          </cell>
          <cell r="Z171">
            <v>135752</v>
          </cell>
          <cell r="AG171">
            <v>299354</v>
          </cell>
          <cell r="AK171">
            <v>13696</v>
          </cell>
        </row>
        <row r="172">
          <cell r="B172">
            <v>8749486</v>
          </cell>
          <cell r="C172">
            <v>888192</v>
          </cell>
          <cell r="F172">
            <v>4734799</v>
          </cell>
          <cell r="H172">
            <v>604462</v>
          </cell>
          <cell r="I172">
            <v>261968</v>
          </cell>
          <cell r="J172">
            <v>4816</v>
          </cell>
          <cell r="V172">
            <v>3131363</v>
          </cell>
          <cell r="Y172">
            <v>581539</v>
          </cell>
          <cell r="Z172">
            <v>174834</v>
          </cell>
          <cell r="AG172">
            <v>323047</v>
          </cell>
          <cell r="AK172">
            <v>25861</v>
          </cell>
        </row>
        <row r="173">
          <cell r="B173">
            <v>7924255</v>
          </cell>
          <cell r="C173">
            <v>1279316</v>
          </cell>
          <cell r="F173">
            <v>4782134</v>
          </cell>
          <cell r="H173">
            <v>335345</v>
          </cell>
          <cell r="I173">
            <v>334356</v>
          </cell>
          <cell r="J173">
            <v>4031</v>
          </cell>
          <cell r="V173">
            <v>3154124</v>
          </cell>
          <cell r="Y173">
            <v>599481</v>
          </cell>
          <cell r="Z173">
            <v>185036</v>
          </cell>
          <cell r="AG173">
            <v>374481</v>
          </cell>
          <cell r="AK173">
            <v>11808</v>
          </cell>
        </row>
        <row r="174">
          <cell r="B174">
            <v>9751750</v>
          </cell>
          <cell r="C174">
            <v>894879</v>
          </cell>
          <cell r="F174">
            <v>6165942</v>
          </cell>
          <cell r="H174">
            <v>8112</v>
          </cell>
          <cell r="I174">
            <v>1032911</v>
          </cell>
          <cell r="J174">
            <v>5392</v>
          </cell>
          <cell r="V174">
            <v>3716847</v>
          </cell>
          <cell r="Y174">
            <v>617130</v>
          </cell>
          <cell r="Z174">
            <v>218743</v>
          </cell>
          <cell r="AG174">
            <v>284065</v>
          </cell>
          <cell r="AK174">
            <v>17770</v>
          </cell>
        </row>
        <row r="175">
          <cell r="B175">
            <v>8729828</v>
          </cell>
          <cell r="C175">
            <v>989155</v>
          </cell>
          <cell r="F175">
            <v>5024194</v>
          </cell>
          <cell r="H175">
            <v>254389</v>
          </cell>
          <cell r="I175">
            <v>378554</v>
          </cell>
          <cell r="J175">
            <v>2939</v>
          </cell>
          <cell r="V175">
            <v>3390815</v>
          </cell>
          <cell r="Y175">
            <v>689510</v>
          </cell>
          <cell r="Z175">
            <v>199497</v>
          </cell>
          <cell r="AG175">
            <v>228942</v>
          </cell>
          <cell r="AK175">
            <v>12393</v>
          </cell>
        </row>
        <row r="176">
          <cell r="B176">
            <v>8996361</v>
          </cell>
          <cell r="C176">
            <v>1149691</v>
          </cell>
          <cell r="F176">
            <v>4955318</v>
          </cell>
          <cell r="H176">
            <v>555262</v>
          </cell>
          <cell r="I176">
            <v>337452</v>
          </cell>
          <cell r="J176">
            <v>3394</v>
          </cell>
          <cell r="V176">
            <v>3416691</v>
          </cell>
          <cell r="Y176">
            <v>599312</v>
          </cell>
          <cell r="Z176">
            <v>173786</v>
          </cell>
          <cell r="AG176">
            <v>229776</v>
          </cell>
          <cell r="AK176">
            <v>26609</v>
          </cell>
        </row>
        <row r="177">
          <cell r="B177">
            <v>8985935</v>
          </cell>
          <cell r="C177">
            <v>1088886</v>
          </cell>
          <cell r="F177">
            <v>5318572</v>
          </cell>
          <cell r="H177">
            <v>312885</v>
          </cell>
          <cell r="I177">
            <v>273557</v>
          </cell>
          <cell r="J177">
            <v>5934</v>
          </cell>
          <cell r="V177">
            <v>3520485</v>
          </cell>
          <cell r="Y177">
            <v>610942</v>
          </cell>
          <cell r="Z177">
            <v>188826</v>
          </cell>
          <cell r="AG177">
            <v>176826</v>
          </cell>
          <cell r="AK177">
            <v>18261</v>
          </cell>
        </row>
        <row r="178">
          <cell r="B178">
            <v>9179759</v>
          </cell>
          <cell r="C178">
            <v>570758</v>
          </cell>
          <cell r="F178">
            <v>5401976</v>
          </cell>
          <cell r="H178">
            <v>607881</v>
          </cell>
          <cell r="I178">
            <v>272464</v>
          </cell>
          <cell r="J178">
            <v>4098</v>
          </cell>
          <cell r="V178">
            <v>3473675</v>
          </cell>
          <cell r="Y178">
            <v>603482</v>
          </cell>
          <cell r="Z178">
            <v>214115</v>
          </cell>
          <cell r="AG178">
            <v>233132</v>
          </cell>
          <cell r="AK178">
            <v>22571</v>
          </cell>
        </row>
        <row r="179">
          <cell r="B179">
            <v>8217466</v>
          </cell>
          <cell r="C179">
            <v>1694405</v>
          </cell>
          <cell r="F179">
            <v>4819579</v>
          </cell>
          <cell r="H179">
            <v>302819</v>
          </cell>
          <cell r="I179">
            <v>287624</v>
          </cell>
          <cell r="J179">
            <v>9411</v>
          </cell>
          <cell r="V179">
            <v>2944625</v>
          </cell>
          <cell r="Y179">
            <v>605444</v>
          </cell>
          <cell r="Z179">
            <v>249853</v>
          </cell>
          <cell r="AG179">
            <v>442180</v>
          </cell>
          <cell r="AK179">
            <v>14805</v>
          </cell>
        </row>
        <row r="180">
          <cell r="B180">
            <v>10380438</v>
          </cell>
          <cell r="C180">
            <v>1395916</v>
          </cell>
          <cell r="F180">
            <v>5974415</v>
          </cell>
          <cell r="H180">
            <v>631801</v>
          </cell>
          <cell r="I180">
            <v>324704</v>
          </cell>
          <cell r="J180">
            <v>2547</v>
          </cell>
          <cell r="V180">
            <v>3716939</v>
          </cell>
          <cell r="Y180">
            <v>881016</v>
          </cell>
          <cell r="Z180">
            <v>176949</v>
          </cell>
          <cell r="AG180">
            <v>496183</v>
          </cell>
          <cell r="AK180">
            <v>29364</v>
          </cell>
        </row>
        <row r="181">
          <cell r="B181">
            <v>8658466</v>
          </cell>
          <cell r="C181">
            <v>1411209</v>
          </cell>
          <cell r="F181">
            <v>5008877</v>
          </cell>
          <cell r="H181">
            <v>326990</v>
          </cell>
          <cell r="I181">
            <v>308526</v>
          </cell>
          <cell r="J181">
            <v>3728</v>
          </cell>
          <cell r="V181">
            <v>3279767</v>
          </cell>
          <cell r="Y181">
            <v>675060</v>
          </cell>
          <cell r="Z181">
            <v>213454</v>
          </cell>
          <cell r="AG181">
            <v>584111</v>
          </cell>
          <cell r="AK181">
            <v>21500</v>
          </cell>
        </row>
        <row r="182">
          <cell r="B182">
            <v>8798589</v>
          </cell>
          <cell r="C182">
            <v>844395</v>
          </cell>
          <cell r="F182">
            <v>5163016</v>
          </cell>
          <cell r="H182">
            <v>636272</v>
          </cell>
          <cell r="I182">
            <v>206764</v>
          </cell>
          <cell r="J182">
            <v>6197</v>
          </cell>
          <cell r="V182">
            <v>3413930</v>
          </cell>
          <cell r="Y182">
            <v>639454</v>
          </cell>
          <cell r="Z182">
            <v>151687</v>
          </cell>
          <cell r="AG182">
            <v>327780</v>
          </cell>
          <cell r="AK182">
            <v>19333</v>
          </cell>
        </row>
        <row r="183">
          <cell r="B183">
            <v>8728346</v>
          </cell>
          <cell r="C183">
            <v>763664</v>
          </cell>
          <cell r="F183">
            <v>5261402</v>
          </cell>
          <cell r="H183">
            <v>290208</v>
          </cell>
          <cell r="I183">
            <v>247531</v>
          </cell>
          <cell r="J183">
            <v>4508</v>
          </cell>
          <cell r="V183">
            <v>3201133</v>
          </cell>
          <cell r="Y183">
            <v>626583</v>
          </cell>
          <cell r="Z183">
            <v>210853</v>
          </cell>
          <cell r="AG183">
            <v>376358</v>
          </cell>
          <cell r="AK183">
            <v>28562</v>
          </cell>
        </row>
        <row r="184">
          <cell r="B184">
            <v>9025711</v>
          </cell>
          <cell r="C184">
            <v>796941</v>
          </cell>
          <cell r="F184">
            <v>5075628</v>
          </cell>
          <cell r="H184">
            <v>620730</v>
          </cell>
          <cell r="I184">
            <v>314348</v>
          </cell>
          <cell r="J184">
            <v>2765</v>
          </cell>
          <cell r="V184">
            <v>3294222</v>
          </cell>
          <cell r="Y184">
            <v>608343</v>
          </cell>
          <cell r="Z184">
            <v>173905</v>
          </cell>
          <cell r="AG184">
            <v>365090</v>
          </cell>
          <cell r="AK184">
            <v>17706</v>
          </cell>
        </row>
        <row r="185">
          <cell r="B185">
            <v>8645658</v>
          </cell>
          <cell r="C185">
            <v>1564596</v>
          </cell>
          <cell r="F185">
            <v>5113932</v>
          </cell>
          <cell r="H185">
            <v>312780</v>
          </cell>
          <cell r="I185">
            <v>345241</v>
          </cell>
          <cell r="J185">
            <v>2924</v>
          </cell>
          <cell r="V185">
            <v>3275888</v>
          </cell>
          <cell r="Y185">
            <v>673577</v>
          </cell>
          <cell r="Z185">
            <v>188045</v>
          </cell>
          <cell r="AG185">
            <v>470780</v>
          </cell>
          <cell r="AK185">
            <v>30021</v>
          </cell>
        </row>
        <row r="186">
          <cell r="B186">
            <v>11081519</v>
          </cell>
          <cell r="C186">
            <v>907470</v>
          </cell>
          <cell r="F186">
            <v>6100981</v>
          </cell>
          <cell r="H186">
            <v>12056</v>
          </cell>
          <cell r="I186">
            <v>1190186</v>
          </cell>
          <cell r="J186">
            <v>3226</v>
          </cell>
          <cell r="V186">
            <v>3756090</v>
          </cell>
          <cell r="Y186">
            <v>658666</v>
          </cell>
          <cell r="Z186">
            <v>167158</v>
          </cell>
          <cell r="AG186">
            <v>298187</v>
          </cell>
          <cell r="AK186">
            <v>13151</v>
          </cell>
        </row>
        <row r="187">
          <cell r="B187">
            <v>10570334</v>
          </cell>
          <cell r="C187">
            <v>1010470</v>
          </cell>
          <cell r="F187">
            <v>5685608</v>
          </cell>
          <cell r="H187">
            <v>251946</v>
          </cell>
          <cell r="I187">
            <v>488099</v>
          </cell>
          <cell r="J187">
            <v>3436</v>
          </cell>
          <cell r="V187">
            <v>3653799</v>
          </cell>
          <cell r="Y187">
            <v>720318</v>
          </cell>
          <cell r="Z187">
            <v>191417</v>
          </cell>
          <cell r="AG187">
            <v>273182</v>
          </cell>
          <cell r="AK187">
            <v>16505</v>
          </cell>
        </row>
        <row r="188">
          <cell r="B188">
            <v>9596636</v>
          </cell>
          <cell r="C188">
            <v>953906</v>
          </cell>
          <cell r="F188">
            <v>5368046</v>
          </cell>
          <cell r="H188">
            <v>555017</v>
          </cell>
          <cell r="I188">
            <v>344126</v>
          </cell>
          <cell r="J188">
            <v>2372</v>
          </cell>
          <cell r="V188">
            <v>3721206</v>
          </cell>
          <cell r="Y188">
            <v>594330</v>
          </cell>
          <cell r="Z188">
            <v>189816</v>
          </cell>
          <cell r="AG188">
            <v>211401</v>
          </cell>
          <cell r="AK188">
            <v>18159</v>
          </cell>
        </row>
        <row r="189">
          <cell r="B189">
            <v>9496037</v>
          </cell>
          <cell r="C189">
            <v>757256</v>
          </cell>
          <cell r="F189">
            <v>5478975</v>
          </cell>
          <cell r="H189">
            <v>291440</v>
          </cell>
          <cell r="I189">
            <v>275978</v>
          </cell>
          <cell r="J189">
            <v>2830</v>
          </cell>
          <cell r="V189">
            <v>3764368</v>
          </cell>
          <cell r="Y189">
            <v>627771</v>
          </cell>
          <cell r="Z189">
            <v>231289</v>
          </cell>
          <cell r="AG189">
            <v>150275</v>
          </cell>
          <cell r="AK189">
            <v>15607</v>
          </cell>
        </row>
        <row r="190">
          <cell r="B190">
            <v>10195814</v>
          </cell>
          <cell r="C190">
            <v>642718</v>
          </cell>
          <cell r="F190">
            <v>5821885</v>
          </cell>
          <cell r="H190">
            <v>633845</v>
          </cell>
          <cell r="I190">
            <v>267264</v>
          </cell>
          <cell r="J190">
            <v>4096</v>
          </cell>
          <cell r="V190">
            <v>3867948</v>
          </cell>
          <cell r="Y190">
            <v>686744</v>
          </cell>
          <cell r="Z190">
            <v>244801</v>
          </cell>
          <cell r="AG190">
            <v>248800</v>
          </cell>
          <cell r="AK190">
            <v>21142</v>
          </cell>
        </row>
        <row r="191">
          <cell r="B191">
            <v>8910577</v>
          </cell>
          <cell r="C191">
            <v>1149372</v>
          </cell>
          <cell r="F191">
            <v>4873014</v>
          </cell>
          <cell r="H191">
            <v>310090</v>
          </cell>
          <cell r="I191">
            <v>256981</v>
          </cell>
          <cell r="J191">
            <v>5896</v>
          </cell>
          <cell r="V191">
            <v>3079195</v>
          </cell>
          <cell r="Y191">
            <v>639322</v>
          </cell>
          <cell r="Z191">
            <v>221644</v>
          </cell>
          <cell r="AG191">
            <v>381663</v>
          </cell>
          <cell r="AK191">
            <v>12490</v>
          </cell>
        </row>
        <row r="192">
          <cell r="B192">
            <v>10484049</v>
          </cell>
          <cell r="C192">
            <v>878067</v>
          </cell>
          <cell r="F192">
            <v>5981520</v>
          </cell>
          <cell r="H192">
            <v>654927</v>
          </cell>
          <cell r="I192">
            <v>618580</v>
          </cell>
          <cell r="J192">
            <v>2299</v>
          </cell>
          <cell r="V192">
            <v>3922621</v>
          </cell>
          <cell r="Y192">
            <v>900466</v>
          </cell>
          <cell r="Z192">
            <v>196457</v>
          </cell>
          <cell r="AG192">
            <v>429440</v>
          </cell>
          <cell r="AK192">
            <v>29081</v>
          </cell>
        </row>
        <row r="193">
          <cell r="B193">
            <v>9072867</v>
          </cell>
          <cell r="C193">
            <v>983102</v>
          </cell>
          <cell r="F193">
            <v>5230430</v>
          </cell>
          <cell r="H193">
            <v>308828</v>
          </cell>
          <cell r="I193">
            <v>318791</v>
          </cell>
          <cell r="J193">
            <v>3594</v>
          </cell>
          <cell r="V193">
            <v>3428881</v>
          </cell>
          <cell r="Y193">
            <v>722887</v>
          </cell>
          <cell r="Z193">
            <v>207704</v>
          </cell>
          <cell r="AG193">
            <v>496121</v>
          </cell>
          <cell r="AK193">
            <v>33274</v>
          </cell>
        </row>
        <row r="194">
          <cell r="B194">
            <v>9116972</v>
          </cell>
          <cell r="C194">
            <v>1106130</v>
          </cell>
          <cell r="F194">
            <v>5281592</v>
          </cell>
          <cell r="H194">
            <v>652487</v>
          </cell>
          <cell r="I194">
            <v>309659</v>
          </cell>
          <cell r="J194">
            <v>36734</v>
          </cell>
          <cell r="V194">
            <v>3588178</v>
          </cell>
          <cell r="Y194">
            <v>719763</v>
          </cell>
          <cell r="Z194">
            <v>133964</v>
          </cell>
          <cell r="AG194">
            <v>416689</v>
          </cell>
          <cell r="AK194">
            <v>24831</v>
          </cell>
        </row>
        <row r="195">
          <cell r="B195">
            <v>8433121</v>
          </cell>
          <cell r="C195">
            <v>562162</v>
          </cell>
          <cell r="F195">
            <v>5189043</v>
          </cell>
          <cell r="H195">
            <v>284116</v>
          </cell>
          <cell r="I195">
            <v>240777</v>
          </cell>
          <cell r="J195">
            <v>5756</v>
          </cell>
          <cell r="V195">
            <v>3403513</v>
          </cell>
          <cell r="Y195">
            <v>696389</v>
          </cell>
          <cell r="Z195">
            <v>180783</v>
          </cell>
          <cell r="AG195">
            <v>256655</v>
          </cell>
          <cell r="AK195">
            <v>34795</v>
          </cell>
        </row>
        <row r="196">
          <cell r="B196">
            <v>8786277</v>
          </cell>
          <cell r="C196">
            <v>849847</v>
          </cell>
          <cell r="F196">
            <v>5322241</v>
          </cell>
          <cell r="H196">
            <v>609747</v>
          </cell>
          <cell r="I196">
            <v>247114</v>
          </cell>
          <cell r="J196">
            <v>2739</v>
          </cell>
          <cell r="V196">
            <v>3516380</v>
          </cell>
          <cell r="Y196">
            <v>657753</v>
          </cell>
          <cell r="Z196">
            <v>207212</v>
          </cell>
          <cell r="AG196">
            <v>344434</v>
          </cell>
          <cell r="AK196">
            <v>30193</v>
          </cell>
        </row>
        <row r="197">
          <cell r="B197">
            <v>9455014</v>
          </cell>
          <cell r="C197">
            <v>861345</v>
          </cell>
          <cell r="F197">
            <v>5998500</v>
          </cell>
          <cell r="H197">
            <v>351250</v>
          </cell>
          <cell r="I197">
            <v>402928</v>
          </cell>
          <cell r="J197">
            <v>10629</v>
          </cell>
          <cell r="V197">
            <v>3398378</v>
          </cell>
          <cell r="Y197">
            <v>705911</v>
          </cell>
          <cell r="Z197">
            <v>188027</v>
          </cell>
          <cell r="AG197">
            <v>385322</v>
          </cell>
          <cell r="AK197">
            <v>19630</v>
          </cell>
        </row>
        <row r="198">
          <cell r="B198">
            <v>14887673</v>
          </cell>
          <cell r="C198">
            <v>1602058</v>
          </cell>
          <cell r="F198">
            <v>10108568</v>
          </cell>
          <cell r="H198">
            <v>3660</v>
          </cell>
          <cell r="I198">
            <v>1835012</v>
          </cell>
          <cell r="J198">
            <v>6971</v>
          </cell>
          <cell r="V198">
            <v>4088469</v>
          </cell>
          <cell r="Y198">
            <v>746783</v>
          </cell>
          <cell r="Z198">
            <v>152795</v>
          </cell>
          <cell r="AG198">
            <v>369861</v>
          </cell>
          <cell r="AK198">
            <v>66257</v>
          </cell>
        </row>
        <row r="199">
          <cell r="B199">
            <v>9651253</v>
          </cell>
          <cell r="C199">
            <v>753100</v>
          </cell>
          <cell r="F199">
            <v>5190778</v>
          </cell>
          <cell r="H199">
            <v>249057</v>
          </cell>
          <cell r="I199">
            <v>678554</v>
          </cell>
          <cell r="J199">
            <v>12265</v>
          </cell>
          <cell r="V199">
            <v>3516844</v>
          </cell>
          <cell r="Y199">
            <v>744412</v>
          </cell>
          <cell r="Z199">
            <v>192645</v>
          </cell>
          <cell r="AG199">
            <v>237724</v>
          </cell>
          <cell r="AK199">
            <v>36443</v>
          </cell>
        </row>
        <row r="200">
          <cell r="B200">
            <v>9450590</v>
          </cell>
          <cell r="C200">
            <v>1003209</v>
          </cell>
          <cell r="F200">
            <v>5371987</v>
          </cell>
          <cell r="H200">
            <v>588124</v>
          </cell>
          <cell r="I200">
            <v>380182</v>
          </cell>
          <cell r="J200">
            <v>3421</v>
          </cell>
          <cell r="V200">
            <v>3680393</v>
          </cell>
          <cell r="Y200">
            <v>767267</v>
          </cell>
          <cell r="Z200">
            <v>148327</v>
          </cell>
          <cell r="AG200">
            <v>206882</v>
          </cell>
          <cell r="AK200">
            <v>62656</v>
          </cell>
        </row>
        <row r="201">
          <cell r="B201">
            <v>9224445</v>
          </cell>
          <cell r="C201">
            <v>599833</v>
          </cell>
          <cell r="F201">
            <v>5592099</v>
          </cell>
          <cell r="H201">
            <v>294070</v>
          </cell>
          <cell r="I201">
            <v>232529</v>
          </cell>
          <cell r="J201">
            <v>3811</v>
          </cell>
          <cell r="V201">
            <v>3798472</v>
          </cell>
          <cell r="Y201">
            <v>652157</v>
          </cell>
          <cell r="Z201">
            <v>224347</v>
          </cell>
          <cell r="AG201">
            <v>149650</v>
          </cell>
          <cell r="AK201">
            <v>32942</v>
          </cell>
        </row>
        <row r="202">
          <cell r="B202">
            <v>9835545</v>
          </cell>
          <cell r="C202">
            <v>951449</v>
          </cell>
          <cell r="F202">
            <v>5650815</v>
          </cell>
          <cell r="H202">
            <v>641392</v>
          </cell>
          <cell r="I202">
            <v>297076</v>
          </cell>
          <cell r="J202">
            <v>3592</v>
          </cell>
          <cell r="V202">
            <v>3701420</v>
          </cell>
          <cell r="Y202">
            <v>644862</v>
          </cell>
          <cell r="Z202">
            <v>288728</v>
          </cell>
          <cell r="AG202">
            <v>302643</v>
          </cell>
          <cell r="AK202">
            <v>20392</v>
          </cell>
        </row>
        <row r="203">
          <cell r="B203">
            <v>9073046</v>
          </cell>
          <cell r="C203">
            <v>932236</v>
          </cell>
          <cell r="F203">
            <v>5001225</v>
          </cell>
          <cell r="H203">
            <v>346348</v>
          </cell>
          <cell r="I203">
            <v>420410</v>
          </cell>
          <cell r="J203">
            <v>6266</v>
          </cell>
          <cell r="V203">
            <v>3140476</v>
          </cell>
          <cell r="Y203">
            <v>754186</v>
          </cell>
          <cell r="Z203">
            <v>215735</v>
          </cell>
          <cell r="AG203">
            <v>389416</v>
          </cell>
          <cell r="AK203">
            <v>47594</v>
          </cell>
        </row>
        <row r="204">
          <cell r="B204">
            <v>10516232</v>
          </cell>
          <cell r="C204">
            <v>1165090</v>
          </cell>
          <cell r="F204">
            <v>6293356</v>
          </cell>
          <cell r="H204">
            <v>669684</v>
          </cell>
          <cell r="I204">
            <v>370197</v>
          </cell>
          <cell r="J204">
            <v>3096</v>
          </cell>
          <cell r="V204">
            <v>4113351</v>
          </cell>
          <cell r="Y204">
            <v>883281</v>
          </cell>
          <cell r="Z204">
            <v>197120</v>
          </cell>
          <cell r="AG204">
            <v>518565</v>
          </cell>
          <cell r="AK204">
            <v>43461</v>
          </cell>
        </row>
        <row r="205">
          <cell r="B205">
            <v>9144798</v>
          </cell>
          <cell r="C205">
            <v>1161980</v>
          </cell>
          <cell r="F205">
            <v>5218540</v>
          </cell>
          <cell r="H205">
            <v>368617</v>
          </cell>
          <cell r="I205">
            <v>365991</v>
          </cell>
          <cell r="J205">
            <v>5315</v>
          </cell>
          <cell r="V205">
            <v>3489620</v>
          </cell>
          <cell r="Y205">
            <v>754115</v>
          </cell>
          <cell r="Z205">
            <v>213768</v>
          </cell>
          <cell r="AG205">
            <v>447081</v>
          </cell>
          <cell r="AK205">
            <v>37677</v>
          </cell>
        </row>
        <row r="206">
          <cell r="B206">
            <v>9629078</v>
          </cell>
          <cell r="C206">
            <v>818368</v>
          </cell>
          <cell r="F206">
            <v>5418772</v>
          </cell>
          <cell r="H206">
            <v>686797</v>
          </cell>
          <cell r="I206">
            <v>249973</v>
          </cell>
          <cell r="J206">
            <v>8214</v>
          </cell>
          <cell r="V206">
            <v>3759764</v>
          </cell>
          <cell r="Y206">
            <v>684920</v>
          </cell>
          <cell r="Z206">
            <v>213118</v>
          </cell>
          <cell r="AG206">
            <v>331250</v>
          </cell>
          <cell r="AK206">
            <v>23002</v>
          </cell>
        </row>
        <row r="207">
          <cell r="B207">
            <v>8633715</v>
          </cell>
          <cell r="C207">
            <v>781530</v>
          </cell>
          <cell r="F207">
            <v>5275428</v>
          </cell>
          <cell r="H207">
            <v>276899</v>
          </cell>
          <cell r="I207">
            <v>220228</v>
          </cell>
          <cell r="J207">
            <v>7702</v>
          </cell>
          <cell r="V207">
            <v>3413453</v>
          </cell>
          <cell r="Y207">
            <v>834758</v>
          </cell>
          <cell r="Z207">
            <v>156824</v>
          </cell>
          <cell r="AG207">
            <v>328839</v>
          </cell>
          <cell r="AK207">
            <v>44284</v>
          </cell>
        </row>
        <row r="208">
          <cell r="B208">
            <v>9788762</v>
          </cell>
          <cell r="C208">
            <v>893337</v>
          </cell>
          <cell r="F208">
            <v>5962823</v>
          </cell>
          <cell r="H208">
            <v>619707</v>
          </cell>
          <cell r="I208">
            <v>296176</v>
          </cell>
          <cell r="J208">
            <v>8988</v>
          </cell>
          <cell r="V208">
            <v>3996173</v>
          </cell>
          <cell r="Y208">
            <v>855231</v>
          </cell>
          <cell r="Z208">
            <v>215476</v>
          </cell>
          <cell r="AG208">
            <v>405062</v>
          </cell>
          <cell r="AK208">
            <v>32734</v>
          </cell>
        </row>
        <row r="209">
          <cell r="B209">
            <v>10533277</v>
          </cell>
          <cell r="C209">
            <v>773362</v>
          </cell>
          <cell r="F209">
            <v>6939391</v>
          </cell>
          <cell r="H209">
            <v>312176</v>
          </cell>
          <cell r="I209">
            <v>453530</v>
          </cell>
          <cell r="J209">
            <v>7630</v>
          </cell>
          <cell r="V209">
            <v>3541665</v>
          </cell>
          <cell r="Y209">
            <v>877309</v>
          </cell>
          <cell r="Z209">
            <v>182636</v>
          </cell>
          <cell r="AG209">
            <v>348807</v>
          </cell>
          <cell r="AK209">
            <v>30963</v>
          </cell>
        </row>
        <row r="210">
          <cell r="B210">
            <v>12780638</v>
          </cell>
          <cell r="C210">
            <v>1232545</v>
          </cell>
          <cell r="F210">
            <v>7667358</v>
          </cell>
          <cell r="H210">
            <v>23502</v>
          </cell>
          <cell r="I210">
            <v>1448721</v>
          </cell>
          <cell r="J210">
            <v>2897</v>
          </cell>
          <cell r="V210">
            <v>4284954</v>
          </cell>
          <cell r="Y210">
            <v>776615</v>
          </cell>
          <cell r="Z210">
            <v>158137</v>
          </cell>
          <cell r="AG210">
            <v>371251</v>
          </cell>
          <cell r="AK210">
            <v>36852</v>
          </cell>
        </row>
        <row r="211">
          <cell r="B211">
            <v>10766988</v>
          </cell>
          <cell r="C211">
            <v>2315584</v>
          </cell>
          <cell r="F211">
            <v>5611730</v>
          </cell>
          <cell r="H211">
            <v>265386</v>
          </cell>
          <cell r="I211">
            <v>921024</v>
          </cell>
          <cell r="J211">
            <v>6829</v>
          </cell>
          <cell r="V211">
            <v>3827265</v>
          </cell>
          <cell r="Y211">
            <v>806525</v>
          </cell>
          <cell r="Z211">
            <v>209708</v>
          </cell>
          <cell r="AG211">
            <v>361302</v>
          </cell>
          <cell r="AK211">
            <v>36214</v>
          </cell>
        </row>
        <row r="212">
          <cell r="B212">
            <v>10190956</v>
          </cell>
          <cell r="C212">
            <v>1501011</v>
          </cell>
          <cell r="F212">
            <v>5890031</v>
          </cell>
          <cell r="H212">
            <v>594938</v>
          </cell>
          <cell r="I212">
            <v>340700</v>
          </cell>
          <cell r="J212">
            <v>2638</v>
          </cell>
          <cell r="V212">
            <v>4034653</v>
          </cell>
          <cell r="Y212">
            <v>775729</v>
          </cell>
          <cell r="Z212">
            <v>231240</v>
          </cell>
          <cell r="AG212">
            <v>236854</v>
          </cell>
          <cell r="AK212">
            <v>30067</v>
          </cell>
        </row>
        <row r="213">
          <cell r="B213">
            <v>10239020</v>
          </cell>
          <cell r="C213">
            <v>869213</v>
          </cell>
          <cell r="F213">
            <v>6099965</v>
          </cell>
          <cell r="H213">
            <v>325195</v>
          </cell>
          <cell r="I213">
            <v>276460</v>
          </cell>
          <cell r="J213">
            <v>4230</v>
          </cell>
          <cell r="V213">
            <v>4156236</v>
          </cell>
          <cell r="Y213">
            <v>741378</v>
          </cell>
          <cell r="Z213">
            <v>259114</v>
          </cell>
          <cell r="AG213">
            <v>232153</v>
          </cell>
          <cell r="AK213">
            <v>45853</v>
          </cell>
        </row>
        <row r="214">
          <cell r="B214">
            <v>12534384</v>
          </cell>
          <cell r="C214">
            <v>950139</v>
          </cell>
          <cell r="F214">
            <v>6346950</v>
          </cell>
          <cell r="H214">
            <v>706090</v>
          </cell>
          <cell r="I214">
            <v>281723</v>
          </cell>
          <cell r="J214">
            <v>4919</v>
          </cell>
          <cell r="V214">
            <v>4046979</v>
          </cell>
          <cell r="Y214">
            <v>763551</v>
          </cell>
          <cell r="Z214">
            <v>303127</v>
          </cell>
          <cell r="AG214">
            <v>313842</v>
          </cell>
          <cell r="AK214">
            <v>41472</v>
          </cell>
        </row>
        <row r="215">
          <cell r="B215">
            <v>10422017</v>
          </cell>
          <cell r="C215">
            <v>830424</v>
          </cell>
          <cell r="F215">
            <v>5435266</v>
          </cell>
          <cell r="H215">
            <v>369095</v>
          </cell>
          <cell r="I215">
            <v>327296</v>
          </cell>
          <cell r="J215">
            <v>4557</v>
          </cell>
          <cell r="V215">
            <v>3398949</v>
          </cell>
          <cell r="Y215">
            <v>782079</v>
          </cell>
          <cell r="Z215">
            <v>233802</v>
          </cell>
          <cell r="AG215">
            <v>382682</v>
          </cell>
          <cell r="AK215">
            <v>54846</v>
          </cell>
        </row>
        <row r="216">
          <cell r="B216">
            <v>12408797</v>
          </cell>
          <cell r="C216">
            <v>1116458</v>
          </cell>
          <cell r="F216">
            <v>6754941</v>
          </cell>
          <cell r="H216">
            <v>753325</v>
          </cell>
          <cell r="I216">
            <v>430261</v>
          </cell>
          <cell r="J216">
            <v>3600</v>
          </cell>
          <cell r="V216">
            <v>4422278</v>
          </cell>
          <cell r="Y216">
            <v>999819</v>
          </cell>
          <cell r="Z216">
            <v>213723</v>
          </cell>
          <cell r="AG216">
            <v>520548</v>
          </cell>
          <cell r="AK216">
            <v>46187</v>
          </cell>
        </row>
        <row r="217">
          <cell r="B217">
            <v>10510313</v>
          </cell>
          <cell r="C217">
            <v>983556</v>
          </cell>
          <cell r="F217">
            <v>5811424</v>
          </cell>
          <cell r="H217">
            <v>368048</v>
          </cell>
          <cell r="I217">
            <v>410126</v>
          </cell>
          <cell r="J217">
            <v>4397</v>
          </cell>
          <cell r="V217">
            <v>3788496</v>
          </cell>
          <cell r="Y217">
            <v>853273</v>
          </cell>
          <cell r="Z217">
            <v>244167</v>
          </cell>
          <cell r="AG217">
            <v>475525</v>
          </cell>
          <cell r="AK217">
            <v>44892</v>
          </cell>
        </row>
        <row r="218">
          <cell r="B218">
            <v>10248603</v>
          </cell>
          <cell r="C218">
            <v>644403</v>
          </cell>
          <cell r="F218">
            <v>5894322</v>
          </cell>
          <cell r="H218">
            <v>742341</v>
          </cell>
          <cell r="I218">
            <v>266077</v>
          </cell>
          <cell r="J218">
            <v>2225</v>
          </cell>
          <cell r="V218">
            <v>4034062</v>
          </cell>
          <cell r="Y218">
            <v>728307</v>
          </cell>
          <cell r="Z218">
            <v>238848</v>
          </cell>
          <cell r="AG218">
            <v>306526</v>
          </cell>
          <cell r="AK218">
            <v>17600</v>
          </cell>
        </row>
        <row r="219">
          <cell r="B219">
            <v>10620769</v>
          </cell>
          <cell r="C219">
            <v>1094233</v>
          </cell>
          <cell r="F219">
            <v>6070789</v>
          </cell>
          <cell r="H219">
            <v>411280</v>
          </cell>
          <cell r="I219">
            <v>350040</v>
          </cell>
          <cell r="J219">
            <v>5379</v>
          </cell>
          <cell r="V219">
            <v>3812591</v>
          </cell>
          <cell r="Y219">
            <v>823247</v>
          </cell>
          <cell r="Z219">
            <v>213793</v>
          </cell>
          <cell r="AG219">
            <v>419078</v>
          </cell>
          <cell r="AK219">
            <v>34575</v>
          </cell>
        </row>
        <row r="220">
          <cell r="B220">
            <v>11737474</v>
          </cell>
          <cell r="C220">
            <v>1052717</v>
          </cell>
          <cell r="F220">
            <v>5947946</v>
          </cell>
          <cell r="H220">
            <v>702315</v>
          </cell>
          <cell r="I220">
            <v>397241</v>
          </cell>
          <cell r="J220">
            <v>2567</v>
          </cell>
          <cell r="V220">
            <v>3836426</v>
          </cell>
          <cell r="Y220">
            <v>776295</v>
          </cell>
          <cell r="Z220">
            <v>209533</v>
          </cell>
          <cell r="AG220">
            <v>395731</v>
          </cell>
          <cell r="AK220">
            <v>35550</v>
          </cell>
        </row>
        <row r="221">
          <cell r="B221">
            <v>13328153</v>
          </cell>
          <cell r="C221">
            <v>1424793</v>
          </cell>
          <cell r="F221">
            <v>6525469</v>
          </cell>
          <cell r="H221">
            <v>354480</v>
          </cell>
          <cell r="I221">
            <v>430611</v>
          </cell>
          <cell r="J221">
            <v>10094</v>
          </cell>
          <cell r="V221">
            <v>3544562</v>
          </cell>
          <cell r="Y221">
            <v>869171</v>
          </cell>
          <cell r="Z221">
            <v>158979</v>
          </cell>
          <cell r="AG221">
            <v>465358</v>
          </cell>
          <cell r="AK221">
            <v>34549</v>
          </cell>
        </row>
        <row r="222">
          <cell r="B222">
            <v>14565299</v>
          </cell>
          <cell r="C222">
            <v>1307566</v>
          </cell>
          <cell r="F222">
            <v>7450926</v>
          </cell>
          <cell r="H222">
            <v>14477</v>
          </cell>
          <cell r="I222">
            <v>1650206</v>
          </cell>
          <cell r="J222">
            <v>9994</v>
          </cell>
          <cell r="V222">
            <v>4491713</v>
          </cell>
          <cell r="Y222">
            <v>809745</v>
          </cell>
          <cell r="Z222">
            <v>256538</v>
          </cell>
          <cell r="AG222">
            <v>391512</v>
          </cell>
          <cell r="AK222">
            <v>25303</v>
          </cell>
        </row>
        <row r="223">
          <cell r="B223">
            <v>10958757</v>
          </cell>
          <cell r="C223">
            <v>890927</v>
          </cell>
          <cell r="F223">
            <v>5869274</v>
          </cell>
          <cell r="H223">
            <v>351854</v>
          </cell>
          <cell r="I223">
            <v>500961</v>
          </cell>
          <cell r="J223">
            <v>3690</v>
          </cell>
          <cell r="V223">
            <v>4073745</v>
          </cell>
          <cell r="Y223">
            <v>852878</v>
          </cell>
          <cell r="Z223">
            <v>196131</v>
          </cell>
          <cell r="AG223">
            <v>246699</v>
          </cell>
          <cell r="AK223">
            <v>37261</v>
          </cell>
        </row>
        <row r="224">
          <cell r="B224">
            <v>11439950</v>
          </cell>
          <cell r="C224">
            <v>1084576</v>
          </cell>
          <cell r="F224">
            <v>6409073</v>
          </cell>
          <cell r="H224">
            <v>650075</v>
          </cell>
          <cell r="I224">
            <v>353145</v>
          </cell>
          <cell r="J224">
            <v>3025</v>
          </cell>
          <cell r="V224">
            <v>4356326</v>
          </cell>
          <cell r="Y224">
            <v>843750</v>
          </cell>
          <cell r="Z224">
            <v>245120</v>
          </cell>
          <cell r="AG224">
            <v>222432</v>
          </cell>
          <cell r="AK224">
            <v>50890</v>
          </cell>
        </row>
        <row r="225">
          <cell r="B225">
            <v>11442517</v>
          </cell>
          <cell r="C225">
            <v>528390</v>
          </cell>
          <cell r="F225">
            <v>6979841</v>
          </cell>
          <cell r="H225">
            <v>332325</v>
          </cell>
          <cell r="I225">
            <v>609078</v>
          </cell>
          <cell r="J225">
            <v>2595</v>
          </cell>
          <cell r="V225">
            <v>4576057</v>
          </cell>
          <cell r="Y225">
            <v>806680</v>
          </cell>
          <cell r="Z225">
            <v>251108</v>
          </cell>
          <cell r="AG225">
            <v>164164</v>
          </cell>
          <cell r="AK225">
            <v>23878</v>
          </cell>
        </row>
        <row r="226">
          <cell r="B226">
            <v>11425699</v>
          </cell>
          <cell r="C226">
            <v>789001</v>
          </cell>
          <cell r="F226">
            <v>6724066</v>
          </cell>
          <cell r="H226">
            <v>697867</v>
          </cell>
          <cell r="I226">
            <v>428994</v>
          </cell>
          <cell r="J226">
            <v>3357</v>
          </cell>
          <cell r="V226">
            <v>4431034</v>
          </cell>
          <cell r="Y226">
            <v>862983</v>
          </cell>
          <cell r="Z226">
            <v>271128</v>
          </cell>
          <cell r="AG226">
            <v>274113</v>
          </cell>
          <cell r="AK226">
            <v>47727</v>
          </cell>
        </row>
        <row r="227">
          <cell r="B227">
            <v>9789468</v>
          </cell>
          <cell r="C227">
            <v>945067</v>
          </cell>
          <cell r="F227">
            <v>5575220</v>
          </cell>
          <cell r="H227">
            <v>353431</v>
          </cell>
          <cell r="I227">
            <v>360874</v>
          </cell>
          <cell r="J227">
            <v>5716</v>
          </cell>
          <cell r="V227">
            <v>3482004</v>
          </cell>
          <cell r="Y227">
            <v>872493</v>
          </cell>
          <cell r="Z227">
            <v>220402</v>
          </cell>
          <cell r="AG227">
            <v>323210</v>
          </cell>
          <cell r="AK227">
            <v>34053</v>
          </cell>
        </row>
        <row r="228">
          <cell r="B228">
            <v>12804446</v>
          </cell>
          <cell r="C228">
            <v>1041044</v>
          </cell>
          <cell r="F228">
            <v>7208283</v>
          </cell>
          <cell r="H228">
            <v>781960</v>
          </cell>
          <cell r="I228">
            <v>506820</v>
          </cell>
          <cell r="J228">
            <v>4422</v>
          </cell>
          <cell r="V228">
            <v>4722662</v>
          </cell>
          <cell r="Y228">
            <v>1091705</v>
          </cell>
          <cell r="Z228">
            <v>205650</v>
          </cell>
          <cell r="AG228">
            <v>491913</v>
          </cell>
          <cell r="AK228">
            <v>40183</v>
          </cell>
        </row>
        <row r="229">
          <cell r="B229">
            <v>11821360</v>
          </cell>
          <cell r="C229">
            <v>885909</v>
          </cell>
          <cell r="F229">
            <v>6339927</v>
          </cell>
          <cell r="H229">
            <v>410879</v>
          </cell>
          <cell r="I229">
            <v>771648</v>
          </cell>
          <cell r="J229">
            <v>2537</v>
          </cell>
          <cell r="V229">
            <v>4169319</v>
          </cell>
          <cell r="Y229">
            <v>928921</v>
          </cell>
          <cell r="Z229">
            <v>234162</v>
          </cell>
          <cell r="AG229">
            <v>445616</v>
          </cell>
          <cell r="AK229">
            <v>43085</v>
          </cell>
        </row>
        <row r="230">
          <cell r="B230">
            <v>11048809</v>
          </cell>
          <cell r="C230">
            <v>1553908</v>
          </cell>
          <cell r="F230">
            <v>6371127</v>
          </cell>
          <cell r="H230">
            <v>743486</v>
          </cell>
          <cell r="I230">
            <v>463913</v>
          </cell>
          <cell r="J230">
            <v>4235</v>
          </cell>
          <cell r="V230">
            <v>4372315</v>
          </cell>
          <cell r="Y230">
            <v>880118</v>
          </cell>
          <cell r="Z230">
            <v>130158</v>
          </cell>
          <cell r="AG230">
            <v>391957</v>
          </cell>
          <cell r="AK230">
            <v>44481</v>
          </cell>
        </row>
        <row r="231">
          <cell r="B231">
            <v>11193898</v>
          </cell>
          <cell r="C231">
            <v>714457</v>
          </cell>
          <cell r="F231">
            <v>6423958</v>
          </cell>
          <cell r="H231">
            <v>389593</v>
          </cell>
          <cell r="I231">
            <v>357046</v>
          </cell>
          <cell r="J231">
            <v>4594</v>
          </cell>
          <cell r="V231">
            <v>4055109</v>
          </cell>
          <cell r="Y231">
            <v>995845</v>
          </cell>
          <cell r="Z231">
            <v>92802</v>
          </cell>
          <cell r="AG231">
            <v>306454</v>
          </cell>
          <cell r="AK231">
            <v>29131</v>
          </cell>
        </row>
        <row r="232">
          <cell r="B232">
            <v>10535184</v>
          </cell>
          <cell r="C232">
            <v>776973</v>
          </cell>
          <cell r="F232">
            <v>6147497</v>
          </cell>
          <cell r="H232">
            <v>721455</v>
          </cell>
          <cell r="I232">
            <v>410961</v>
          </cell>
          <cell r="J232">
            <v>3332</v>
          </cell>
          <cell r="V232">
            <v>4114287</v>
          </cell>
          <cell r="Y232">
            <v>855689</v>
          </cell>
          <cell r="Z232">
            <v>174663</v>
          </cell>
          <cell r="AG232">
            <v>341505</v>
          </cell>
          <cell r="AK232">
            <v>34267</v>
          </cell>
        </row>
        <row r="233">
          <cell r="B233">
            <v>10643643</v>
          </cell>
          <cell r="C233">
            <v>931632</v>
          </cell>
          <cell r="F233">
            <v>6007294</v>
          </cell>
          <cell r="H233">
            <v>406350</v>
          </cell>
          <cell r="I233">
            <v>504860</v>
          </cell>
          <cell r="J233">
            <v>7810</v>
          </cell>
          <cell r="V233">
            <v>3782731</v>
          </cell>
          <cell r="Y233">
            <v>943117</v>
          </cell>
          <cell r="Z233">
            <v>150541</v>
          </cell>
          <cell r="AG233">
            <v>363274</v>
          </cell>
          <cell r="AK233">
            <v>40240</v>
          </cell>
        </row>
        <row r="234">
          <cell r="B234">
            <v>15264074</v>
          </cell>
          <cell r="C234">
            <v>960324</v>
          </cell>
          <cell r="F234">
            <v>8880657</v>
          </cell>
          <cell r="H234">
            <v>18325</v>
          </cell>
          <cell r="I234">
            <v>1912002</v>
          </cell>
          <cell r="J234">
            <v>5003</v>
          </cell>
          <cell r="V234">
            <v>4732366</v>
          </cell>
          <cell r="Y234">
            <v>748071</v>
          </cell>
          <cell r="Z234">
            <v>244013</v>
          </cell>
          <cell r="AG234">
            <v>351894</v>
          </cell>
          <cell r="AK234">
            <v>48200</v>
          </cell>
        </row>
        <row r="235">
          <cell r="B235">
            <v>11787192</v>
          </cell>
          <cell r="C235">
            <v>1185301</v>
          </cell>
          <cell r="F235">
            <v>6679813</v>
          </cell>
          <cell r="H235">
            <v>328108</v>
          </cell>
          <cell r="I235">
            <v>759537</v>
          </cell>
          <cell r="J235">
            <v>7628</v>
          </cell>
          <cell r="V235">
            <v>4540028</v>
          </cell>
          <cell r="Y235">
            <v>839997</v>
          </cell>
          <cell r="Z235">
            <v>302944</v>
          </cell>
          <cell r="AG235">
            <v>301066</v>
          </cell>
          <cell r="AK235">
            <v>38875</v>
          </cell>
        </row>
        <row r="236">
          <cell r="B236">
            <v>12694244</v>
          </cell>
          <cell r="C236">
            <v>1169718</v>
          </cell>
          <cell r="F236">
            <v>7064444</v>
          </cell>
          <cell r="H236">
            <v>721772</v>
          </cell>
          <cell r="I236">
            <v>767184</v>
          </cell>
          <cell r="J236">
            <v>2823</v>
          </cell>
          <cell r="V236">
            <v>4650554</v>
          </cell>
          <cell r="Y236">
            <v>876094</v>
          </cell>
          <cell r="Z236">
            <v>260340</v>
          </cell>
          <cell r="AG236">
            <v>260777</v>
          </cell>
          <cell r="AK236">
            <v>41259</v>
          </cell>
        </row>
        <row r="237">
          <cell r="B237">
            <v>12560875</v>
          </cell>
          <cell r="C237">
            <v>845151</v>
          </cell>
          <cell r="F237">
            <v>7390896</v>
          </cell>
          <cell r="H237">
            <v>378859</v>
          </cell>
          <cell r="I237">
            <v>764077</v>
          </cell>
          <cell r="J237">
            <v>3218</v>
          </cell>
          <cell r="V237">
            <v>5030574</v>
          </cell>
          <cell r="Y237">
            <v>832719</v>
          </cell>
          <cell r="Z237">
            <v>169349</v>
          </cell>
          <cell r="AG237">
            <v>186061</v>
          </cell>
          <cell r="AK237">
            <v>38170</v>
          </cell>
        </row>
        <row r="238">
          <cell r="B238">
            <v>12752035</v>
          </cell>
          <cell r="C238">
            <v>1355156</v>
          </cell>
          <cell r="F238">
            <v>7509281</v>
          </cell>
          <cell r="H238">
            <v>771113</v>
          </cell>
          <cell r="I238">
            <v>504964</v>
          </cell>
          <cell r="J238">
            <v>5124</v>
          </cell>
          <cell r="V238">
            <v>4602379</v>
          </cell>
          <cell r="Y238">
            <v>846863</v>
          </cell>
          <cell r="Z238">
            <v>301976</v>
          </cell>
          <cell r="AG238">
            <v>282793</v>
          </cell>
          <cell r="AK238">
            <v>30460</v>
          </cell>
        </row>
        <row r="239">
          <cell r="B239">
            <v>11344684</v>
          </cell>
          <cell r="C239">
            <v>1157097</v>
          </cell>
          <cell r="F239">
            <v>6369008</v>
          </cell>
          <cell r="H239">
            <v>403660</v>
          </cell>
          <cell r="I239">
            <v>655693</v>
          </cell>
          <cell r="J239">
            <v>2290</v>
          </cell>
          <cell r="V239">
            <v>3899739</v>
          </cell>
          <cell r="Y239">
            <v>848597</v>
          </cell>
          <cell r="Z239">
            <v>247197</v>
          </cell>
          <cell r="AG239">
            <v>423367</v>
          </cell>
          <cell r="AK239">
            <v>43690</v>
          </cell>
        </row>
        <row r="240">
          <cell r="B240">
            <v>14691803</v>
          </cell>
          <cell r="C240">
            <v>1080240</v>
          </cell>
          <cell r="F240">
            <v>7949203</v>
          </cell>
          <cell r="H240">
            <v>834748</v>
          </cell>
          <cell r="I240">
            <v>627500</v>
          </cell>
          <cell r="J240">
            <v>16484</v>
          </cell>
          <cell r="V240">
            <v>5245974</v>
          </cell>
          <cell r="Y240">
            <v>986759</v>
          </cell>
          <cell r="Z240">
            <v>268340</v>
          </cell>
          <cell r="AG240">
            <v>497130</v>
          </cell>
          <cell r="AK240">
            <v>36968</v>
          </cell>
        </row>
        <row r="241">
          <cell r="B241">
            <v>12964579</v>
          </cell>
          <cell r="C241">
            <v>1044148</v>
          </cell>
          <cell r="F241">
            <v>6607397</v>
          </cell>
          <cell r="H241">
            <v>431200</v>
          </cell>
          <cell r="I241">
            <v>645768</v>
          </cell>
          <cell r="J241">
            <v>3653</v>
          </cell>
          <cell r="V241">
            <v>4336110</v>
          </cell>
          <cell r="Y241">
            <v>993694</v>
          </cell>
          <cell r="Z241">
            <v>193926</v>
          </cell>
          <cell r="AG241">
            <v>463200</v>
          </cell>
          <cell r="AK241">
            <v>39875</v>
          </cell>
        </row>
        <row r="242">
          <cell r="B242">
            <v>12310594</v>
          </cell>
          <cell r="C242">
            <v>637302</v>
          </cell>
          <cell r="F242">
            <v>6830933</v>
          </cell>
          <cell r="H242">
            <v>779206</v>
          </cell>
          <cell r="I242">
            <v>988551</v>
          </cell>
          <cell r="J242">
            <v>4698</v>
          </cell>
          <cell r="V242">
            <v>4668336</v>
          </cell>
          <cell r="Y242">
            <v>858440</v>
          </cell>
          <cell r="Z242">
            <v>241537</v>
          </cell>
          <cell r="AG242">
            <v>293043</v>
          </cell>
          <cell r="AK242">
            <v>24438</v>
          </cell>
        </row>
        <row r="243">
          <cell r="B243">
            <v>11157030</v>
          </cell>
          <cell r="C243">
            <v>806426</v>
          </cell>
          <cell r="F243">
            <v>6346727</v>
          </cell>
          <cell r="H243">
            <v>399685</v>
          </cell>
          <cell r="I243">
            <v>536395</v>
          </cell>
          <cell r="J243">
            <v>6160</v>
          </cell>
          <cell r="V243">
            <v>4262960</v>
          </cell>
          <cell r="Y243">
            <v>832564</v>
          </cell>
          <cell r="Z243">
            <v>233468</v>
          </cell>
          <cell r="AG243">
            <v>371743</v>
          </cell>
          <cell r="AK243">
            <v>27919</v>
          </cell>
        </row>
        <row r="244">
          <cell r="B244">
            <v>12206694</v>
          </cell>
          <cell r="C244">
            <v>906447</v>
          </cell>
          <cell r="F244">
            <v>6705998</v>
          </cell>
          <cell r="H244">
            <v>782642</v>
          </cell>
          <cell r="I244">
            <v>679265</v>
          </cell>
          <cell r="J244">
            <v>11119</v>
          </cell>
          <cell r="V244">
            <v>4587577</v>
          </cell>
          <cell r="Y244">
            <v>867455</v>
          </cell>
          <cell r="Z244">
            <v>220502</v>
          </cell>
          <cell r="AG244">
            <v>381950</v>
          </cell>
          <cell r="AK244">
            <v>51209</v>
          </cell>
        </row>
        <row r="245">
          <cell r="B245">
            <v>11508453</v>
          </cell>
          <cell r="C245">
            <v>1492936</v>
          </cell>
          <cell r="F245">
            <v>6481282</v>
          </cell>
          <cell r="H245">
            <v>449182</v>
          </cell>
          <cell r="I245">
            <v>705428</v>
          </cell>
          <cell r="J245">
            <v>3627</v>
          </cell>
          <cell r="V245">
            <v>4209530</v>
          </cell>
          <cell r="Y245">
            <v>904938</v>
          </cell>
          <cell r="Z245">
            <v>216958</v>
          </cell>
          <cell r="AG245">
            <v>466429</v>
          </cell>
          <cell r="AK245">
            <v>116226</v>
          </cell>
        </row>
        <row r="246">
          <cell r="B246">
            <v>15641270</v>
          </cell>
          <cell r="C246">
            <v>1119242</v>
          </cell>
          <cell r="F246">
            <v>8365438</v>
          </cell>
          <cell r="H246">
            <v>11332</v>
          </cell>
          <cell r="I246">
            <v>2254746</v>
          </cell>
          <cell r="J246">
            <v>4187</v>
          </cell>
          <cell r="V246">
            <v>4928598</v>
          </cell>
          <cell r="Y246">
            <v>888641</v>
          </cell>
          <cell r="Z246">
            <v>214267</v>
          </cell>
          <cell r="AG246">
            <v>383425</v>
          </cell>
          <cell r="AK246">
            <v>45662</v>
          </cell>
        </row>
        <row r="247">
          <cell r="B247">
            <v>12433769</v>
          </cell>
          <cell r="C247">
            <v>933760</v>
          </cell>
          <cell r="F247">
            <v>6651454</v>
          </cell>
          <cell r="H247">
            <v>355412</v>
          </cell>
          <cell r="I247">
            <v>820705</v>
          </cell>
          <cell r="J247">
            <v>3802</v>
          </cell>
          <cell r="V247">
            <v>4677233</v>
          </cell>
          <cell r="Y247">
            <v>893472</v>
          </cell>
          <cell r="Z247">
            <v>222097</v>
          </cell>
          <cell r="AG247">
            <v>304314</v>
          </cell>
          <cell r="AK247">
            <v>44009</v>
          </cell>
        </row>
        <row r="248">
          <cell r="B248">
            <v>13005613</v>
          </cell>
          <cell r="C248">
            <v>1174956</v>
          </cell>
          <cell r="F248">
            <v>6967673</v>
          </cell>
          <cell r="H248">
            <v>807501</v>
          </cell>
          <cell r="I248">
            <v>829892</v>
          </cell>
          <cell r="J248">
            <v>4762</v>
          </cell>
          <cell r="V248">
            <v>4965952</v>
          </cell>
          <cell r="Y248">
            <v>910140</v>
          </cell>
          <cell r="Z248">
            <v>227731</v>
          </cell>
          <cell r="AG248">
            <v>257589</v>
          </cell>
          <cell r="AK248">
            <v>36806</v>
          </cell>
        </row>
        <row r="249">
          <cell r="B249">
            <v>12629535</v>
          </cell>
          <cell r="C249">
            <v>718164</v>
          </cell>
          <cell r="F249">
            <v>7601077</v>
          </cell>
          <cell r="H249">
            <v>407756</v>
          </cell>
          <cell r="I249">
            <v>539374</v>
          </cell>
          <cell r="J249">
            <v>8487</v>
          </cell>
          <cell r="V249">
            <v>5282475</v>
          </cell>
          <cell r="Y249">
            <v>823505</v>
          </cell>
          <cell r="Z249">
            <v>227645</v>
          </cell>
          <cell r="AG249">
            <v>203277</v>
          </cell>
          <cell r="AK249">
            <v>39837</v>
          </cell>
        </row>
        <row r="250">
          <cell r="B250">
            <v>14779668</v>
          </cell>
          <cell r="C250">
            <v>2077894</v>
          </cell>
          <cell r="F250">
            <v>7879949</v>
          </cell>
          <cell r="H250">
            <v>849720</v>
          </cell>
          <cell r="I250">
            <v>663869</v>
          </cell>
          <cell r="J250">
            <v>8480</v>
          </cell>
          <cell r="V250">
            <v>5336984</v>
          </cell>
          <cell r="Y250">
            <v>889581</v>
          </cell>
          <cell r="Z250">
            <v>252185</v>
          </cell>
          <cell r="AG250">
            <v>228843</v>
          </cell>
          <cell r="AK250">
            <v>2770</v>
          </cell>
        </row>
        <row r="251">
          <cell r="B251">
            <v>12131578</v>
          </cell>
          <cell r="C251">
            <v>773789</v>
          </cell>
          <cell r="F251">
            <v>6480698</v>
          </cell>
          <cell r="H251">
            <v>462927</v>
          </cell>
          <cell r="I251">
            <v>868906</v>
          </cell>
          <cell r="J251">
            <v>5140</v>
          </cell>
          <cell r="V251">
            <v>4144601</v>
          </cell>
          <cell r="Y251">
            <v>872913</v>
          </cell>
          <cell r="Z251">
            <v>212288</v>
          </cell>
          <cell r="AG251">
            <v>350781</v>
          </cell>
          <cell r="AK251">
            <v>21419</v>
          </cell>
        </row>
        <row r="252">
          <cell r="B252">
            <v>14610753</v>
          </cell>
          <cell r="C252">
            <v>1107934</v>
          </cell>
          <cell r="F252">
            <v>8201997</v>
          </cell>
          <cell r="H252">
            <v>884834</v>
          </cell>
          <cell r="I252">
            <v>763439</v>
          </cell>
          <cell r="J252">
            <v>2806</v>
          </cell>
          <cell r="V252">
            <v>5538666</v>
          </cell>
          <cell r="Y252">
            <v>1155630</v>
          </cell>
          <cell r="Z252">
            <v>211932</v>
          </cell>
          <cell r="AG252">
            <v>429506</v>
          </cell>
          <cell r="AK252">
            <v>145630</v>
          </cell>
        </row>
        <row r="253">
          <cell r="B253">
            <v>12263087</v>
          </cell>
          <cell r="C253">
            <v>1010096</v>
          </cell>
          <cell r="F253">
            <v>6767948</v>
          </cell>
          <cell r="H253">
            <v>471239</v>
          </cell>
          <cell r="I253">
            <v>584373</v>
          </cell>
          <cell r="J253">
            <v>4990</v>
          </cell>
          <cell r="V253">
            <v>4621247</v>
          </cell>
          <cell r="Y253">
            <v>980609</v>
          </cell>
          <cell r="Z253">
            <v>276417</v>
          </cell>
          <cell r="AG253">
            <v>510896</v>
          </cell>
          <cell r="AK253">
            <v>72756</v>
          </cell>
        </row>
        <row r="254">
          <cell r="B254">
            <v>13727726</v>
          </cell>
          <cell r="C254">
            <v>1094222</v>
          </cell>
          <cell r="F254">
            <v>7450806</v>
          </cell>
          <cell r="H254">
            <v>874030</v>
          </cell>
          <cell r="I254">
            <v>800518</v>
          </cell>
          <cell r="J254">
            <v>6498</v>
          </cell>
          <cell r="V254">
            <v>5060186</v>
          </cell>
          <cell r="Y254">
            <v>915264</v>
          </cell>
          <cell r="Z254">
            <v>254840</v>
          </cell>
          <cell r="AG254">
            <v>427928</v>
          </cell>
          <cell r="AK254">
            <v>62805</v>
          </cell>
        </row>
        <row r="255">
          <cell r="B255">
            <v>7635207</v>
          </cell>
          <cell r="C255">
            <v>548642</v>
          </cell>
          <cell r="F255">
            <v>4260748</v>
          </cell>
          <cell r="H255">
            <v>245404</v>
          </cell>
          <cell r="I255">
            <v>423470</v>
          </cell>
          <cell r="J255">
            <v>7483</v>
          </cell>
          <cell r="V255">
            <v>2847562</v>
          </cell>
          <cell r="Y255">
            <v>588924</v>
          </cell>
          <cell r="Z255">
            <v>134367</v>
          </cell>
          <cell r="AG255">
            <v>275888</v>
          </cell>
          <cell r="AK255">
            <v>24823</v>
          </cell>
        </row>
        <row r="256">
          <cell r="B256">
            <v>16809663</v>
          </cell>
          <cell r="C256">
            <v>938645</v>
          </cell>
          <cell r="F256">
            <v>10044729</v>
          </cell>
          <cell r="H256">
            <v>1010499</v>
          </cell>
          <cell r="I256">
            <v>639121</v>
          </cell>
          <cell r="J256">
            <v>14730</v>
          </cell>
          <cell r="V256">
            <v>7055016</v>
          </cell>
          <cell r="Y256">
            <v>1252380</v>
          </cell>
          <cell r="Z256">
            <v>306555</v>
          </cell>
          <cell r="AG256">
            <v>437917</v>
          </cell>
          <cell r="AK256">
            <v>26552</v>
          </cell>
        </row>
        <row r="257">
          <cell r="B257">
            <v>12665958</v>
          </cell>
          <cell r="C257">
            <v>1267889</v>
          </cell>
          <cell r="F257">
            <v>6732159</v>
          </cell>
          <cell r="H257">
            <v>525221</v>
          </cell>
          <cell r="I257">
            <v>761648</v>
          </cell>
          <cell r="J257">
            <v>16963</v>
          </cell>
          <cell r="V257">
            <v>4450769</v>
          </cell>
          <cell r="Y257">
            <v>831770</v>
          </cell>
          <cell r="Z257">
            <v>226859</v>
          </cell>
          <cell r="AG257">
            <v>463180</v>
          </cell>
          <cell r="AK257">
            <v>40173</v>
          </cell>
        </row>
        <row r="258">
          <cell r="B258">
            <v>17626105</v>
          </cell>
          <cell r="C258">
            <v>1008064</v>
          </cell>
          <cell r="F258">
            <v>8377460</v>
          </cell>
          <cell r="H258">
            <v>7319</v>
          </cell>
          <cell r="I258">
            <v>2879287</v>
          </cell>
          <cell r="J258">
            <v>16218</v>
          </cell>
          <cell r="V258">
            <v>5460573</v>
          </cell>
          <cell r="Y258">
            <v>831831</v>
          </cell>
          <cell r="Z258">
            <v>328587</v>
          </cell>
          <cell r="AG258">
            <v>411480</v>
          </cell>
          <cell r="AK258">
            <v>37293</v>
          </cell>
        </row>
        <row r="259">
          <cell r="B259">
            <v>13834160</v>
          </cell>
          <cell r="C259">
            <v>1054870</v>
          </cell>
          <cell r="F259">
            <v>7528275</v>
          </cell>
          <cell r="H259">
            <v>404122</v>
          </cell>
          <cell r="I259">
            <v>994997</v>
          </cell>
          <cell r="J259">
            <v>23443</v>
          </cell>
          <cell r="V259">
            <v>5013371</v>
          </cell>
          <cell r="Y259">
            <v>848955</v>
          </cell>
          <cell r="Z259">
            <v>278827</v>
          </cell>
          <cell r="AG259">
            <v>341073</v>
          </cell>
          <cell r="AK259">
            <v>39472</v>
          </cell>
        </row>
        <row r="260">
          <cell r="B260">
            <v>14493734</v>
          </cell>
          <cell r="C260">
            <v>1682904</v>
          </cell>
          <cell r="F260">
            <v>7867188</v>
          </cell>
          <cell r="H260">
            <v>858331</v>
          </cell>
          <cell r="I260">
            <v>782484</v>
          </cell>
          <cell r="J260">
            <v>3644</v>
          </cell>
          <cell r="V260">
            <v>5412649</v>
          </cell>
          <cell r="Y260">
            <v>979927</v>
          </cell>
          <cell r="Z260">
            <v>211455</v>
          </cell>
          <cell r="AG260">
            <v>282534</v>
          </cell>
          <cell r="AK260">
            <v>57117</v>
          </cell>
        </row>
        <row r="261">
          <cell r="B261">
            <v>14065777</v>
          </cell>
          <cell r="C261">
            <v>980497</v>
          </cell>
          <cell r="F261">
            <v>8646415</v>
          </cell>
          <cell r="H261">
            <v>430017</v>
          </cell>
          <cell r="I261">
            <v>536378</v>
          </cell>
          <cell r="J261">
            <v>3658</v>
          </cell>
          <cell r="V261">
            <v>5662805</v>
          </cell>
          <cell r="Y261">
            <v>840787</v>
          </cell>
          <cell r="Z261">
            <v>320012</v>
          </cell>
          <cell r="AG261">
            <v>175313</v>
          </cell>
          <cell r="AK261">
            <v>40597</v>
          </cell>
        </row>
        <row r="262">
          <cell r="B262">
            <v>14437177</v>
          </cell>
          <cell r="C262">
            <v>783438</v>
          </cell>
          <cell r="F262">
            <v>8099009</v>
          </cell>
          <cell r="H262">
            <v>869558</v>
          </cell>
          <cell r="I262">
            <v>618600</v>
          </cell>
          <cell r="J262">
            <v>13869</v>
          </cell>
          <cell r="V262">
            <v>5551857</v>
          </cell>
          <cell r="Y262">
            <v>844593</v>
          </cell>
          <cell r="Z262">
            <v>300487</v>
          </cell>
          <cell r="AG262">
            <v>261181</v>
          </cell>
          <cell r="AK262">
            <v>37024</v>
          </cell>
        </row>
        <row r="263">
          <cell r="B263">
            <v>13646671</v>
          </cell>
          <cell r="C263">
            <v>1011859</v>
          </cell>
          <cell r="F263">
            <v>7441231</v>
          </cell>
          <cell r="H263">
            <v>490724</v>
          </cell>
          <cell r="I263">
            <v>779452</v>
          </cell>
          <cell r="J263">
            <v>5723</v>
          </cell>
          <cell r="V263">
            <v>4469777</v>
          </cell>
          <cell r="Y263">
            <v>933599</v>
          </cell>
          <cell r="Z263">
            <v>302940</v>
          </cell>
          <cell r="AG263">
            <v>378634</v>
          </cell>
          <cell r="AK263">
            <v>43602</v>
          </cell>
        </row>
        <row r="264">
          <cell r="B264">
            <v>15830599</v>
          </cell>
          <cell r="C264">
            <v>1298021</v>
          </cell>
          <cell r="F264">
            <v>8876940</v>
          </cell>
          <cell r="H264">
            <v>977351</v>
          </cell>
          <cell r="I264">
            <v>951836</v>
          </cell>
          <cell r="J264">
            <v>3706</v>
          </cell>
          <cell r="V264">
            <v>5338756</v>
          </cell>
          <cell r="Y264">
            <v>1099138</v>
          </cell>
          <cell r="Z264">
            <v>274220</v>
          </cell>
          <cell r="AG264">
            <v>464969</v>
          </cell>
          <cell r="AK264">
            <v>65493</v>
          </cell>
        </row>
        <row r="265">
          <cell r="B265">
            <v>16615658</v>
          </cell>
          <cell r="C265">
            <v>1273963</v>
          </cell>
          <cell r="F265">
            <v>8324103</v>
          </cell>
          <cell r="H265">
            <v>534119</v>
          </cell>
          <cell r="I265">
            <v>2414325</v>
          </cell>
          <cell r="J265">
            <v>7514</v>
          </cell>
          <cell r="V265">
            <v>4833718</v>
          </cell>
          <cell r="Y265">
            <v>1048839</v>
          </cell>
          <cell r="Z265">
            <v>258870</v>
          </cell>
          <cell r="AG265">
            <v>506089</v>
          </cell>
          <cell r="AK265">
            <v>46725</v>
          </cell>
        </row>
        <row r="266">
          <cell r="B266">
            <v>19182433</v>
          </cell>
          <cell r="C266">
            <v>856809</v>
          </cell>
          <cell r="F266">
            <v>12408933</v>
          </cell>
          <cell r="H266">
            <v>1029661</v>
          </cell>
          <cell r="I266">
            <v>1084466</v>
          </cell>
          <cell r="J266">
            <v>4919</v>
          </cell>
          <cell r="V266">
            <v>6195639</v>
          </cell>
          <cell r="Y266">
            <v>1071784</v>
          </cell>
          <cell r="Z266">
            <v>286588</v>
          </cell>
          <cell r="AG266">
            <v>385607</v>
          </cell>
          <cell r="AK266">
            <v>33592</v>
          </cell>
        </row>
        <row r="267">
          <cell r="B267">
            <v>20577666</v>
          </cell>
          <cell r="C267">
            <v>852693</v>
          </cell>
          <cell r="F267">
            <v>14086929</v>
          </cell>
          <cell r="H267">
            <v>554533</v>
          </cell>
          <cell r="I267">
            <v>1035508</v>
          </cell>
          <cell r="J267">
            <v>7760</v>
          </cell>
          <cell r="V267">
            <v>5241561</v>
          </cell>
          <cell r="Y267">
            <v>993118</v>
          </cell>
          <cell r="Z267">
            <v>263697</v>
          </cell>
          <cell r="AG267">
            <v>401611</v>
          </cell>
          <cell r="AK267">
            <v>23395</v>
          </cell>
        </row>
        <row r="268">
          <cell r="B268">
            <v>13530761</v>
          </cell>
          <cell r="C268">
            <v>1035218</v>
          </cell>
          <cell r="F268">
            <v>7445201</v>
          </cell>
          <cell r="H268">
            <v>921500</v>
          </cell>
          <cell r="I268">
            <v>537949</v>
          </cell>
          <cell r="J268">
            <v>6253</v>
          </cell>
          <cell r="V268">
            <v>5061275</v>
          </cell>
          <cell r="Y268">
            <v>975055</v>
          </cell>
          <cell r="Z268">
            <v>254972</v>
          </cell>
          <cell r="AG268">
            <v>455259</v>
          </cell>
          <cell r="AK268">
            <v>60778</v>
          </cell>
        </row>
        <row r="269">
          <cell r="B269">
            <v>12559875</v>
          </cell>
          <cell r="C269">
            <v>1185939</v>
          </cell>
          <cell r="F269">
            <v>6934543</v>
          </cell>
          <cell r="H269">
            <v>575754</v>
          </cell>
          <cell r="I269">
            <v>1116754</v>
          </cell>
          <cell r="J269">
            <v>9846</v>
          </cell>
          <cell r="V269">
            <v>4538451</v>
          </cell>
          <cell r="Y269">
            <v>979209</v>
          </cell>
          <cell r="Z269">
            <v>239809</v>
          </cell>
          <cell r="AG269">
            <v>463350</v>
          </cell>
          <cell r="AK269">
            <v>48134</v>
          </cell>
        </row>
        <row r="270">
          <cell r="B270">
            <v>18408941</v>
          </cell>
          <cell r="C270">
            <v>1538585</v>
          </cell>
          <cell r="F270">
            <v>8922011</v>
          </cell>
          <cell r="H270">
            <v>12462</v>
          </cell>
          <cell r="I270">
            <v>3017633</v>
          </cell>
          <cell r="J270">
            <v>13477</v>
          </cell>
          <cell r="V270">
            <v>5682137</v>
          </cell>
          <cell r="Y270">
            <v>878123</v>
          </cell>
          <cell r="Z270">
            <v>276342</v>
          </cell>
          <cell r="AG270">
            <v>483882</v>
          </cell>
          <cell r="AK270">
            <v>54015</v>
          </cell>
        </row>
        <row r="271">
          <cell r="B271">
            <v>14391408</v>
          </cell>
          <cell r="C271">
            <v>1434574</v>
          </cell>
          <cell r="F271">
            <v>7740207</v>
          </cell>
          <cell r="H271">
            <v>424802</v>
          </cell>
          <cell r="I271">
            <v>958178</v>
          </cell>
          <cell r="J271">
            <v>10559</v>
          </cell>
          <cell r="V271">
            <v>5107347</v>
          </cell>
          <cell r="Y271">
            <v>1027774</v>
          </cell>
          <cell r="Z271">
            <v>281727</v>
          </cell>
          <cell r="AG271">
            <v>387199</v>
          </cell>
          <cell r="AK271">
            <v>36006</v>
          </cell>
        </row>
        <row r="272">
          <cell r="B272">
            <v>15359931</v>
          </cell>
          <cell r="C272">
            <v>1166104</v>
          </cell>
          <cell r="F272">
            <v>8155210</v>
          </cell>
          <cell r="H272">
            <v>912259</v>
          </cell>
          <cell r="I272">
            <v>802357</v>
          </cell>
          <cell r="J272">
            <v>10553</v>
          </cell>
          <cell r="V272">
            <v>5746202</v>
          </cell>
          <cell r="Y272">
            <v>1029564</v>
          </cell>
          <cell r="Z272">
            <v>203525</v>
          </cell>
          <cell r="AG272">
            <v>353322</v>
          </cell>
          <cell r="AK272">
            <v>44988</v>
          </cell>
        </row>
        <row r="273">
          <cell r="B273">
            <v>14998257</v>
          </cell>
          <cell r="C273">
            <v>1005329</v>
          </cell>
          <cell r="F273">
            <v>8692514</v>
          </cell>
          <cell r="H273">
            <v>537863</v>
          </cell>
          <cell r="I273">
            <v>528150</v>
          </cell>
          <cell r="J273">
            <v>6127</v>
          </cell>
          <cell r="V273">
            <v>6178763</v>
          </cell>
          <cell r="Y273">
            <v>924683</v>
          </cell>
          <cell r="Z273">
            <v>277732</v>
          </cell>
          <cell r="AG273">
            <v>232319</v>
          </cell>
          <cell r="AK273">
            <v>31763</v>
          </cell>
        </row>
        <row r="274">
          <cell r="B274">
            <v>14551912</v>
          </cell>
          <cell r="C274">
            <v>2093842</v>
          </cell>
          <cell r="F274">
            <v>8343316</v>
          </cell>
          <cell r="H274">
            <v>964922</v>
          </cell>
          <cell r="I274">
            <v>677877</v>
          </cell>
          <cell r="J274">
            <v>10892</v>
          </cell>
          <cell r="V274">
            <v>5707647</v>
          </cell>
          <cell r="Y274">
            <v>1001408</v>
          </cell>
          <cell r="Z274">
            <v>343330</v>
          </cell>
          <cell r="AG274">
            <v>394444</v>
          </cell>
          <cell r="AK274">
            <v>37003</v>
          </cell>
        </row>
        <row r="275">
          <cell r="B275">
            <v>13266563</v>
          </cell>
          <cell r="C275">
            <v>1162857</v>
          </cell>
          <cell r="F275">
            <v>7508122</v>
          </cell>
          <cell r="H275">
            <v>526317</v>
          </cell>
          <cell r="I275">
            <v>549216</v>
          </cell>
          <cell r="J275">
            <v>8236</v>
          </cell>
          <cell r="V275">
            <v>4862542</v>
          </cell>
          <cell r="Y275">
            <v>917499</v>
          </cell>
          <cell r="Z275">
            <v>324261</v>
          </cell>
          <cell r="AG275">
            <v>493142</v>
          </cell>
          <cell r="AK275">
            <v>47151</v>
          </cell>
        </row>
        <row r="276">
          <cell r="B276">
            <v>16829445</v>
          </cell>
          <cell r="C276">
            <v>1404427</v>
          </cell>
          <cell r="F276">
            <v>9261373</v>
          </cell>
          <cell r="H276">
            <v>1028549</v>
          </cell>
          <cell r="I276">
            <v>830809</v>
          </cell>
          <cell r="J276">
            <v>7572</v>
          </cell>
          <cell r="V276">
            <v>6170520</v>
          </cell>
          <cell r="Y276">
            <v>1275588</v>
          </cell>
          <cell r="Z276">
            <v>256350</v>
          </cell>
          <cell r="AG276">
            <v>577062</v>
          </cell>
          <cell r="AK276">
            <v>35672</v>
          </cell>
        </row>
        <row r="277">
          <cell r="B277">
            <v>14599900</v>
          </cell>
          <cell r="C277">
            <v>1780469</v>
          </cell>
          <cell r="F277">
            <v>7882661</v>
          </cell>
          <cell r="H277">
            <v>566765</v>
          </cell>
          <cell r="I277">
            <v>701830</v>
          </cell>
          <cell r="J277">
            <v>7497</v>
          </cell>
          <cell r="V277">
            <v>5207635</v>
          </cell>
          <cell r="Y277">
            <v>1091598</v>
          </cell>
          <cell r="Z277">
            <v>244760</v>
          </cell>
          <cell r="AG277">
            <v>653109</v>
          </cell>
          <cell r="AK277">
            <v>40534</v>
          </cell>
        </row>
        <row r="278">
          <cell r="B278">
            <v>12505066</v>
          </cell>
          <cell r="C278">
            <v>925868</v>
          </cell>
          <cell r="F278">
            <v>7312788</v>
          </cell>
          <cell r="H278">
            <v>786618</v>
          </cell>
          <cell r="I278">
            <v>558456</v>
          </cell>
          <cell r="J278">
            <v>3663</v>
          </cell>
          <cell r="V278">
            <v>5001186</v>
          </cell>
          <cell r="Y278">
            <v>948240</v>
          </cell>
          <cell r="Z278">
            <v>255431</v>
          </cell>
          <cell r="AG278">
            <v>287924</v>
          </cell>
          <cell r="AK278">
            <v>19848</v>
          </cell>
        </row>
        <row r="279">
          <cell r="B279">
            <v>14476752</v>
          </cell>
          <cell r="C279">
            <v>1214102</v>
          </cell>
          <cell r="F279">
            <v>8037327</v>
          </cell>
          <cell r="H279">
            <v>734110</v>
          </cell>
          <cell r="I279">
            <v>632345</v>
          </cell>
          <cell r="J279">
            <v>8829</v>
          </cell>
          <cell r="V279">
            <v>5578326</v>
          </cell>
          <cell r="Y279">
            <v>1046205</v>
          </cell>
          <cell r="Z279">
            <v>215055</v>
          </cell>
          <cell r="AG279">
            <v>487435</v>
          </cell>
          <cell r="AK279">
            <v>53143</v>
          </cell>
        </row>
        <row r="280">
          <cell r="B280">
            <v>14444134</v>
          </cell>
          <cell r="C280">
            <v>1482670</v>
          </cell>
          <cell r="F280">
            <v>7970509</v>
          </cell>
          <cell r="H280">
            <v>1003603</v>
          </cell>
          <cell r="I280">
            <v>684842</v>
          </cell>
          <cell r="J280">
            <v>7119</v>
          </cell>
          <cell r="V280">
            <v>5503976</v>
          </cell>
          <cell r="Y280">
            <v>1011842</v>
          </cell>
          <cell r="Z280">
            <v>221139</v>
          </cell>
          <cell r="AG280">
            <v>557695</v>
          </cell>
          <cell r="AK280">
            <v>52409</v>
          </cell>
        </row>
        <row r="281">
          <cell r="B281">
            <v>14745667</v>
          </cell>
          <cell r="C281">
            <v>1226128</v>
          </cell>
          <cell r="F281">
            <v>7949452</v>
          </cell>
          <cell r="H281">
            <v>759443</v>
          </cell>
          <cell r="I281">
            <v>952475</v>
          </cell>
          <cell r="J281">
            <v>5162</v>
          </cell>
          <cell r="V281">
            <v>5216854</v>
          </cell>
          <cell r="Y281">
            <v>1056683</v>
          </cell>
          <cell r="Z281">
            <v>215463</v>
          </cell>
          <cell r="AG281">
            <v>515356</v>
          </cell>
          <cell r="AK281">
            <v>44312</v>
          </cell>
        </row>
        <row r="282">
          <cell r="B282">
            <v>19060825</v>
          </cell>
          <cell r="C282">
            <v>2009692</v>
          </cell>
          <cell r="F282">
            <v>9692008</v>
          </cell>
          <cell r="H282">
            <v>17699</v>
          </cell>
          <cell r="I282">
            <v>2854512</v>
          </cell>
          <cell r="J282">
            <v>40276</v>
          </cell>
          <cell r="V282">
            <v>6093799</v>
          </cell>
          <cell r="Y282">
            <v>1011714</v>
          </cell>
          <cell r="Z282">
            <v>241946</v>
          </cell>
          <cell r="AG282">
            <v>492376</v>
          </cell>
          <cell r="AK282">
            <v>38248</v>
          </cell>
        </row>
        <row r="283">
          <cell r="B283">
            <v>15045279</v>
          </cell>
          <cell r="C283">
            <v>2708142</v>
          </cell>
          <cell r="F283">
            <v>8019492</v>
          </cell>
          <cell r="H283">
            <v>485242</v>
          </cell>
          <cell r="I283">
            <v>1011220</v>
          </cell>
          <cell r="J283">
            <v>9191</v>
          </cell>
          <cell r="V283">
            <v>5592114</v>
          </cell>
          <cell r="Y283">
            <v>975600</v>
          </cell>
          <cell r="Z283">
            <v>238574</v>
          </cell>
          <cell r="AG283">
            <v>443870</v>
          </cell>
          <cell r="AK283">
            <v>78879</v>
          </cell>
        </row>
        <row r="284">
          <cell r="B284">
            <v>15727208</v>
          </cell>
          <cell r="C284">
            <v>1491104</v>
          </cell>
          <cell r="F284">
            <v>8450711</v>
          </cell>
          <cell r="H284">
            <v>992066</v>
          </cell>
          <cell r="I284">
            <v>722714</v>
          </cell>
          <cell r="J284">
            <v>7077</v>
          </cell>
          <cell r="V284">
            <v>5994869</v>
          </cell>
          <cell r="Y284">
            <v>1103750</v>
          </cell>
          <cell r="Z284">
            <v>183453</v>
          </cell>
          <cell r="AG284">
            <v>397939</v>
          </cell>
          <cell r="AK284">
            <v>44263</v>
          </cell>
        </row>
        <row r="285">
          <cell r="B285">
            <v>15358609</v>
          </cell>
          <cell r="C285">
            <v>1227819</v>
          </cell>
          <cell r="F285">
            <v>9000500</v>
          </cell>
          <cell r="H285">
            <v>537391</v>
          </cell>
          <cell r="I285">
            <v>900553</v>
          </cell>
          <cell r="J285">
            <v>4007</v>
          </cell>
          <cell r="V285">
            <v>6373482</v>
          </cell>
          <cell r="Y285">
            <v>958888</v>
          </cell>
          <cell r="Z285">
            <v>262469</v>
          </cell>
          <cell r="AG285">
            <v>287055</v>
          </cell>
          <cell r="AK285">
            <v>32680</v>
          </cell>
        </row>
        <row r="286">
          <cell r="B286">
            <v>16057705</v>
          </cell>
          <cell r="C286">
            <v>1201993</v>
          </cell>
          <cell r="F286">
            <v>9054034</v>
          </cell>
          <cell r="H286">
            <v>1062606</v>
          </cell>
          <cell r="I286">
            <v>642474</v>
          </cell>
          <cell r="J286">
            <v>13338</v>
          </cell>
          <cell r="V286">
            <v>6162553</v>
          </cell>
          <cell r="Y286">
            <v>1020812</v>
          </cell>
          <cell r="Z286">
            <v>318741</v>
          </cell>
          <cell r="AG286">
            <v>372748</v>
          </cell>
          <cell r="AK286">
            <v>44048</v>
          </cell>
        </row>
        <row r="287">
          <cell r="B287">
            <v>13569244</v>
          </cell>
          <cell r="C287">
            <v>1142161</v>
          </cell>
          <cell r="F287">
            <v>7648724</v>
          </cell>
          <cell r="H287">
            <v>579802</v>
          </cell>
          <cell r="I287">
            <v>595580</v>
          </cell>
          <cell r="J287">
            <v>5849</v>
          </cell>
          <cell r="V287">
            <v>5028909</v>
          </cell>
          <cell r="Y287">
            <v>1008573</v>
          </cell>
          <cell r="Z287">
            <v>239151</v>
          </cell>
          <cell r="AG287">
            <v>447361</v>
          </cell>
          <cell r="AK287">
            <v>42167</v>
          </cell>
        </row>
        <row r="288">
          <cell r="B288">
            <v>16704765</v>
          </cell>
          <cell r="C288">
            <v>1444422</v>
          </cell>
          <cell r="F288">
            <v>9461831</v>
          </cell>
          <cell r="H288">
            <v>1080719</v>
          </cell>
          <cell r="I288">
            <v>898859</v>
          </cell>
          <cell r="J288">
            <v>12156</v>
          </cell>
          <cell r="V288">
            <v>6322913</v>
          </cell>
          <cell r="Y288">
            <v>1319215</v>
          </cell>
          <cell r="Z288">
            <v>252142</v>
          </cell>
          <cell r="AG288">
            <v>651079</v>
          </cell>
          <cell r="AK288">
            <v>35851</v>
          </cell>
        </row>
        <row r="289">
          <cell r="B289">
            <v>14674151</v>
          </cell>
          <cell r="C289">
            <v>1356357</v>
          </cell>
          <cell r="F289">
            <v>8157784</v>
          </cell>
          <cell r="H289">
            <v>611933</v>
          </cell>
          <cell r="I289">
            <v>710416</v>
          </cell>
          <cell r="J289">
            <v>35192</v>
          </cell>
          <cell r="V289">
            <v>5379489</v>
          </cell>
          <cell r="Y289">
            <v>1101257</v>
          </cell>
          <cell r="Z289">
            <v>264630</v>
          </cell>
          <cell r="AG289">
            <v>675618</v>
          </cell>
          <cell r="AK289">
            <v>42333</v>
          </cell>
        </row>
        <row r="290">
          <cell r="B290">
            <v>15247464</v>
          </cell>
          <cell r="C290">
            <v>1012777</v>
          </cell>
          <cell r="F290">
            <v>8686360</v>
          </cell>
          <cell r="H290">
            <v>1073253</v>
          </cell>
          <cell r="I290">
            <v>547337</v>
          </cell>
          <cell r="J290">
            <v>10544</v>
          </cell>
          <cell r="V290">
            <v>5860764</v>
          </cell>
          <cell r="Y290">
            <v>1083793</v>
          </cell>
          <cell r="Z290">
            <v>234489</v>
          </cell>
          <cell r="AG290">
            <v>478933</v>
          </cell>
          <cell r="AK290">
            <v>28284</v>
          </cell>
        </row>
        <row r="291">
          <cell r="B291">
            <v>11607341</v>
          </cell>
          <cell r="C291">
            <v>883986</v>
          </cell>
          <cell r="F291">
            <v>6545688</v>
          </cell>
          <cell r="H291">
            <v>639022</v>
          </cell>
          <cell r="I291">
            <v>491557</v>
          </cell>
          <cell r="J291">
            <v>8511</v>
          </cell>
          <cell r="V291">
            <v>4289070</v>
          </cell>
          <cell r="Y291">
            <v>884596</v>
          </cell>
          <cell r="Z291">
            <v>168705</v>
          </cell>
          <cell r="AG291">
            <v>393729</v>
          </cell>
          <cell r="AK291">
            <v>28784</v>
          </cell>
        </row>
        <row r="292">
          <cell r="B292">
            <v>17718210</v>
          </cell>
          <cell r="C292">
            <v>1522941</v>
          </cell>
          <cell r="F292">
            <v>9704140</v>
          </cell>
          <cell r="H292">
            <v>1138555</v>
          </cell>
          <cell r="I292">
            <v>1085612</v>
          </cell>
          <cell r="J292">
            <v>30226</v>
          </cell>
          <cell r="V292">
            <v>6698993</v>
          </cell>
          <cell r="Y292">
            <v>1205559</v>
          </cell>
          <cell r="Z292">
            <v>268408</v>
          </cell>
          <cell r="AG292">
            <v>581348</v>
          </cell>
          <cell r="AK292">
            <v>62327</v>
          </cell>
        </row>
        <row r="293">
          <cell r="B293">
            <v>15935956</v>
          </cell>
          <cell r="C293">
            <v>2100511</v>
          </cell>
          <cell r="F293">
            <v>8431586</v>
          </cell>
          <cell r="H293">
            <v>717309</v>
          </cell>
          <cell r="I293">
            <v>1546982</v>
          </cell>
          <cell r="J293">
            <v>15330</v>
          </cell>
          <cell r="V293">
            <v>5204193</v>
          </cell>
          <cell r="Y293">
            <v>1133275</v>
          </cell>
          <cell r="Z293">
            <v>180719</v>
          </cell>
          <cell r="AG293">
            <v>781485</v>
          </cell>
          <cell r="AK293">
            <v>75439</v>
          </cell>
        </row>
        <row r="294">
          <cell r="B294">
            <v>20988506</v>
          </cell>
          <cell r="C294">
            <v>1922328</v>
          </cell>
          <cell r="F294">
            <v>11153055</v>
          </cell>
          <cell r="H294">
            <v>21489</v>
          </cell>
          <cell r="I294">
            <v>3937639</v>
          </cell>
          <cell r="J294">
            <v>12518</v>
          </cell>
          <cell r="V294">
            <v>6634099</v>
          </cell>
          <cell r="Y294">
            <v>1006210</v>
          </cell>
          <cell r="Z294">
            <v>233818</v>
          </cell>
          <cell r="AG294">
            <v>569533</v>
          </cell>
          <cell r="AK294">
            <v>41808</v>
          </cell>
        </row>
        <row r="295">
          <cell r="B295">
            <v>16100226</v>
          </cell>
          <cell r="C295">
            <v>2165078</v>
          </cell>
          <cell r="F295">
            <v>8801570</v>
          </cell>
          <cell r="H295">
            <v>513605</v>
          </cell>
          <cell r="I295">
            <v>1020534</v>
          </cell>
          <cell r="J295">
            <v>6818</v>
          </cell>
          <cell r="V295">
            <v>5925780</v>
          </cell>
          <cell r="Y295">
            <v>1085537</v>
          </cell>
          <cell r="Z295">
            <v>268632</v>
          </cell>
          <cell r="AG295">
            <v>457187</v>
          </cell>
          <cell r="AK295">
            <v>44606</v>
          </cell>
        </row>
        <row r="296">
          <cell r="B296">
            <v>15744711</v>
          </cell>
          <cell r="C296">
            <v>3483203</v>
          </cell>
          <cell r="F296">
            <v>9584648</v>
          </cell>
          <cell r="H296">
            <v>846731</v>
          </cell>
          <cell r="I296">
            <v>722413</v>
          </cell>
          <cell r="J296">
            <v>11155</v>
          </cell>
          <cell r="V296">
            <v>6459202</v>
          </cell>
          <cell r="Y296">
            <v>1073944</v>
          </cell>
          <cell r="Z296">
            <v>218250</v>
          </cell>
          <cell r="AG296">
            <v>605066</v>
          </cell>
          <cell r="AK296">
            <v>35114</v>
          </cell>
        </row>
        <row r="297">
          <cell r="B297">
            <v>13762266</v>
          </cell>
          <cell r="C297">
            <v>1404500</v>
          </cell>
          <cell r="F297">
            <v>9105593</v>
          </cell>
          <cell r="H297">
            <v>453774</v>
          </cell>
          <cell r="I297">
            <v>338458</v>
          </cell>
          <cell r="J297">
            <v>12437</v>
          </cell>
          <cell r="V297">
            <v>6256189</v>
          </cell>
          <cell r="Y297">
            <v>1017884</v>
          </cell>
          <cell r="Z297">
            <v>276889</v>
          </cell>
          <cell r="AG297">
            <v>343389</v>
          </cell>
          <cell r="AK297">
            <v>41274</v>
          </cell>
        </row>
        <row r="298">
          <cell r="B298">
            <v>13638461</v>
          </cell>
          <cell r="C298">
            <v>1326454</v>
          </cell>
          <cell r="F298">
            <v>8237806</v>
          </cell>
          <cell r="H298">
            <v>928605</v>
          </cell>
          <cell r="I298">
            <v>682368</v>
          </cell>
          <cell r="J298">
            <v>12884</v>
          </cell>
          <cell r="V298">
            <v>5641394</v>
          </cell>
          <cell r="Y298">
            <v>1082340</v>
          </cell>
          <cell r="Z298">
            <v>204265</v>
          </cell>
          <cell r="AG298">
            <v>473592</v>
          </cell>
          <cell r="AK298">
            <v>35157</v>
          </cell>
        </row>
        <row r="299">
          <cell r="B299">
            <v>14029413</v>
          </cell>
          <cell r="C299">
            <v>1602293</v>
          </cell>
          <cell r="F299">
            <v>7823599</v>
          </cell>
          <cell r="H299">
            <v>866864</v>
          </cell>
          <cell r="I299">
            <v>606453</v>
          </cell>
          <cell r="J299">
            <v>7844</v>
          </cell>
          <cell r="V299">
            <v>5394920</v>
          </cell>
          <cell r="Y299">
            <v>1024840</v>
          </cell>
          <cell r="Z299">
            <v>223205</v>
          </cell>
          <cell r="AG299">
            <v>876967</v>
          </cell>
          <cell r="AK299">
            <v>40274</v>
          </cell>
        </row>
        <row r="300">
          <cell r="B300">
            <v>16707684</v>
          </cell>
          <cell r="C300">
            <v>1460900</v>
          </cell>
          <cell r="F300">
            <v>9667863</v>
          </cell>
          <cell r="H300">
            <v>1114409</v>
          </cell>
          <cell r="I300">
            <v>789155</v>
          </cell>
          <cell r="J300">
            <v>17581</v>
          </cell>
          <cell r="V300">
            <v>7071472</v>
          </cell>
          <cell r="Y300">
            <v>1116809</v>
          </cell>
          <cell r="Z300">
            <v>158979</v>
          </cell>
          <cell r="AG300">
            <v>637961</v>
          </cell>
          <cell r="AK300">
            <v>35460</v>
          </cell>
        </row>
        <row r="301">
          <cell r="B301">
            <v>14797241</v>
          </cell>
          <cell r="C301">
            <v>1302481</v>
          </cell>
          <cell r="F301">
            <v>8129206</v>
          </cell>
          <cell r="H301">
            <v>631140</v>
          </cell>
          <cell r="I301">
            <v>872142</v>
          </cell>
          <cell r="J301">
            <v>15006</v>
          </cell>
          <cell r="V301">
            <v>5575966</v>
          </cell>
          <cell r="Y301">
            <v>1076273</v>
          </cell>
          <cell r="Z301">
            <v>180501</v>
          </cell>
          <cell r="AG301">
            <v>615577</v>
          </cell>
          <cell r="AK301">
            <v>56955</v>
          </cell>
        </row>
        <row r="302">
          <cell r="B302">
            <v>15685718</v>
          </cell>
          <cell r="C302">
            <v>1056448</v>
          </cell>
          <cell r="F302">
            <v>8946193</v>
          </cell>
          <cell r="H302">
            <v>1054965</v>
          </cell>
          <cell r="I302">
            <v>918187</v>
          </cell>
          <cell r="J302">
            <v>9036</v>
          </cell>
          <cell r="V302">
            <v>6367483</v>
          </cell>
          <cell r="Y302">
            <v>1006861</v>
          </cell>
          <cell r="Z302">
            <v>162308</v>
          </cell>
          <cell r="AG302">
            <v>514719</v>
          </cell>
          <cell r="AK302">
            <v>27090</v>
          </cell>
        </row>
        <row r="303">
          <cell r="B303">
            <v>14360363</v>
          </cell>
          <cell r="C303">
            <v>1110754</v>
          </cell>
          <cell r="F303">
            <v>8312035</v>
          </cell>
          <cell r="H303">
            <v>640055</v>
          </cell>
          <cell r="I303">
            <v>638772</v>
          </cell>
          <cell r="J303">
            <v>13650</v>
          </cell>
          <cell r="V303">
            <v>6061551</v>
          </cell>
          <cell r="Y303">
            <v>857869</v>
          </cell>
          <cell r="Z303">
            <v>140837</v>
          </cell>
          <cell r="AG303">
            <v>446723</v>
          </cell>
          <cell r="AK303">
            <v>22192</v>
          </cell>
        </row>
        <row r="304">
          <cell r="B304">
            <v>15821146</v>
          </cell>
          <cell r="C304">
            <v>1201127</v>
          </cell>
          <cell r="F304">
            <v>8310145</v>
          </cell>
          <cell r="H304">
            <v>1077876</v>
          </cell>
          <cell r="I304">
            <v>675769</v>
          </cell>
          <cell r="J304">
            <v>42257</v>
          </cell>
          <cell r="V304">
            <v>5825445</v>
          </cell>
          <cell r="Y304">
            <v>1020615</v>
          </cell>
          <cell r="Z304">
            <v>213802</v>
          </cell>
          <cell r="AG304">
            <v>506031</v>
          </cell>
          <cell r="AK304">
            <v>50956</v>
          </cell>
        </row>
        <row r="305">
          <cell r="B305">
            <v>15289882</v>
          </cell>
          <cell r="C305">
            <v>1291478</v>
          </cell>
          <cell r="F305">
            <v>8522287</v>
          </cell>
          <cell r="H305">
            <v>697044</v>
          </cell>
          <cell r="I305">
            <v>1176749</v>
          </cell>
          <cell r="J305">
            <v>11204</v>
          </cell>
          <cell r="V305">
            <v>5647131</v>
          </cell>
          <cell r="Y305">
            <v>927740</v>
          </cell>
          <cell r="Z305">
            <v>127149</v>
          </cell>
          <cell r="AG305">
            <v>562220</v>
          </cell>
          <cell r="AK305">
            <v>58380</v>
          </cell>
        </row>
        <row r="306">
          <cell r="B306">
            <v>22977582</v>
          </cell>
          <cell r="C306">
            <v>1580392</v>
          </cell>
          <cell r="F306">
            <v>11378707</v>
          </cell>
          <cell r="H306">
            <v>29075</v>
          </cell>
          <cell r="I306">
            <v>3780262</v>
          </cell>
          <cell r="J306">
            <v>10115</v>
          </cell>
          <cell r="V306">
            <v>7611294</v>
          </cell>
          <cell r="Y306">
            <v>950433</v>
          </cell>
          <cell r="Z306">
            <v>191960</v>
          </cell>
          <cell r="AG306">
            <v>494123</v>
          </cell>
          <cell r="AK306">
            <v>43037</v>
          </cell>
        </row>
        <row r="307">
          <cell r="B307">
            <v>17442657</v>
          </cell>
          <cell r="C307">
            <v>1943968</v>
          </cell>
          <cell r="F307">
            <v>9675967</v>
          </cell>
          <cell r="H307">
            <v>523685</v>
          </cell>
          <cell r="I307">
            <v>1052171</v>
          </cell>
          <cell r="J307">
            <v>13163</v>
          </cell>
          <cell r="V307">
            <v>6743051</v>
          </cell>
          <cell r="Y307">
            <v>910443</v>
          </cell>
          <cell r="Z307">
            <v>154718</v>
          </cell>
          <cell r="AG307">
            <v>413520</v>
          </cell>
          <cell r="AK307">
            <v>32987</v>
          </cell>
        </row>
        <row r="308">
          <cell r="B308">
            <v>18517882</v>
          </cell>
          <cell r="C308">
            <v>1261290</v>
          </cell>
          <cell r="F308">
            <v>10557127</v>
          </cell>
          <cell r="H308">
            <v>1017798</v>
          </cell>
          <cell r="I308">
            <v>1221450</v>
          </cell>
          <cell r="J308">
            <v>21428</v>
          </cell>
          <cell r="V308">
            <v>7378238</v>
          </cell>
          <cell r="Y308">
            <v>1051859</v>
          </cell>
          <cell r="Z308">
            <v>138804</v>
          </cell>
          <cell r="AG308">
            <v>332393</v>
          </cell>
          <cell r="AK308">
            <v>29385</v>
          </cell>
        </row>
        <row r="309">
          <cell r="B309">
            <v>18754062</v>
          </cell>
          <cell r="C309">
            <v>1305648</v>
          </cell>
          <cell r="F309">
            <v>10874762</v>
          </cell>
          <cell r="H309">
            <v>707461</v>
          </cell>
          <cell r="I309">
            <v>962133</v>
          </cell>
          <cell r="J309">
            <v>19952</v>
          </cell>
          <cell r="V309">
            <v>7820609</v>
          </cell>
          <cell r="Y309">
            <v>1044419</v>
          </cell>
          <cell r="Z309">
            <v>170457</v>
          </cell>
          <cell r="AG309">
            <v>369072</v>
          </cell>
          <cell r="AK309">
            <v>44334</v>
          </cell>
        </row>
        <row r="310">
          <cell r="B310">
            <v>17989954</v>
          </cell>
          <cell r="C310">
            <v>1436762</v>
          </cell>
          <cell r="F310">
            <v>10096594</v>
          </cell>
          <cell r="H310">
            <v>1142702</v>
          </cell>
          <cell r="I310">
            <v>950979</v>
          </cell>
          <cell r="J310">
            <v>19549</v>
          </cell>
          <cell r="V310">
            <v>6834858</v>
          </cell>
          <cell r="Y310">
            <v>1052606</v>
          </cell>
          <cell r="Z310">
            <v>152540</v>
          </cell>
          <cell r="AG310">
            <v>448493</v>
          </cell>
          <cell r="AK310">
            <v>31542</v>
          </cell>
        </row>
        <row r="311">
          <cell r="B311">
            <v>17906994</v>
          </cell>
          <cell r="C311">
            <v>1898429</v>
          </cell>
          <cell r="F311">
            <v>8974655</v>
          </cell>
          <cell r="H311">
            <v>745233</v>
          </cell>
          <cell r="I311">
            <v>1607896</v>
          </cell>
          <cell r="J311">
            <v>8697</v>
          </cell>
          <cell r="V311">
            <v>6190561</v>
          </cell>
          <cell r="Y311">
            <v>1126356</v>
          </cell>
          <cell r="Z311">
            <v>126827</v>
          </cell>
          <cell r="AG311">
            <v>589267</v>
          </cell>
          <cell r="AK311">
            <v>36129</v>
          </cell>
        </row>
        <row r="312">
          <cell r="B312">
            <v>22038785</v>
          </cell>
          <cell r="C312">
            <v>1401039</v>
          </cell>
          <cell r="F312">
            <v>11473899</v>
          </cell>
          <cell r="H312">
            <v>1465197</v>
          </cell>
          <cell r="I312">
            <v>1611984</v>
          </cell>
          <cell r="J312">
            <v>22917</v>
          </cell>
          <cell r="V312">
            <v>8153833</v>
          </cell>
          <cell r="Y312">
            <v>1181484</v>
          </cell>
          <cell r="Z312">
            <v>123528</v>
          </cell>
          <cell r="AG312">
            <v>595709</v>
          </cell>
          <cell r="AK312">
            <v>43691</v>
          </cell>
        </row>
        <row r="313">
          <cell r="B313">
            <v>20117221</v>
          </cell>
          <cell r="C313">
            <v>1495485</v>
          </cell>
          <cell r="F313">
            <v>10549650</v>
          </cell>
          <cell r="H313">
            <v>869925</v>
          </cell>
          <cell r="I313">
            <v>1346179</v>
          </cell>
          <cell r="J313">
            <v>11387</v>
          </cell>
          <cell r="V313">
            <v>7154964</v>
          </cell>
          <cell r="Y313">
            <v>1030668</v>
          </cell>
          <cell r="Z313">
            <v>139507</v>
          </cell>
          <cell r="AG313">
            <v>606072</v>
          </cell>
          <cell r="AK313">
            <v>56522</v>
          </cell>
        </row>
        <row r="314">
          <cell r="B314">
            <v>18191101</v>
          </cell>
          <cell r="C314">
            <v>681067</v>
          </cell>
          <cell r="F314">
            <v>10067425</v>
          </cell>
          <cell r="H314">
            <v>1027347</v>
          </cell>
          <cell r="I314">
            <v>798836</v>
          </cell>
          <cell r="J314">
            <v>15659</v>
          </cell>
          <cell r="V314">
            <v>6871019</v>
          </cell>
          <cell r="Y314">
            <v>983567</v>
          </cell>
          <cell r="Z314">
            <v>133735</v>
          </cell>
          <cell r="AG314">
            <v>344188</v>
          </cell>
          <cell r="AK314">
            <v>18747</v>
          </cell>
        </row>
        <row r="315">
          <cell r="B315">
            <v>19890560</v>
          </cell>
          <cell r="C315">
            <v>1256648</v>
          </cell>
          <cell r="F315">
            <v>10112580</v>
          </cell>
          <cell r="H315">
            <v>1122545</v>
          </cell>
          <cell r="I315">
            <v>1082345</v>
          </cell>
          <cell r="J315">
            <v>52009</v>
          </cell>
          <cell r="V315">
            <v>7066125</v>
          </cell>
          <cell r="Y315">
            <v>1256089</v>
          </cell>
          <cell r="Z315">
            <v>123197</v>
          </cell>
          <cell r="AG315">
            <v>528522</v>
          </cell>
          <cell r="AK315">
            <v>32314</v>
          </cell>
        </row>
        <row r="316">
          <cell r="B316">
            <v>21768799</v>
          </cell>
          <cell r="C316">
            <v>1272805</v>
          </cell>
          <cell r="F316">
            <v>10320450</v>
          </cell>
          <cell r="H316">
            <v>1422488</v>
          </cell>
          <cell r="I316">
            <v>1399915</v>
          </cell>
          <cell r="J316">
            <v>74426</v>
          </cell>
          <cell r="V316">
            <v>7049162</v>
          </cell>
          <cell r="Y316">
            <v>1086933</v>
          </cell>
          <cell r="Z316">
            <v>128553</v>
          </cell>
          <cell r="AG316">
            <v>559856</v>
          </cell>
          <cell r="AK316">
            <v>66882</v>
          </cell>
        </row>
        <row r="317">
          <cell r="B317">
            <v>22080270</v>
          </cell>
          <cell r="C317">
            <v>1324475</v>
          </cell>
          <cell r="F317">
            <v>11168930</v>
          </cell>
          <cell r="H317">
            <v>866496</v>
          </cell>
          <cell r="I317">
            <v>1805138</v>
          </cell>
          <cell r="J317">
            <v>13209</v>
          </cell>
          <cell r="V317">
            <v>6792828</v>
          </cell>
          <cell r="Y317">
            <v>1137870</v>
          </cell>
          <cell r="Z317">
            <v>119013</v>
          </cell>
          <cell r="AG317">
            <v>575293</v>
          </cell>
          <cell r="AK317">
            <v>59895</v>
          </cell>
        </row>
        <row r="318">
          <cell r="B318">
            <v>32891977</v>
          </cell>
          <cell r="C318">
            <v>1790973</v>
          </cell>
          <cell r="F318">
            <v>14640945</v>
          </cell>
          <cell r="H318">
            <v>55204</v>
          </cell>
          <cell r="I318">
            <v>4315964</v>
          </cell>
          <cell r="J318">
            <v>20670</v>
          </cell>
          <cell r="V318">
            <v>9152962</v>
          </cell>
          <cell r="Y318">
            <v>939041</v>
          </cell>
          <cell r="Z318">
            <v>172696</v>
          </cell>
          <cell r="AG318">
            <v>500698</v>
          </cell>
          <cell r="AK318">
            <v>56120</v>
          </cell>
        </row>
        <row r="319">
          <cell r="B319">
            <v>22729436</v>
          </cell>
          <cell r="C319">
            <v>1712927</v>
          </cell>
          <cell r="F319">
            <v>10812422</v>
          </cell>
          <cell r="H319">
            <v>639810</v>
          </cell>
          <cell r="I319">
            <v>1758680</v>
          </cell>
          <cell r="J319">
            <v>55762</v>
          </cell>
          <cell r="V319">
            <v>7746720</v>
          </cell>
          <cell r="Y319">
            <v>1063838</v>
          </cell>
          <cell r="Z319">
            <v>118808</v>
          </cell>
          <cell r="AG319">
            <v>441630</v>
          </cell>
          <cell r="AK319">
            <v>42479</v>
          </cell>
        </row>
        <row r="320">
          <cell r="B320">
            <v>23258994</v>
          </cell>
          <cell r="C320">
            <v>1995354</v>
          </cell>
          <cell r="F320">
            <v>11318321</v>
          </cell>
          <cell r="H320">
            <v>1420826</v>
          </cell>
          <cell r="I320">
            <v>1394371</v>
          </cell>
          <cell r="J320">
            <v>45770</v>
          </cell>
          <cell r="V320">
            <v>8448553</v>
          </cell>
          <cell r="Y320">
            <v>973014</v>
          </cell>
          <cell r="Z320">
            <v>141555</v>
          </cell>
          <cell r="AG320">
            <v>433149</v>
          </cell>
          <cell r="AK320">
            <v>33643</v>
          </cell>
        </row>
        <row r="321">
          <cell r="B321">
            <v>22293713</v>
          </cell>
          <cell r="C321">
            <v>1156054</v>
          </cell>
          <cell r="F321">
            <v>11789821</v>
          </cell>
          <cell r="H321">
            <v>767794</v>
          </cell>
          <cell r="I321">
            <v>1457603</v>
          </cell>
          <cell r="J321">
            <v>33857</v>
          </cell>
          <cell r="V321">
            <v>8591254</v>
          </cell>
          <cell r="Y321">
            <v>931332</v>
          </cell>
          <cell r="Z321">
            <v>154116</v>
          </cell>
          <cell r="AG321">
            <v>346159</v>
          </cell>
          <cell r="AK321">
            <v>37385</v>
          </cell>
        </row>
        <row r="322">
          <cell r="B322">
            <v>25014202</v>
          </cell>
          <cell r="C322">
            <v>1580338</v>
          </cell>
          <cell r="F322">
            <v>13087296</v>
          </cell>
          <cell r="H322">
            <v>1422234</v>
          </cell>
          <cell r="I322">
            <v>1232233</v>
          </cell>
          <cell r="J322">
            <v>25554</v>
          </cell>
          <cell r="V322">
            <v>9773838</v>
          </cell>
          <cell r="Y322">
            <v>1155145</v>
          </cell>
          <cell r="Z322">
            <v>226738</v>
          </cell>
          <cell r="AG322">
            <v>537404</v>
          </cell>
          <cell r="AK322">
            <v>55242</v>
          </cell>
        </row>
        <row r="323">
          <cell r="B323">
            <v>21364251</v>
          </cell>
          <cell r="C323">
            <v>1430977</v>
          </cell>
          <cell r="F323">
            <v>9697210</v>
          </cell>
          <cell r="H323">
            <v>902908</v>
          </cell>
          <cell r="I323">
            <v>1605127</v>
          </cell>
          <cell r="J323">
            <v>15258</v>
          </cell>
          <cell r="V323">
            <v>6702764</v>
          </cell>
          <cell r="Y323">
            <v>996097</v>
          </cell>
          <cell r="Z323">
            <v>165181</v>
          </cell>
          <cell r="AG323">
            <v>654383</v>
          </cell>
          <cell r="AK323">
            <v>55775</v>
          </cell>
        </row>
        <row r="324">
          <cell r="B324">
            <v>23479149</v>
          </cell>
          <cell r="C324">
            <v>1466938</v>
          </cell>
          <cell r="F324">
            <v>11465113</v>
          </cell>
          <cell r="H324">
            <v>1727343</v>
          </cell>
          <cell r="I324">
            <v>1446577</v>
          </cell>
          <cell r="J324">
            <v>39666</v>
          </cell>
          <cell r="V324">
            <v>8126956</v>
          </cell>
          <cell r="Y324">
            <v>1449910</v>
          </cell>
          <cell r="Z324">
            <v>131941</v>
          </cell>
          <cell r="AG324">
            <v>701569</v>
          </cell>
          <cell r="AK324">
            <v>40955</v>
          </cell>
        </row>
        <row r="325">
          <cell r="B325">
            <v>22610659</v>
          </cell>
          <cell r="C325">
            <v>1562045</v>
          </cell>
          <cell r="F325">
            <v>10171369</v>
          </cell>
          <cell r="H325">
            <v>1067278</v>
          </cell>
          <cell r="I325">
            <v>1917107</v>
          </cell>
          <cell r="J325">
            <v>19268</v>
          </cell>
          <cell r="V325">
            <v>7109946</v>
          </cell>
          <cell r="Y325">
            <v>1237332</v>
          </cell>
          <cell r="Z325">
            <v>174509</v>
          </cell>
          <cell r="AG325">
            <v>783730</v>
          </cell>
          <cell r="AK325">
            <v>57997</v>
          </cell>
        </row>
        <row r="326">
          <cell r="B326">
            <v>21151923</v>
          </cell>
          <cell r="C326">
            <v>1090352</v>
          </cell>
          <cell r="F326">
            <v>10757127</v>
          </cell>
          <cell r="H326">
            <v>1498077</v>
          </cell>
          <cell r="I326">
            <v>1121852</v>
          </cell>
          <cell r="J326">
            <v>18038</v>
          </cell>
          <cell r="V326">
            <v>7820609</v>
          </cell>
          <cell r="Y326">
            <v>1060239</v>
          </cell>
          <cell r="Z326">
            <v>150754</v>
          </cell>
          <cell r="AG326">
            <v>605067</v>
          </cell>
          <cell r="AK326">
            <v>46300</v>
          </cell>
        </row>
        <row r="327">
          <cell r="B327">
            <v>20564815</v>
          </cell>
          <cell r="C327">
            <v>877444</v>
          </cell>
          <cell r="F327">
            <v>10430519</v>
          </cell>
          <cell r="H327">
            <v>887754</v>
          </cell>
          <cell r="I327">
            <v>786703</v>
          </cell>
          <cell r="J327">
            <v>20488</v>
          </cell>
          <cell r="V327">
            <v>7259216</v>
          </cell>
          <cell r="Y327">
            <v>1187900</v>
          </cell>
          <cell r="Z327">
            <v>139740</v>
          </cell>
          <cell r="AG327">
            <v>427220</v>
          </cell>
          <cell r="AK327">
            <v>29393</v>
          </cell>
        </row>
        <row r="328">
          <cell r="B328">
            <v>21701186</v>
          </cell>
          <cell r="C328">
            <v>1501552</v>
          </cell>
          <cell r="F328">
            <v>10549702</v>
          </cell>
          <cell r="H328">
            <v>1558121</v>
          </cell>
          <cell r="I328">
            <v>1339895</v>
          </cell>
          <cell r="J328">
            <v>139957</v>
          </cell>
          <cell r="V328">
            <v>7959318</v>
          </cell>
          <cell r="Y328">
            <v>993884</v>
          </cell>
          <cell r="Z328">
            <v>152072</v>
          </cell>
          <cell r="AG328">
            <v>646080</v>
          </cell>
          <cell r="AK328">
            <v>48245</v>
          </cell>
        </row>
        <row r="329">
          <cell r="B329">
            <v>20260035</v>
          </cell>
          <cell r="C329">
            <v>1673284</v>
          </cell>
          <cell r="F329">
            <v>10820922</v>
          </cell>
          <cell r="H329">
            <v>870278</v>
          </cell>
          <cell r="I329">
            <v>1774064</v>
          </cell>
          <cell r="J329">
            <v>15884</v>
          </cell>
          <cell r="V329">
            <v>7207675</v>
          </cell>
          <cell r="Y329">
            <v>1171038</v>
          </cell>
          <cell r="Z329">
            <v>133710</v>
          </cell>
          <cell r="AG329">
            <v>767977</v>
          </cell>
          <cell r="AK329">
            <v>84545</v>
          </cell>
        </row>
        <row r="330">
          <cell r="B330">
            <v>31069565</v>
          </cell>
          <cell r="C330">
            <v>2325366</v>
          </cell>
          <cell r="F330">
            <v>13928505</v>
          </cell>
          <cell r="H330">
            <v>37114</v>
          </cell>
          <cell r="I330">
            <v>4099226</v>
          </cell>
          <cell r="J330">
            <v>87250</v>
          </cell>
          <cell r="V330">
            <v>9137458</v>
          </cell>
          <cell r="Y330">
            <v>1019090</v>
          </cell>
          <cell r="Z330">
            <v>187704</v>
          </cell>
          <cell r="AG330">
            <v>640753</v>
          </cell>
          <cell r="AK330">
            <v>50622</v>
          </cell>
        </row>
        <row r="331">
          <cell r="B331">
            <v>22220564</v>
          </cell>
          <cell r="C331">
            <v>1655672</v>
          </cell>
          <cell r="F331">
            <v>10758119</v>
          </cell>
          <cell r="H331">
            <v>744240</v>
          </cell>
          <cell r="I331">
            <v>1529280</v>
          </cell>
          <cell r="J331">
            <v>24242</v>
          </cell>
          <cell r="V331">
            <v>7988313</v>
          </cell>
          <cell r="Y331">
            <v>1001296</v>
          </cell>
          <cell r="Z331">
            <v>155543</v>
          </cell>
          <cell r="AG331">
            <v>542833</v>
          </cell>
          <cell r="AK331">
            <v>56727</v>
          </cell>
        </row>
        <row r="332">
          <cell r="B332">
            <v>22359828</v>
          </cell>
          <cell r="C332">
            <v>1858588</v>
          </cell>
          <cell r="F332">
            <v>11476414</v>
          </cell>
          <cell r="H332">
            <v>1501074</v>
          </cell>
          <cell r="I332">
            <v>1347276</v>
          </cell>
          <cell r="J332">
            <v>106305</v>
          </cell>
          <cell r="V332">
            <v>8394887</v>
          </cell>
          <cell r="Y332">
            <v>1199747</v>
          </cell>
          <cell r="Z332">
            <v>178577</v>
          </cell>
          <cell r="AG332">
            <v>575007</v>
          </cell>
          <cell r="AK332">
            <v>62848</v>
          </cell>
        </row>
        <row r="333">
          <cell r="B333">
            <v>22090796</v>
          </cell>
          <cell r="C333">
            <v>1385470</v>
          </cell>
          <cell r="F333">
            <v>13006551</v>
          </cell>
          <cell r="H333">
            <v>854837</v>
          </cell>
          <cell r="I333">
            <v>959338</v>
          </cell>
          <cell r="J333">
            <v>11865</v>
          </cell>
          <cell r="V333">
            <v>9665631</v>
          </cell>
          <cell r="Y333">
            <v>1109172</v>
          </cell>
          <cell r="Z333">
            <v>268841</v>
          </cell>
          <cell r="AG333">
            <v>347987</v>
          </cell>
          <cell r="AK333">
            <v>50860</v>
          </cell>
        </row>
        <row r="334">
          <cell r="B334">
            <v>22430088</v>
          </cell>
          <cell r="C334">
            <v>2176825</v>
          </cell>
          <cell r="F334">
            <v>12176681</v>
          </cell>
          <cell r="H334">
            <v>1534942</v>
          </cell>
          <cell r="I334">
            <v>1313967</v>
          </cell>
          <cell r="J334">
            <v>70602</v>
          </cell>
          <cell r="V334">
            <v>8497580</v>
          </cell>
          <cell r="Y334">
            <v>1140000</v>
          </cell>
          <cell r="Z334">
            <v>138517</v>
          </cell>
          <cell r="AG334">
            <v>686079</v>
          </cell>
          <cell r="AK334">
            <v>59976</v>
          </cell>
        </row>
        <row r="335">
          <cell r="B335">
            <v>20221964</v>
          </cell>
          <cell r="C335">
            <v>1966967</v>
          </cell>
          <cell r="F335">
            <v>10801605</v>
          </cell>
          <cell r="H335">
            <v>929354</v>
          </cell>
          <cell r="I335">
            <v>1093857</v>
          </cell>
          <cell r="J335">
            <v>19492</v>
          </cell>
          <cell r="V335">
            <v>7453648</v>
          </cell>
          <cell r="Y335">
            <v>1066900</v>
          </cell>
          <cell r="Z335">
            <v>130390</v>
          </cell>
          <cell r="AG335">
            <v>871298</v>
          </cell>
          <cell r="AK335">
            <v>59492</v>
          </cell>
        </row>
        <row r="336">
          <cell r="B336">
            <v>23442165</v>
          </cell>
          <cell r="C336">
            <v>2122449</v>
          </cell>
          <cell r="F336">
            <v>13069865</v>
          </cell>
          <cell r="H336">
            <v>1546066</v>
          </cell>
          <cell r="I336">
            <v>1187716</v>
          </cell>
          <cell r="J336">
            <v>45876</v>
          </cell>
          <cell r="V336">
            <v>9263295</v>
          </cell>
          <cell r="Y336">
            <v>1525123</v>
          </cell>
          <cell r="Z336">
            <v>148624</v>
          </cell>
          <cell r="AG336">
            <v>901469</v>
          </cell>
          <cell r="AK336">
            <v>89049</v>
          </cell>
        </row>
        <row r="337">
          <cell r="B337">
            <v>20779497</v>
          </cell>
          <cell r="C337">
            <v>2071899</v>
          </cell>
          <cell r="F337">
            <v>11224946</v>
          </cell>
          <cell r="H337">
            <v>958420</v>
          </cell>
          <cell r="I337">
            <v>1292428</v>
          </cell>
          <cell r="J337">
            <v>12769</v>
          </cell>
          <cell r="V337">
            <v>8050383</v>
          </cell>
          <cell r="Y337">
            <v>1162744</v>
          </cell>
          <cell r="Z337">
            <v>150963</v>
          </cell>
          <cell r="AG337">
            <v>1011066</v>
          </cell>
          <cell r="AK337">
            <v>77429</v>
          </cell>
        </row>
        <row r="338">
          <cell r="B338">
            <v>21467214</v>
          </cell>
          <cell r="C338">
            <v>1543333</v>
          </cell>
          <cell r="F338">
            <v>12372854</v>
          </cell>
          <cell r="H338">
            <v>1577072</v>
          </cell>
          <cell r="I338">
            <v>821828</v>
          </cell>
          <cell r="J338">
            <v>13713</v>
          </cell>
          <cell r="V338">
            <v>8572176</v>
          </cell>
          <cell r="Y338">
            <v>1139419</v>
          </cell>
          <cell r="Z338">
            <v>221096</v>
          </cell>
          <cell r="AG338">
            <v>743488</v>
          </cell>
          <cell r="AK338">
            <v>49746</v>
          </cell>
        </row>
        <row r="339">
          <cell r="B339">
            <v>18983509</v>
          </cell>
          <cell r="C339">
            <v>2342512</v>
          </cell>
          <cell r="F339">
            <v>11119895</v>
          </cell>
          <cell r="H339">
            <v>748739</v>
          </cell>
          <cell r="I339">
            <v>901238</v>
          </cell>
          <cell r="J339">
            <v>21500</v>
          </cell>
          <cell r="V339">
            <v>7837759</v>
          </cell>
          <cell r="Y339">
            <v>1177622</v>
          </cell>
          <cell r="Z339">
            <v>151663</v>
          </cell>
          <cell r="AG339">
            <v>925977</v>
          </cell>
          <cell r="AK339">
            <v>65433</v>
          </cell>
        </row>
        <row r="340">
          <cell r="B340">
            <v>18826956</v>
          </cell>
          <cell r="C340">
            <v>1887161</v>
          </cell>
          <cell r="F340">
            <v>11130570</v>
          </cell>
          <cell r="H340">
            <v>1352479</v>
          </cell>
          <cell r="I340">
            <v>791042</v>
          </cell>
          <cell r="J340">
            <v>140349</v>
          </cell>
          <cell r="V340">
            <v>7897951</v>
          </cell>
          <cell r="Y340">
            <v>1062792</v>
          </cell>
          <cell r="Z340">
            <v>153690</v>
          </cell>
          <cell r="AG340">
            <v>833481</v>
          </cell>
          <cell r="AK340">
            <v>60970</v>
          </cell>
        </row>
        <row r="341">
          <cell r="B341">
            <v>19511321</v>
          </cell>
          <cell r="C341">
            <v>1551667</v>
          </cell>
          <cell r="F341">
            <v>11132907</v>
          </cell>
          <cell r="H341">
            <v>857229</v>
          </cell>
          <cell r="I341">
            <v>1094821</v>
          </cell>
          <cell r="J341">
            <v>24520</v>
          </cell>
          <cell r="V341">
            <v>7587189</v>
          </cell>
          <cell r="Y341">
            <v>1227930</v>
          </cell>
          <cell r="Z341">
            <v>152944</v>
          </cell>
          <cell r="AG341">
            <v>681385</v>
          </cell>
          <cell r="AK341">
            <v>48722</v>
          </cell>
        </row>
        <row r="342">
          <cell r="B342">
            <v>30224007</v>
          </cell>
          <cell r="C342">
            <v>2110529</v>
          </cell>
          <cell r="F342">
            <v>14455514</v>
          </cell>
          <cell r="H342">
            <v>26614</v>
          </cell>
          <cell r="I342">
            <v>3747161</v>
          </cell>
          <cell r="J342">
            <v>47830</v>
          </cell>
          <cell r="V342">
            <v>9642482</v>
          </cell>
          <cell r="Y342">
            <v>1088422</v>
          </cell>
          <cell r="Z342">
            <v>136079</v>
          </cell>
          <cell r="AG342">
            <v>742568</v>
          </cell>
          <cell r="AK342">
            <v>45431</v>
          </cell>
        </row>
        <row r="343">
          <cell r="B343">
            <v>21955755</v>
          </cell>
          <cell r="C343">
            <v>2290368</v>
          </cell>
          <cell r="F343">
            <v>11583009</v>
          </cell>
          <cell r="H343">
            <v>753956</v>
          </cell>
          <cell r="I343">
            <v>1583223</v>
          </cell>
          <cell r="J343">
            <v>29784</v>
          </cell>
          <cell r="V343">
            <v>8461815</v>
          </cell>
          <cell r="Y343">
            <v>959107</v>
          </cell>
          <cell r="Z343">
            <v>159555</v>
          </cell>
          <cell r="AG343">
            <v>654055</v>
          </cell>
          <cell r="AK343">
            <v>80625</v>
          </cell>
        </row>
        <row r="344">
          <cell r="B344">
            <v>23977060</v>
          </cell>
          <cell r="C344">
            <v>2058984</v>
          </cell>
          <cell r="F344">
            <v>12996958</v>
          </cell>
          <cell r="H344">
            <v>1500217</v>
          </cell>
          <cell r="I344">
            <v>1231139</v>
          </cell>
          <cell r="J344">
            <v>87776</v>
          </cell>
          <cell r="V344">
            <v>9548986</v>
          </cell>
          <cell r="Y344">
            <v>1262507</v>
          </cell>
          <cell r="Z344">
            <v>150831</v>
          </cell>
          <cell r="AG344">
            <v>538149</v>
          </cell>
          <cell r="AK344">
            <v>62654</v>
          </cell>
        </row>
        <row r="345">
          <cell r="B345">
            <v>23886424</v>
          </cell>
          <cell r="C345">
            <v>1473149</v>
          </cell>
          <cell r="F345">
            <v>14296179</v>
          </cell>
          <cell r="H345">
            <v>848295</v>
          </cell>
          <cell r="I345">
            <v>1129451</v>
          </cell>
          <cell r="J345">
            <v>23775</v>
          </cell>
          <cell r="V345">
            <v>10651959</v>
          </cell>
          <cell r="Y345">
            <v>1062677</v>
          </cell>
          <cell r="Z345">
            <v>275183</v>
          </cell>
          <cell r="AG345">
            <v>415275</v>
          </cell>
          <cell r="AK345">
            <v>29365</v>
          </cell>
        </row>
        <row r="346">
          <cell r="B346">
            <v>24288850</v>
          </cell>
          <cell r="C346">
            <v>2414900</v>
          </cell>
          <cell r="F346">
            <v>13225697</v>
          </cell>
          <cell r="H346">
            <v>1753056</v>
          </cell>
          <cell r="I346">
            <v>1702405</v>
          </cell>
          <cell r="J346">
            <v>37494</v>
          </cell>
          <cell r="V346">
            <v>8787727</v>
          </cell>
          <cell r="Y346">
            <v>997340</v>
          </cell>
          <cell r="Z346">
            <v>190243</v>
          </cell>
          <cell r="AG346">
            <v>880798</v>
          </cell>
          <cell r="AK346">
            <v>46033</v>
          </cell>
        </row>
        <row r="347">
          <cell r="B347">
            <v>22284637</v>
          </cell>
          <cell r="C347">
            <v>2260803</v>
          </cell>
          <cell r="F347">
            <v>12511419</v>
          </cell>
          <cell r="H347">
            <v>1190723</v>
          </cell>
          <cell r="I347">
            <v>1034028</v>
          </cell>
          <cell r="J347">
            <v>11472</v>
          </cell>
          <cell r="V347">
            <v>8429085</v>
          </cell>
          <cell r="Y347">
            <v>1178941</v>
          </cell>
          <cell r="Z347">
            <v>173183</v>
          </cell>
          <cell r="AG347">
            <v>820423</v>
          </cell>
          <cell r="AK347">
            <v>40397</v>
          </cell>
        </row>
        <row r="348">
          <cell r="B348">
            <v>26412148</v>
          </cell>
          <cell r="C348">
            <v>3468732</v>
          </cell>
          <cell r="F348">
            <v>14791143</v>
          </cell>
          <cell r="H348">
            <v>1607132</v>
          </cell>
          <cell r="I348">
            <v>1341295</v>
          </cell>
          <cell r="J348">
            <v>48094</v>
          </cell>
          <cell r="V348">
            <v>10262827</v>
          </cell>
          <cell r="Y348">
            <v>1275653</v>
          </cell>
          <cell r="Z348">
            <v>152551</v>
          </cell>
          <cell r="AG348">
            <v>1100196</v>
          </cell>
          <cell r="AK348">
            <v>134732</v>
          </cell>
        </row>
        <row r="349">
          <cell r="B349">
            <v>23682713</v>
          </cell>
          <cell r="C349">
            <v>2224597</v>
          </cell>
          <cell r="F349">
            <v>13168840</v>
          </cell>
          <cell r="H349">
            <v>1142072</v>
          </cell>
          <cell r="I349">
            <v>982147</v>
          </cell>
          <cell r="J349">
            <v>142146</v>
          </cell>
          <cell r="V349">
            <v>9129968</v>
          </cell>
          <cell r="Y349">
            <v>1353683</v>
          </cell>
          <cell r="Z349">
            <v>151484</v>
          </cell>
          <cell r="AG349">
            <v>1030473</v>
          </cell>
          <cell r="AK349">
            <v>79462</v>
          </cell>
        </row>
        <row r="350">
          <cell r="B350">
            <v>23359121</v>
          </cell>
          <cell r="C350">
            <v>2017399</v>
          </cell>
          <cell r="F350">
            <v>12536391</v>
          </cell>
          <cell r="H350">
            <v>1650895</v>
          </cell>
          <cell r="I350">
            <v>956801</v>
          </cell>
          <cell r="J350">
            <v>19777</v>
          </cell>
          <cell r="V350">
            <v>8710488</v>
          </cell>
          <cell r="Y350">
            <v>1134255</v>
          </cell>
          <cell r="Z350">
            <v>162615</v>
          </cell>
          <cell r="AG350">
            <v>956114</v>
          </cell>
          <cell r="AK350">
            <v>59013</v>
          </cell>
        </row>
        <row r="351">
          <cell r="B351">
            <v>22474903</v>
          </cell>
          <cell r="C351">
            <v>1472729</v>
          </cell>
          <cell r="F351">
            <v>12431164</v>
          </cell>
          <cell r="H351">
            <v>1034697</v>
          </cell>
          <cell r="I351">
            <v>900708</v>
          </cell>
          <cell r="J351">
            <v>58802</v>
          </cell>
          <cell r="V351">
            <v>8640453</v>
          </cell>
          <cell r="Y351">
            <v>1151882</v>
          </cell>
          <cell r="Z351">
            <v>152580</v>
          </cell>
          <cell r="AG351">
            <v>731031</v>
          </cell>
          <cell r="AK351">
            <v>36035</v>
          </cell>
        </row>
        <row r="352">
          <cell r="B352">
            <v>23680909</v>
          </cell>
          <cell r="C352">
            <v>1808854</v>
          </cell>
          <cell r="F352">
            <v>12670193</v>
          </cell>
          <cell r="H352">
            <v>1729385</v>
          </cell>
          <cell r="I352">
            <v>809501</v>
          </cell>
          <cell r="J352">
            <v>30273</v>
          </cell>
          <cell r="V352">
            <v>8782157</v>
          </cell>
          <cell r="Y352">
            <v>1102551</v>
          </cell>
          <cell r="Z352">
            <v>136258</v>
          </cell>
          <cell r="AG352">
            <v>762149</v>
          </cell>
          <cell r="AK352">
            <v>54116</v>
          </cell>
        </row>
        <row r="353">
          <cell r="B353">
            <v>24566000</v>
          </cell>
          <cell r="C353">
            <v>2004897</v>
          </cell>
          <cell r="F353">
            <v>14101417</v>
          </cell>
          <cell r="H353">
            <v>1659731</v>
          </cell>
          <cell r="I353">
            <v>1685163</v>
          </cell>
          <cell r="J353">
            <v>23665</v>
          </cell>
          <cell r="V353">
            <v>8501824</v>
          </cell>
          <cell r="Y353">
            <v>1261960</v>
          </cell>
          <cell r="Z353">
            <v>135129</v>
          </cell>
          <cell r="AG353">
            <v>849649</v>
          </cell>
          <cell r="AK353">
            <v>52383</v>
          </cell>
        </row>
        <row r="354">
          <cell r="B354">
            <v>46271412</v>
          </cell>
          <cell r="C354">
            <v>2650193</v>
          </cell>
          <cell r="F354">
            <v>25385959</v>
          </cell>
          <cell r="H354">
            <v>21626</v>
          </cell>
          <cell r="I354">
            <v>5570939</v>
          </cell>
          <cell r="J354">
            <v>102024</v>
          </cell>
          <cell r="V354">
            <v>11933758</v>
          </cell>
          <cell r="Y354">
            <v>1112230</v>
          </cell>
          <cell r="Z354">
            <v>148074</v>
          </cell>
          <cell r="AG354">
            <v>941924</v>
          </cell>
          <cell r="AK354">
            <v>64714</v>
          </cell>
        </row>
        <row r="355">
          <cell r="B355">
            <v>26464372</v>
          </cell>
          <cell r="C355">
            <v>2472497</v>
          </cell>
          <cell r="F355">
            <v>12823224</v>
          </cell>
          <cell r="H355">
            <v>772793</v>
          </cell>
          <cell r="I355">
            <v>1805103</v>
          </cell>
          <cell r="J355">
            <v>27550</v>
          </cell>
          <cell r="V355">
            <v>9206016</v>
          </cell>
          <cell r="Y355">
            <v>1254018</v>
          </cell>
          <cell r="Z355">
            <v>144598</v>
          </cell>
          <cell r="AG355">
            <v>683831</v>
          </cell>
          <cell r="AK355">
            <v>61882</v>
          </cell>
        </row>
        <row r="356">
          <cell r="B356">
            <v>27662217</v>
          </cell>
          <cell r="C356">
            <v>3046244</v>
          </cell>
          <cell r="F356">
            <v>14819584</v>
          </cell>
          <cell r="H356">
            <v>1720447</v>
          </cell>
          <cell r="I356">
            <v>1157684</v>
          </cell>
          <cell r="J356">
            <v>20715</v>
          </cell>
          <cell r="V356">
            <v>10475358</v>
          </cell>
          <cell r="Y356">
            <v>1409695</v>
          </cell>
          <cell r="Z356">
            <v>156387</v>
          </cell>
          <cell r="AG356">
            <v>692821</v>
          </cell>
          <cell r="AK356">
            <v>73482</v>
          </cell>
        </row>
        <row r="357">
          <cell r="B357">
            <v>27160161</v>
          </cell>
          <cell r="C357">
            <v>1949051</v>
          </cell>
          <cell r="F357">
            <v>16129295</v>
          </cell>
          <cell r="H357">
            <v>975151</v>
          </cell>
          <cell r="I357">
            <v>817702</v>
          </cell>
          <cell r="J357">
            <v>15469</v>
          </cell>
          <cell r="V357">
            <v>11480943</v>
          </cell>
          <cell r="Y357">
            <v>1184838</v>
          </cell>
          <cell r="Z357">
            <v>257825</v>
          </cell>
          <cell r="AG357">
            <v>626726</v>
          </cell>
          <cell r="AK357">
            <v>60656</v>
          </cell>
        </row>
        <row r="358">
          <cell r="B358">
            <v>26035395</v>
          </cell>
          <cell r="C358">
            <v>2470074</v>
          </cell>
          <cell r="F358">
            <v>13819286</v>
          </cell>
          <cell r="H358">
            <v>1736039</v>
          </cell>
          <cell r="I358">
            <v>966876</v>
          </cell>
          <cell r="J358">
            <v>25197</v>
          </cell>
          <cell r="V358">
            <v>9576817</v>
          </cell>
          <cell r="Y358">
            <v>1168217</v>
          </cell>
          <cell r="Z358">
            <v>209494</v>
          </cell>
          <cell r="AG358">
            <v>929588</v>
          </cell>
          <cell r="AK358">
            <v>64743</v>
          </cell>
        </row>
        <row r="359">
          <cell r="B359">
            <v>23016218</v>
          </cell>
          <cell r="C359">
            <v>2269164</v>
          </cell>
          <cell r="F359">
            <v>12689401</v>
          </cell>
          <cell r="H359">
            <v>985635</v>
          </cell>
          <cell r="I359">
            <v>866521</v>
          </cell>
          <cell r="J359">
            <v>15166</v>
          </cell>
          <cell r="V359">
            <v>8793218</v>
          </cell>
          <cell r="Y359">
            <v>1301482</v>
          </cell>
          <cell r="Z359">
            <v>217232</v>
          </cell>
          <cell r="AG359">
            <v>1023069</v>
          </cell>
          <cell r="AK359">
            <v>73447</v>
          </cell>
        </row>
        <row r="360">
          <cell r="B360">
            <v>30511194</v>
          </cell>
          <cell r="C360">
            <v>2138798</v>
          </cell>
          <cell r="F360">
            <v>16911891</v>
          </cell>
          <cell r="H360">
            <v>1797964</v>
          </cell>
          <cell r="I360">
            <v>1315338</v>
          </cell>
          <cell r="J360">
            <v>26385</v>
          </cell>
          <cell r="V360">
            <v>11231618</v>
          </cell>
          <cell r="Y360">
            <v>1463090</v>
          </cell>
          <cell r="Z360">
            <v>145635</v>
          </cell>
          <cell r="AG360">
            <v>1017813</v>
          </cell>
          <cell r="AK360">
            <v>61074</v>
          </cell>
        </row>
        <row r="361">
          <cell r="B361">
            <v>27453599</v>
          </cell>
          <cell r="C361">
            <v>1730571</v>
          </cell>
          <cell r="F361">
            <v>14990502</v>
          </cell>
          <cell r="H361">
            <v>1358856</v>
          </cell>
          <cell r="I361">
            <v>966885</v>
          </cell>
          <cell r="J361">
            <v>33546</v>
          </cell>
          <cell r="V361">
            <v>9909005</v>
          </cell>
          <cell r="Y361">
            <v>1220514</v>
          </cell>
          <cell r="Z361">
            <v>167344</v>
          </cell>
          <cell r="AG361">
            <v>888701</v>
          </cell>
          <cell r="AK361">
            <v>102926</v>
          </cell>
        </row>
        <row r="362">
          <cell r="B362">
            <v>27518009</v>
          </cell>
          <cell r="C362">
            <v>1684421</v>
          </cell>
          <cell r="F362">
            <v>14777890</v>
          </cell>
          <cell r="H362">
            <v>2029099</v>
          </cell>
          <cell r="I362">
            <v>1220622</v>
          </cell>
          <cell r="J362">
            <v>17805</v>
          </cell>
          <cell r="V362">
            <v>10121066</v>
          </cell>
          <cell r="Y362">
            <v>1241483</v>
          </cell>
          <cell r="Z362">
            <v>161553</v>
          </cell>
          <cell r="AG362">
            <v>871386</v>
          </cell>
          <cell r="AK362">
            <v>57091</v>
          </cell>
        </row>
        <row r="363">
          <cell r="B363">
            <v>24696956</v>
          </cell>
          <cell r="C363">
            <v>1491496</v>
          </cell>
          <cell r="F363">
            <v>14378585</v>
          </cell>
          <cell r="H363">
            <v>1238847</v>
          </cell>
          <cell r="I363">
            <v>664289</v>
          </cell>
          <cell r="J363">
            <v>229088</v>
          </cell>
          <cell r="V363">
            <v>9650893</v>
          </cell>
          <cell r="Y363">
            <v>1264746</v>
          </cell>
          <cell r="Z363">
            <v>150519</v>
          </cell>
          <cell r="AG363">
            <v>651110</v>
          </cell>
          <cell r="AK363">
            <v>38300</v>
          </cell>
        </row>
        <row r="364">
          <cell r="B364">
            <v>27509873</v>
          </cell>
          <cell r="C364">
            <v>1692247</v>
          </cell>
          <cell r="F364">
            <v>14520099</v>
          </cell>
          <cell r="H364">
            <v>1806855</v>
          </cell>
          <cell r="I364">
            <v>1135304</v>
          </cell>
          <cell r="J364">
            <v>18749</v>
          </cell>
          <cell r="V364">
            <v>9901664</v>
          </cell>
          <cell r="Y364">
            <v>1125128</v>
          </cell>
          <cell r="Z364">
            <v>164047</v>
          </cell>
          <cell r="AG364">
            <v>805375</v>
          </cell>
          <cell r="AK364">
            <v>63723</v>
          </cell>
        </row>
        <row r="365">
          <cell r="B365">
            <v>29231114</v>
          </cell>
          <cell r="C365">
            <v>3257144</v>
          </cell>
          <cell r="F365">
            <v>17192898</v>
          </cell>
          <cell r="H365">
            <v>1341710</v>
          </cell>
          <cell r="I365">
            <v>1276854</v>
          </cell>
          <cell r="J365">
            <v>22752</v>
          </cell>
          <cell r="V365">
            <v>9648170</v>
          </cell>
          <cell r="Y365">
            <v>1353721</v>
          </cell>
          <cell r="Z365">
            <v>150358</v>
          </cell>
          <cell r="AG365">
            <v>1012818</v>
          </cell>
          <cell r="AK365">
            <v>58207</v>
          </cell>
        </row>
        <row r="366">
          <cell r="B366">
            <v>40177986</v>
          </cell>
          <cell r="C366">
            <v>2401320</v>
          </cell>
          <cell r="F366">
            <v>20694236</v>
          </cell>
          <cell r="H366">
            <v>62348</v>
          </cell>
          <cell r="I366">
            <v>6608604</v>
          </cell>
          <cell r="J366">
            <v>796053</v>
          </cell>
          <cell r="V366">
            <v>12408320</v>
          </cell>
          <cell r="Y366">
            <v>1082493</v>
          </cell>
          <cell r="Z366">
            <v>143409</v>
          </cell>
          <cell r="AG366">
            <v>908834</v>
          </cell>
          <cell r="AK366">
            <v>126400</v>
          </cell>
        </row>
        <row r="367">
          <cell r="B367">
            <v>30579938</v>
          </cell>
          <cell r="C367">
            <v>2532356</v>
          </cell>
          <cell r="F367">
            <v>15514690</v>
          </cell>
          <cell r="H367">
            <v>1145548</v>
          </cell>
          <cell r="I367">
            <v>2323824</v>
          </cell>
          <cell r="J367">
            <v>58603</v>
          </cell>
          <cell r="V367">
            <v>9902100</v>
          </cell>
          <cell r="Y367">
            <v>1377654</v>
          </cell>
          <cell r="Z367">
            <v>153719</v>
          </cell>
          <cell r="AG367">
            <v>724204</v>
          </cell>
          <cell r="AK367">
            <v>58017</v>
          </cell>
        </row>
        <row r="368">
          <cell r="B368">
            <v>38173981</v>
          </cell>
          <cell r="C368">
            <v>3755600</v>
          </cell>
          <cell r="F368">
            <v>24741347</v>
          </cell>
          <cell r="H368">
            <v>1563180</v>
          </cell>
          <cell r="I368">
            <v>1136640</v>
          </cell>
          <cell r="J368">
            <v>24961</v>
          </cell>
          <cell r="V368">
            <v>17032986</v>
          </cell>
          <cell r="Y368">
            <v>1291217</v>
          </cell>
          <cell r="Z368">
            <v>157939</v>
          </cell>
          <cell r="AG368">
            <v>925949</v>
          </cell>
          <cell r="AK368">
            <v>64771</v>
          </cell>
        </row>
        <row r="369">
          <cell r="B369">
            <v>31122821</v>
          </cell>
          <cell r="C369">
            <v>1598434</v>
          </cell>
          <cell r="F369">
            <v>19391474</v>
          </cell>
          <cell r="H369">
            <v>1281896</v>
          </cell>
          <cell r="I369">
            <v>1084637</v>
          </cell>
          <cell r="J369">
            <v>11235</v>
          </cell>
          <cell r="V369">
            <v>14637002</v>
          </cell>
          <cell r="Y369">
            <v>1192012</v>
          </cell>
          <cell r="Z369">
            <v>165937</v>
          </cell>
          <cell r="AG369">
            <v>471351</v>
          </cell>
          <cell r="AK369">
            <v>46488</v>
          </cell>
        </row>
      </sheetData>
      <sheetData sheetId="1"/>
      <sheetData sheetId="2">
        <row r="6">
          <cell r="E6">
            <v>1576274</v>
          </cell>
          <cell r="G6">
            <v>423290</v>
          </cell>
          <cell r="K6">
            <v>26460</v>
          </cell>
          <cell r="L6">
            <v>936207</v>
          </cell>
          <cell r="M6">
            <v>5875</v>
          </cell>
          <cell r="N6">
            <v>159430</v>
          </cell>
          <cell r="P6">
            <v>108675</v>
          </cell>
          <cell r="R6">
            <v>156272</v>
          </cell>
          <cell r="W6">
            <v>224948</v>
          </cell>
          <cell r="AA6">
            <v>70820</v>
          </cell>
          <cell r="AD6">
            <v>13941</v>
          </cell>
          <cell r="AE6">
            <v>33284</v>
          </cell>
          <cell r="AF6">
            <v>541940</v>
          </cell>
          <cell r="AK6">
            <v>16848</v>
          </cell>
          <cell r="AL6">
            <v>6000</v>
          </cell>
        </row>
        <row r="7">
          <cell r="E7">
            <v>1716840</v>
          </cell>
          <cell r="G7">
            <v>440678</v>
          </cell>
          <cell r="K7">
            <v>723337</v>
          </cell>
          <cell r="L7">
            <v>688298</v>
          </cell>
          <cell r="M7">
            <v>217032</v>
          </cell>
          <cell r="N7">
            <v>121792</v>
          </cell>
          <cell r="P7">
            <v>146495</v>
          </cell>
          <cell r="R7">
            <v>172882</v>
          </cell>
          <cell r="W7">
            <v>191896</v>
          </cell>
          <cell r="AA7">
            <v>41306</v>
          </cell>
          <cell r="AD7">
            <v>17812</v>
          </cell>
          <cell r="AE7">
            <v>34953</v>
          </cell>
          <cell r="AF7">
            <v>342359</v>
          </cell>
          <cell r="AK7">
            <v>5091</v>
          </cell>
          <cell r="AL7">
            <v>3606</v>
          </cell>
        </row>
        <row r="8">
          <cell r="E8">
            <v>1487508</v>
          </cell>
          <cell r="G8">
            <v>356479</v>
          </cell>
          <cell r="K8">
            <v>730004</v>
          </cell>
          <cell r="L8">
            <v>205284</v>
          </cell>
          <cell r="M8">
            <v>2119</v>
          </cell>
          <cell r="N8">
            <v>62541</v>
          </cell>
          <cell r="P8">
            <v>140702</v>
          </cell>
          <cell r="R8">
            <v>153513</v>
          </cell>
          <cell r="W8">
            <v>194206</v>
          </cell>
          <cell r="AA8">
            <v>44452</v>
          </cell>
          <cell r="AD8">
            <v>20135</v>
          </cell>
          <cell r="AE8">
            <v>19980</v>
          </cell>
          <cell r="AF8">
            <v>246389</v>
          </cell>
          <cell r="AK8">
            <v>11221</v>
          </cell>
          <cell r="AL8">
            <v>6684</v>
          </cell>
        </row>
        <row r="9">
          <cell r="E9">
            <v>1335357</v>
          </cell>
          <cell r="G9">
            <v>305373</v>
          </cell>
          <cell r="K9">
            <v>757856</v>
          </cell>
          <cell r="L9">
            <v>187120</v>
          </cell>
          <cell r="M9">
            <v>4237</v>
          </cell>
          <cell r="N9">
            <v>79702</v>
          </cell>
          <cell r="P9">
            <v>95487</v>
          </cell>
          <cell r="R9">
            <v>133888</v>
          </cell>
          <cell r="W9">
            <v>172525</v>
          </cell>
          <cell r="AA9">
            <v>42520</v>
          </cell>
          <cell r="AD9">
            <v>13139</v>
          </cell>
          <cell r="AE9">
            <v>20970</v>
          </cell>
          <cell r="AF9">
            <v>272817</v>
          </cell>
          <cell r="AK9">
            <v>7480</v>
          </cell>
          <cell r="AL9">
            <v>3768</v>
          </cell>
        </row>
        <row r="10">
          <cell r="E10">
            <v>1437865</v>
          </cell>
          <cell r="G10">
            <v>323794</v>
          </cell>
          <cell r="K10">
            <v>700649</v>
          </cell>
          <cell r="L10">
            <v>202258</v>
          </cell>
          <cell r="M10">
            <v>2612</v>
          </cell>
          <cell r="N10">
            <v>61818</v>
          </cell>
          <cell r="P10">
            <v>124786</v>
          </cell>
          <cell r="R10">
            <v>139256</v>
          </cell>
          <cell r="W10">
            <v>188355</v>
          </cell>
          <cell r="AA10">
            <v>47858</v>
          </cell>
          <cell r="AD10">
            <v>28679</v>
          </cell>
          <cell r="AE10">
            <v>18950</v>
          </cell>
          <cell r="AF10">
            <v>145617</v>
          </cell>
          <cell r="AK10">
            <v>4311</v>
          </cell>
          <cell r="AL10">
            <v>2868</v>
          </cell>
        </row>
        <row r="11">
          <cell r="E11">
            <v>1362366</v>
          </cell>
          <cell r="G11">
            <v>312892</v>
          </cell>
          <cell r="K11">
            <v>761807</v>
          </cell>
          <cell r="L11">
            <v>132306</v>
          </cell>
          <cell r="M11">
            <v>4398</v>
          </cell>
          <cell r="N11">
            <v>58135</v>
          </cell>
          <cell r="P11">
            <v>100641</v>
          </cell>
          <cell r="R11">
            <v>155001</v>
          </cell>
          <cell r="W11">
            <v>170777</v>
          </cell>
          <cell r="AA11">
            <v>42387</v>
          </cell>
          <cell r="AD11">
            <v>15510</v>
          </cell>
          <cell r="AE11">
            <v>16134</v>
          </cell>
          <cell r="AF11">
            <v>92471</v>
          </cell>
          <cell r="AK11">
            <v>10043</v>
          </cell>
          <cell r="AL11">
            <v>5532</v>
          </cell>
        </row>
        <row r="12">
          <cell r="E12">
            <v>1664682</v>
          </cell>
          <cell r="G12">
            <v>302668</v>
          </cell>
          <cell r="K12">
            <v>758705</v>
          </cell>
          <cell r="L12">
            <v>322943</v>
          </cell>
          <cell r="M12">
            <v>4800</v>
          </cell>
          <cell r="N12">
            <v>76484</v>
          </cell>
          <cell r="P12">
            <v>92346</v>
          </cell>
          <cell r="R12">
            <v>135372</v>
          </cell>
          <cell r="W12">
            <v>204018</v>
          </cell>
          <cell r="AA12">
            <v>47745</v>
          </cell>
          <cell r="AD12">
            <v>25125</v>
          </cell>
          <cell r="AE12">
            <v>33700</v>
          </cell>
          <cell r="AF12">
            <v>224900</v>
          </cell>
          <cell r="AK12">
            <v>3902</v>
          </cell>
          <cell r="AL12">
            <v>3644</v>
          </cell>
        </row>
        <row r="13">
          <cell r="E13">
            <v>1346314</v>
          </cell>
          <cell r="G13">
            <v>286209</v>
          </cell>
          <cell r="K13">
            <v>744798</v>
          </cell>
          <cell r="L13">
            <v>134586</v>
          </cell>
          <cell r="M13">
            <v>4613</v>
          </cell>
          <cell r="N13">
            <v>62130</v>
          </cell>
          <cell r="P13">
            <v>96239</v>
          </cell>
          <cell r="R13">
            <v>130065</v>
          </cell>
          <cell r="W13">
            <v>206173</v>
          </cell>
          <cell r="AA13">
            <v>49167</v>
          </cell>
          <cell r="AD13">
            <v>28107</v>
          </cell>
          <cell r="AE13">
            <v>48232</v>
          </cell>
          <cell r="AF13">
            <v>240129</v>
          </cell>
          <cell r="AK13">
            <v>4986</v>
          </cell>
          <cell r="AL13">
            <v>4643</v>
          </cell>
        </row>
        <row r="14">
          <cell r="E14">
            <v>1563365</v>
          </cell>
          <cell r="G14">
            <v>228648</v>
          </cell>
          <cell r="K14">
            <v>796276</v>
          </cell>
          <cell r="L14">
            <v>143980</v>
          </cell>
          <cell r="M14">
            <v>1683</v>
          </cell>
          <cell r="N14">
            <v>55398</v>
          </cell>
          <cell r="P14">
            <v>60223</v>
          </cell>
          <cell r="R14">
            <v>113446</v>
          </cell>
          <cell r="W14">
            <v>221720</v>
          </cell>
          <cell r="AA14">
            <v>53036</v>
          </cell>
          <cell r="AD14">
            <v>11375</v>
          </cell>
          <cell r="AE14">
            <v>26444</v>
          </cell>
          <cell r="AF14">
            <v>190784</v>
          </cell>
          <cell r="AK14">
            <v>8643</v>
          </cell>
          <cell r="AL14">
            <v>7721</v>
          </cell>
        </row>
        <row r="15">
          <cell r="E15">
            <v>1435500</v>
          </cell>
          <cell r="G15">
            <v>212560</v>
          </cell>
          <cell r="K15">
            <v>821045</v>
          </cell>
          <cell r="L15">
            <v>179332</v>
          </cell>
          <cell r="M15">
            <v>2749</v>
          </cell>
          <cell r="N15">
            <v>64511</v>
          </cell>
          <cell r="P15">
            <v>52455</v>
          </cell>
          <cell r="R15">
            <v>96763</v>
          </cell>
          <cell r="W15">
            <v>192588</v>
          </cell>
          <cell r="AA15">
            <v>50828</v>
          </cell>
          <cell r="AD15">
            <v>26147</v>
          </cell>
          <cell r="AE15">
            <v>39537</v>
          </cell>
          <cell r="AF15">
            <v>263434</v>
          </cell>
          <cell r="AK15">
            <v>4429</v>
          </cell>
          <cell r="AL15">
            <v>4215</v>
          </cell>
        </row>
        <row r="16">
          <cell r="E16">
            <v>1723506</v>
          </cell>
          <cell r="G16">
            <v>236927</v>
          </cell>
          <cell r="K16">
            <v>920990</v>
          </cell>
          <cell r="L16">
            <v>151525</v>
          </cell>
          <cell r="M16">
            <v>3392</v>
          </cell>
          <cell r="N16">
            <v>69713</v>
          </cell>
          <cell r="P16">
            <v>70964</v>
          </cell>
          <cell r="R16">
            <v>97544</v>
          </cell>
          <cell r="W16">
            <v>217304</v>
          </cell>
          <cell r="AA16">
            <v>55482</v>
          </cell>
          <cell r="AD16">
            <v>10748</v>
          </cell>
          <cell r="AE16">
            <v>17232</v>
          </cell>
          <cell r="AF16">
            <v>368163</v>
          </cell>
          <cell r="AK16">
            <v>3593</v>
          </cell>
          <cell r="AL16">
            <v>6813</v>
          </cell>
        </row>
        <row r="17">
          <cell r="E17">
            <v>1278939</v>
          </cell>
          <cell r="G17">
            <v>305954</v>
          </cell>
          <cell r="K17">
            <v>624866</v>
          </cell>
          <cell r="L17">
            <v>211001</v>
          </cell>
          <cell r="M17">
            <v>3023</v>
          </cell>
          <cell r="N17">
            <v>89978</v>
          </cell>
          <cell r="P17">
            <v>97409</v>
          </cell>
          <cell r="R17">
            <v>119858</v>
          </cell>
          <cell r="W17">
            <v>183138</v>
          </cell>
          <cell r="AA17">
            <v>51927</v>
          </cell>
          <cell r="AD17">
            <v>19501</v>
          </cell>
          <cell r="AE17">
            <v>14188</v>
          </cell>
          <cell r="AF17">
            <v>537046</v>
          </cell>
          <cell r="AK17">
            <v>6468</v>
          </cell>
          <cell r="AL17">
            <v>6333</v>
          </cell>
        </row>
        <row r="18">
          <cell r="E18">
            <v>1798056</v>
          </cell>
          <cell r="G18">
            <v>301048</v>
          </cell>
          <cell r="K18">
            <v>32151</v>
          </cell>
          <cell r="L18">
            <v>1070048</v>
          </cell>
          <cell r="M18">
            <v>3016</v>
          </cell>
          <cell r="N18">
            <v>65528</v>
          </cell>
          <cell r="P18">
            <v>108021</v>
          </cell>
          <cell r="R18">
            <v>129289</v>
          </cell>
          <cell r="W18">
            <v>270770</v>
          </cell>
          <cell r="AA18">
            <v>85327</v>
          </cell>
          <cell r="AD18">
            <v>45298</v>
          </cell>
          <cell r="AE18">
            <v>38336</v>
          </cell>
          <cell r="AF18">
            <v>323040</v>
          </cell>
          <cell r="AK18">
            <v>9857</v>
          </cell>
          <cell r="AL18">
            <v>6129</v>
          </cell>
        </row>
        <row r="19">
          <cell r="E19">
            <v>2042972</v>
          </cell>
          <cell r="G19">
            <v>367644</v>
          </cell>
          <cell r="K19">
            <v>821461</v>
          </cell>
          <cell r="L19">
            <v>682180</v>
          </cell>
          <cell r="M19">
            <v>3885</v>
          </cell>
          <cell r="N19">
            <v>171169</v>
          </cell>
          <cell r="P19">
            <v>79507</v>
          </cell>
          <cell r="R19">
            <v>118219</v>
          </cell>
          <cell r="W19">
            <v>217761</v>
          </cell>
          <cell r="AA19">
            <v>45220</v>
          </cell>
          <cell r="AD19">
            <v>12796</v>
          </cell>
          <cell r="AE19">
            <v>34611</v>
          </cell>
          <cell r="AF19">
            <v>409614</v>
          </cell>
          <cell r="AK19">
            <v>10531</v>
          </cell>
          <cell r="AL19">
            <v>4328</v>
          </cell>
        </row>
        <row r="20">
          <cell r="E20">
            <v>1749877</v>
          </cell>
          <cell r="G20">
            <v>314155</v>
          </cell>
          <cell r="K20">
            <v>860815</v>
          </cell>
          <cell r="L20">
            <v>301767</v>
          </cell>
          <cell r="M20">
            <v>3386</v>
          </cell>
          <cell r="N20">
            <v>124013</v>
          </cell>
          <cell r="P20">
            <v>73021</v>
          </cell>
          <cell r="R20">
            <v>118011</v>
          </cell>
          <cell r="W20">
            <v>217669</v>
          </cell>
          <cell r="AA20">
            <v>52280</v>
          </cell>
          <cell r="AD20">
            <v>26907</v>
          </cell>
          <cell r="AE20">
            <v>60798</v>
          </cell>
          <cell r="AF20">
            <v>248324</v>
          </cell>
          <cell r="AK20">
            <v>8254</v>
          </cell>
          <cell r="AL20">
            <v>6035</v>
          </cell>
        </row>
        <row r="21">
          <cell r="E21">
            <v>1577755</v>
          </cell>
          <cell r="G21">
            <v>285531</v>
          </cell>
          <cell r="K21">
            <v>943379</v>
          </cell>
          <cell r="L21">
            <v>208767</v>
          </cell>
          <cell r="M21">
            <v>1246</v>
          </cell>
          <cell r="N21">
            <v>88596</v>
          </cell>
          <cell r="P21">
            <v>80366</v>
          </cell>
          <cell r="R21">
            <v>117589</v>
          </cell>
          <cell r="W21">
            <v>183250</v>
          </cell>
          <cell r="AA21">
            <v>47935</v>
          </cell>
          <cell r="AD21">
            <v>14428</v>
          </cell>
          <cell r="AE21">
            <v>100842</v>
          </cell>
          <cell r="AF21">
            <v>97453</v>
          </cell>
          <cell r="AK21">
            <v>5851</v>
          </cell>
          <cell r="AL21">
            <v>5506</v>
          </cell>
        </row>
        <row r="22">
          <cell r="E22">
            <v>1735151</v>
          </cell>
          <cell r="G22">
            <v>235435</v>
          </cell>
          <cell r="K22">
            <v>928637</v>
          </cell>
          <cell r="L22">
            <v>222158</v>
          </cell>
          <cell r="M22">
            <v>22641</v>
          </cell>
          <cell r="N22">
            <v>49923</v>
          </cell>
          <cell r="P22">
            <v>78187</v>
          </cell>
          <cell r="R22">
            <v>108888</v>
          </cell>
          <cell r="W22">
            <v>209190</v>
          </cell>
          <cell r="AA22">
            <v>61080</v>
          </cell>
          <cell r="AD22">
            <v>30004</v>
          </cell>
          <cell r="AE22">
            <v>22627</v>
          </cell>
          <cell r="AF22">
            <v>108583</v>
          </cell>
          <cell r="AK22">
            <v>9250</v>
          </cell>
          <cell r="AL22">
            <v>13025</v>
          </cell>
        </row>
        <row r="23">
          <cell r="E23">
            <v>1472678</v>
          </cell>
          <cell r="G23">
            <v>214380</v>
          </cell>
          <cell r="K23">
            <v>867789</v>
          </cell>
          <cell r="L23">
            <v>198136</v>
          </cell>
          <cell r="M23">
            <v>22549</v>
          </cell>
          <cell r="N23">
            <v>55104</v>
          </cell>
          <cell r="P23">
            <v>60454</v>
          </cell>
          <cell r="R23">
            <v>100841</v>
          </cell>
          <cell r="W23">
            <v>245072</v>
          </cell>
          <cell r="AA23">
            <v>52228</v>
          </cell>
          <cell r="AD23">
            <v>9509</v>
          </cell>
          <cell r="AE23">
            <v>43743</v>
          </cell>
          <cell r="AF23">
            <v>163468</v>
          </cell>
          <cell r="AK23">
            <v>6599</v>
          </cell>
          <cell r="AL23">
            <v>5740</v>
          </cell>
        </row>
        <row r="24">
          <cell r="E24">
            <v>1827238</v>
          </cell>
          <cell r="G24">
            <v>329214</v>
          </cell>
          <cell r="K24">
            <v>1006369</v>
          </cell>
          <cell r="L24">
            <v>205879</v>
          </cell>
          <cell r="M24">
            <v>2169</v>
          </cell>
          <cell r="N24">
            <v>97788</v>
          </cell>
          <cell r="P24">
            <v>94744</v>
          </cell>
          <cell r="R24">
            <v>139271</v>
          </cell>
          <cell r="W24">
            <v>240862</v>
          </cell>
          <cell r="AA24">
            <v>57459</v>
          </cell>
          <cell r="AD24">
            <v>28119</v>
          </cell>
          <cell r="AE24">
            <v>42938</v>
          </cell>
          <cell r="AF24">
            <v>251970</v>
          </cell>
          <cell r="AK24">
            <v>10721</v>
          </cell>
          <cell r="AL24">
            <v>4792</v>
          </cell>
        </row>
        <row r="25">
          <cell r="E25">
            <v>1609653</v>
          </cell>
          <cell r="G25">
            <v>318218</v>
          </cell>
          <cell r="K25">
            <v>893807</v>
          </cell>
          <cell r="L25">
            <v>209593</v>
          </cell>
          <cell r="M25">
            <v>1330</v>
          </cell>
          <cell r="N25">
            <v>84291</v>
          </cell>
          <cell r="P25">
            <v>89083</v>
          </cell>
          <cell r="R25">
            <v>146123</v>
          </cell>
          <cell r="W25">
            <v>217429</v>
          </cell>
          <cell r="AA25">
            <v>51118</v>
          </cell>
          <cell r="AD25">
            <v>22459</v>
          </cell>
          <cell r="AE25">
            <v>36460</v>
          </cell>
          <cell r="AF25">
            <v>201829</v>
          </cell>
          <cell r="AK25">
            <v>8838</v>
          </cell>
          <cell r="AL25">
            <v>3712</v>
          </cell>
        </row>
        <row r="26">
          <cell r="E26">
            <v>2015098</v>
          </cell>
          <cell r="G26">
            <v>261719</v>
          </cell>
          <cell r="K26">
            <v>908586</v>
          </cell>
          <cell r="L26">
            <v>453057</v>
          </cell>
          <cell r="M26">
            <v>2800</v>
          </cell>
          <cell r="N26">
            <v>54884</v>
          </cell>
          <cell r="P26">
            <v>76842</v>
          </cell>
          <cell r="R26">
            <v>131456</v>
          </cell>
          <cell r="W26">
            <v>228557</v>
          </cell>
          <cell r="AA26">
            <v>57198</v>
          </cell>
          <cell r="AD26">
            <v>16373</v>
          </cell>
          <cell r="AE26">
            <v>102264</v>
          </cell>
          <cell r="AF26">
            <v>229151</v>
          </cell>
          <cell r="AK26">
            <v>6641</v>
          </cell>
          <cell r="AL26">
            <v>7250</v>
          </cell>
        </row>
        <row r="27">
          <cell r="E27">
            <v>1563256</v>
          </cell>
          <cell r="G27">
            <v>193472</v>
          </cell>
          <cell r="K27">
            <v>897119</v>
          </cell>
          <cell r="L27">
            <v>225884</v>
          </cell>
          <cell r="M27">
            <v>1374</v>
          </cell>
          <cell r="N27">
            <v>52502</v>
          </cell>
          <cell r="P27">
            <v>54841</v>
          </cell>
          <cell r="R27">
            <v>88121</v>
          </cell>
          <cell r="W27">
            <v>197359</v>
          </cell>
          <cell r="AA27">
            <v>56974</v>
          </cell>
          <cell r="AD27">
            <v>17541</v>
          </cell>
          <cell r="AE27">
            <v>49600</v>
          </cell>
          <cell r="AF27">
            <v>97355</v>
          </cell>
          <cell r="AK27">
            <v>3839</v>
          </cell>
          <cell r="AL27">
            <v>2095</v>
          </cell>
        </row>
        <row r="28">
          <cell r="E28">
            <v>1626560</v>
          </cell>
          <cell r="G28">
            <v>210012</v>
          </cell>
          <cell r="K28">
            <v>786808</v>
          </cell>
          <cell r="L28">
            <v>216684</v>
          </cell>
          <cell r="M28">
            <v>2959</v>
          </cell>
          <cell r="N28">
            <v>43746</v>
          </cell>
          <cell r="P28">
            <v>69497</v>
          </cell>
          <cell r="R28">
            <v>98088</v>
          </cell>
          <cell r="W28">
            <v>267969</v>
          </cell>
          <cell r="AA28">
            <v>63468</v>
          </cell>
          <cell r="AD28">
            <v>12047</v>
          </cell>
          <cell r="AE28">
            <v>47377</v>
          </cell>
          <cell r="AF28">
            <v>308592</v>
          </cell>
          <cell r="AK28">
            <v>9918</v>
          </cell>
          <cell r="AL28">
            <v>9976</v>
          </cell>
        </row>
        <row r="29">
          <cell r="E29">
            <v>1325123</v>
          </cell>
          <cell r="G29">
            <v>293938</v>
          </cell>
          <cell r="K29">
            <v>533958</v>
          </cell>
          <cell r="L29">
            <v>288508</v>
          </cell>
          <cell r="M29">
            <v>1597</v>
          </cell>
          <cell r="N29">
            <v>98325</v>
          </cell>
          <cell r="P29">
            <v>80080</v>
          </cell>
          <cell r="R29">
            <v>117335</v>
          </cell>
          <cell r="W29">
            <v>195606</v>
          </cell>
          <cell r="AA29">
            <v>58072</v>
          </cell>
          <cell r="AD29">
            <v>41899</v>
          </cell>
          <cell r="AE29">
            <v>18259</v>
          </cell>
          <cell r="AF29">
            <v>404840</v>
          </cell>
          <cell r="AK29">
            <v>4354</v>
          </cell>
          <cell r="AL29">
            <v>3439</v>
          </cell>
        </row>
        <row r="30">
          <cell r="E30">
            <v>1741435</v>
          </cell>
          <cell r="G30">
            <v>186943</v>
          </cell>
          <cell r="K30">
            <v>33810</v>
          </cell>
          <cell r="L30">
            <v>910329</v>
          </cell>
          <cell r="M30">
            <v>740</v>
          </cell>
          <cell r="N30">
            <v>34619</v>
          </cell>
          <cell r="P30">
            <v>56313</v>
          </cell>
          <cell r="R30">
            <v>96872</v>
          </cell>
          <cell r="W30">
            <v>277677</v>
          </cell>
          <cell r="AA30">
            <v>95981</v>
          </cell>
          <cell r="AD30">
            <v>18811</v>
          </cell>
          <cell r="AE30">
            <v>13753</v>
          </cell>
          <cell r="AF30">
            <v>115128</v>
          </cell>
          <cell r="AK30">
            <v>83</v>
          </cell>
          <cell r="AL30">
            <v>168</v>
          </cell>
        </row>
        <row r="31">
          <cell r="E31">
            <v>1430296</v>
          </cell>
          <cell r="G31">
            <v>322828</v>
          </cell>
          <cell r="K31">
            <v>347239</v>
          </cell>
          <cell r="L31">
            <v>557139</v>
          </cell>
          <cell r="M31">
            <v>10859</v>
          </cell>
          <cell r="N31">
            <v>93066</v>
          </cell>
          <cell r="P31">
            <v>90182</v>
          </cell>
          <cell r="R31">
            <v>145186</v>
          </cell>
          <cell r="W31">
            <v>239951</v>
          </cell>
          <cell r="AA31">
            <v>32825</v>
          </cell>
          <cell r="AD31">
            <v>36033</v>
          </cell>
          <cell r="AE31">
            <v>259985</v>
          </cell>
          <cell r="AF31">
            <v>405810</v>
          </cell>
          <cell r="AK31">
            <v>12534</v>
          </cell>
          <cell r="AL31">
            <v>8106</v>
          </cell>
        </row>
        <row r="32">
          <cell r="E32">
            <v>2299011</v>
          </cell>
          <cell r="G32">
            <v>362049</v>
          </cell>
          <cell r="K32">
            <v>1255894</v>
          </cell>
          <cell r="L32">
            <v>265760</v>
          </cell>
          <cell r="M32">
            <v>4709</v>
          </cell>
          <cell r="N32">
            <v>141846</v>
          </cell>
          <cell r="P32">
            <v>96269</v>
          </cell>
          <cell r="R32">
            <v>126314</v>
          </cell>
          <cell r="W32">
            <v>963230</v>
          </cell>
          <cell r="AA32">
            <v>56859</v>
          </cell>
          <cell r="AD32">
            <v>9429</v>
          </cell>
          <cell r="AE32">
            <v>61267</v>
          </cell>
          <cell r="AF32">
            <v>383377</v>
          </cell>
          <cell r="AK32">
            <v>11124</v>
          </cell>
          <cell r="AL32">
            <v>9762</v>
          </cell>
        </row>
        <row r="33">
          <cell r="E33">
            <v>1770420</v>
          </cell>
          <cell r="G33">
            <v>305373</v>
          </cell>
          <cell r="K33">
            <v>893092</v>
          </cell>
          <cell r="L33">
            <v>276245</v>
          </cell>
          <cell r="M33">
            <v>2262</v>
          </cell>
          <cell r="N33">
            <v>104061</v>
          </cell>
          <cell r="P33">
            <v>92562</v>
          </cell>
          <cell r="R33">
            <v>109538</v>
          </cell>
          <cell r="W33">
            <v>530234</v>
          </cell>
          <cell r="AA33">
            <v>45819</v>
          </cell>
          <cell r="AD33">
            <v>7946</v>
          </cell>
          <cell r="AE33">
            <v>55926</v>
          </cell>
          <cell r="AF33">
            <v>138531</v>
          </cell>
          <cell r="AK33">
            <v>5808</v>
          </cell>
          <cell r="AL33">
            <v>6413</v>
          </cell>
        </row>
        <row r="34">
          <cell r="E34">
            <v>1958983</v>
          </cell>
          <cell r="G34">
            <v>282235</v>
          </cell>
          <cell r="K34">
            <v>883697</v>
          </cell>
          <cell r="L34">
            <v>441799</v>
          </cell>
          <cell r="M34">
            <v>2381</v>
          </cell>
          <cell r="N34">
            <v>81495</v>
          </cell>
          <cell r="P34">
            <v>88438</v>
          </cell>
          <cell r="R34">
            <v>114555</v>
          </cell>
          <cell r="W34">
            <v>431258</v>
          </cell>
          <cell r="AA34">
            <v>59160</v>
          </cell>
          <cell r="AD34">
            <v>52656</v>
          </cell>
          <cell r="AE34">
            <v>98567</v>
          </cell>
          <cell r="AF34">
            <v>271458</v>
          </cell>
          <cell r="AK34">
            <v>8228</v>
          </cell>
          <cell r="AL34">
            <v>6347</v>
          </cell>
        </row>
        <row r="35">
          <cell r="E35">
            <v>1610712</v>
          </cell>
          <cell r="G35">
            <v>225182</v>
          </cell>
          <cell r="K35">
            <v>948104</v>
          </cell>
          <cell r="L35">
            <v>223874</v>
          </cell>
          <cell r="M35">
            <v>22848</v>
          </cell>
          <cell r="N35">
            <v>68133</v>
          </cell>
          <cell r="P35">
            <v>63358</v>
          </cell>
          <cell r="R35">
            <v>100093</v>
          </cell>
          <cell r="W35">
            <v>375633</v>
          </cell>
          <cell r="AA35">
            <v>47313</v>
          </cell>
          <cell r="AD35">
            <v>15114</v>
          </cell>
          <cell r="AE35">
            <v>0</v>
          </cell>
          <cell r="AF35">
            <v>175428</v>
          </cell>
          <cell r="AK35">
            <v>9483</v>
          </cell>
          <cell r="AL35">
            <v>6124</v>
          </cell>
        </row>
        <row r="36">
          <cell r="E36">
            <v>2239174</v>
          </cell>
          <cell r="G36">
            <v>322205</v>
          </cell>
          <cell r="K36">
            <v>901472</v>
          </cell>
          <cell r="L36">
            <v>675127</v>
          </cell>
          <cell r="M36">
            <v>2884</v>
          </cell>
          <cell r="N36">
            <v>93910</v>
          </cell>
          <cell r="P36">
            <v>102383</v>
          </cell>
          <cell r="R36">
            <v>127552</v>
          </cell>
          <cell r="W36">
            <v>436351</v>
          </cell>
          <cell r="AA36">
            <v>55475</v>
          </cell>
          <cell r="AD36">
            <v>17255</v>
          </cell>
          <cell r="AE36">
            <v>2326</v>
          </cell>
          <cell r="AF36">
            <v>225144</v>
          </cell>
          <cell r="AK36">
            <v>9708</v>
          </cell>
          <cell r="AL36">
            <v>5906</v>
          </cell>
        </row>
        <row r="37">
          <cell r="E37">
            <v>1792518</v>
          </cell>
          <cell r="G37">
            <v>201727</v>
          </cell>
          <cell r="K37">
            <v>870653</v>
          </cell>
          <cell r="L37">
            <v>273559</v>
          </cell>
          <cell r="M37">
            <v>880</v>
          </cell>
          <cell r="N37">
            <v>54079</v>
          </cell>
          <cell r="P37">
            <v>47955</v>
          </cell>
          <cell r="R37">
            <v>100293</v>
          </cell>
          <cell r="W37">
            <v>357808</v>
          </cell>
          <cell r="AA37">
            <v>45157</v>
          </cell>
          <cell r="AD37">
            <v>55006</v>
          </cell>
          <cell r="AE37">
            <v>575</v>
          </cell>
          <cell r="AF37">
            <v>70080</v>
          </cell>
          <cell r="AK37">
            <v>6277</v>
          </cell>
          <cell r="AL37">
            <v>3936</v>
          </cell>
        </row>
        <row r="38">
          <cell r="E38">
            <v>1957584</v>
          </cell>
          <cell r="G38">
            <v>130425</v>
          </cell>
          <cell r="K38">
            <v>965729</v>
          </cell>
          <cell r="L38">
            <v>254534</v>
          </cell>
          <cell r="M38">
            <v>215</v>
          </cell>
          <cell r="N38">
            <v>22473</v>
          </cell>
          <cell r="P38">
            <v>57619</v>
          </cell>
          <cell r="R38">
            <v>50341</v>
          </cell>
          <cell r="W38">
            <v>372216</v>
          </cell>
          <cell r="AA38">
            <v>60658</v>
          </cell>
          <cell r="AD38">
            <v>15647</v>
          </cell>
          <cell r="AE38">
            <v>777</v>
          </cell>
          <cell r="AF38">
            <v>20150</v>
          </cell>
          <cell r="AK38">
            <v>49</v>
          </cell>
          <cell r="AL38">
            <v>134</v>
          </cell>
        </row>
        <row r="39">
          <cell r="E39">
            <v>1520631</v>
          </cell>
          <cell r="G39">
            <v>261436</v>
          </cell>
          <cell r="K39">
            <v>798363</v>
          </cell>
          <cell r="L39">
            <v>263660</v>
          </cell>
          <cell r="M39">
            <v>1934</v>
          </cell>
          <cell r="N39">
            <v>68734</v>
          </cell>
          <cell r="P39">
            <v>75964</v>
          </cell>
          <cell r="R39">
            <v>120141</v>
          </cell>
          <cell r="W39">
            <v>326165</v>
          </cell>
          <cell r="AA39">
            <v>56557</v>
          </cell>
          <cell r="AD39">
            <v>20152</v>
          </cell>
          <cell r="AE39">
            <v>7925</v>
          </cell>
          <cell r="AF39">
            <v>127971</v>
          </cell>
          <cell r="AK39">
            <v>8254</v>
          </cell>
          <cell r="AL39">
            <v>4844</v>
          </cell>
        </row>
        <row r="40">
          <cell r="E40">
            <v>1757955</v>
          </cell>
          <cell r="G40">
            <v>405679</v>
          </cell>
          <cell r="K40">
            <v>832616</v>
          </cell>
          <cell r="L40">
            <v>274603</v>
          </cell>
          <cell r="M40">
            <v>5458</v>
          </cell>
          <cell r="N40">
            <v>149000</v>
          </cell>
          <cell r="P40">
            <v>101090</v>
          </cell>
          <cell r="R40">
            <v>159719</v>
          </cell>
          <cell r="W40">
            <v>281785</v>
          </cell>
          <cell r="AA40">
            <v>60120</v>
          </cell>
          <cell r="AD40">
            <v>20517</v>
          </cell>
          <cell r="AE40">
            <v>17648</v>
          </cell>
          <cell r="AF40">
            <v>556808</v>
          </cell>
          <cell r="AK40">
            <v>6269</v>
          </cell>
          <cell r="AL40">
            <v>5306</v>
          </cell>
        </row>
        <row r="41">
          <cell r="E41">
            <v>1563899</v>
          </cell>
          <cell r="G41">
            <v>332107</v>
          </cell>
          <cell r="K41">
            <v>636028</v>
          </cell>
          <cell r="L41">
            <v>445902</v>
          </cell>
          <cell r="M41">
            <v>8475</v>
          </cell>
          <cell r="N41">
            <v>92851</v>
          </cell>
          <cell r="P41">
            <v>87415</v>
          </cell>
          <cell r="R41">
            <v>153624</v>
          </cell>
          <cell r="W41">
            <v>297128</v>
          </cell>
          <cell r="AA41">
            <v>65381</v>
          </cell>
          <cell r="AD41">
            <v>69935</v>
          </cell>
          <cell r="AE41">
            <v>12510</v>
          </cell>
          <cell r="AF41">
            <v>455295</v>
          </cell>
          <cell r="AK41">
            <v>14035</v>
          </cell>
          <cell r="AL41">
            <v>8231</v>
          </cell>
        </row>
        <row r="42">
          <cell r="E42">
            <v>1687880</v>
          </cell>
          <cell r="G42">
            <v>325013</v>
          </cell>
          <cell r="K42">
            <v>19895</v>
          </cell>
          <cell r="L42">
            <v>990794</v>
          </cell>
          <cell r="M42">
            <v>2450</v>
          </cell>
          <cell r="N42">
            <v>111502</v>
          </cell>
          <cell r="P42">
            <v>85167</v>
          </cell>
          <cell r="R42">
            <v>129729</v>
          </cell>
          <cell r="W42">
            <v>394695</v>
          </cell>
          <cell r="AA42">
            <v>94454</v>
          </cell>
          <cell r="AD42">
            <v>37571</v>
          </cell>
          <cell r="AE42">
            <v>7482</v>
          </cell>
          <cell r="AF42">
            <v>261335</v>
          </cell>
          <cell r="AK42">
            <v>7098</v>
          </cell>
          <cell r="AL42">
            <v>10028</v>
          </cell>
        </row>
        <row r="43">
          <cell r="E43">
            <v>1822771</v>
          </cell>
          <cell r="G43">
            <v>367223</v>
          </cell>
          <cell r="K43">
            <v>838632</v>
          </cell>
          <cell r="L43">
            <v>428570</v>
          </cell>
          <cell r="M43">
            <v>3247</v>
          </cell>
          <cell r="N43">
            <v>119378</v>
          </cell>
          <cell r="P43">
            <v>106763</v>
          </cell>
          <cell r="R43">
            <v>143323</v>
          </cell>
          <cell r="W43">
            <v>321617</v>
          </cell>
          <cell r="AA43">
            <v>51739</v>
          </cell>
          <cell r="AD43">
            <v>22038</v>
          </cell>
          <cell r="AE43">
            <v>5352</v>
          </cell>
          <cell r="AF43">
            <v>388969</v>
          </cell>
          <cell r="AK43">
            <v>4657</v>
          </cell>
          <cell r="AL43">
            <v>3338</v>
          </cell>
        </row>
        <row r="44">
          <cell r="E44">
            <v>1827263</v>
          </cell>
          <cell r="G44">
            <v>281214</v>
          </cell>
          <cell r="K44">
            <v>872593</v>
          </cell>
          <cell r="L44">
            <v>290672</v>
          </cell>
          <cell r="M44">
            <v>3882</v>
          </cell>
          <cell r="N44">
            <v>64215</v>
          </cell>
          <cell r="P44">
            <v>77145</v>
          </cell>
          <cell r="R44">
            <v>140673</v>
          </cell>
          <cell r="W44">
            <v>316199</v>
          </cell>
          <cell r="AA44">
            <v>54842</v>
          </cell>
          <cell r="AD44">
            <v>21126</v>
          </cell>
          <cell r="AE44">
            <v>20181</v>
          </cell>
          <cell r="AF44">
            <v>555088</v>
          </cell>
          <cell r="AK44">
            <v>5937</v>
          </cell>
          <cell r="AL44">
            <v>2301</v>
          </cell>
        </row>
        <row r="45">
          <cell r="E45">
            <v>1721331</v>
          </cell>
          <cell r="G45">
            <v>231364</v>
          </cell>
          <cell r="K45">
            <v>939534</v>
          </cell>
          <cell r="L45">
            <v>312560</v>
          </cell>
          <cell r="M45">
            <v>2222</v>
          </cell>
          <cell r="N45">
            <v>79164</v>
          </cell>
          <cell r="P45">
            <v>58360</v>
          </cell>
          <cell r="R45">
            <v>96110</v>
          </cell>
          <cell r="W45">
            <v>376433</v>
          </cell>
          <cell r="AA45">
            <v>55918</v>
          </cell>
          <cell r="AD45">
            <v>19311</v>
          </cell>
          <cell r="AE45">
            <v>16574</v>
          </cell>
          <cell r="AF45">
            <v>198044</v>
          </cell>
          <cell r="AK45">
            <v>8938</v>
          </cell>
          <cell r="AL45">
            <v>5983</v>
          </cell>
        </row>
        <row r="46">
          <cell r="E46">
            <v>2033990</v>
          </cell>
          <cell r="G46">
            <v>258861</v>
          </cell>
          <cell r="K46">
            <v>953902</v>
          </cell>
          <cell r="L46">
            <v>330442</v>
          </cell>
          <cell r="M46">
            <v>2610</v>
          </cell>
          <cell r="N46">
            <v>57305</v>
          </cell>
          <cell r="P46">
            <v>84995</v>
          </cell>
          <cell r="R46">
            <v>118978</v>
          </cell>
          <cell r="W46">
            <v>314568</v>
          </cell>
          <cell r="AA46">
            <v>58540</v>
          </cell>
          <cell r="AD46">
            <v>35025</v>
          </cell>
          <cell r="AE46">
            <v>7317</v>
          </cell>
          <cell r="AF46">
            <v>168122</v>
          </cell>
          <cell r="AK46">
            <v>11809</v>
          </cell>
          <cell r="AL46">
            <v>5313</v>
          </cell>
        </row>
        <row r="47">
          <cell r="E47">
            <v>2167054</v>
          </cell>
          <cell r="G47">
            <v>296162</v>
          </cell>
          <cell r="K47">
            <v>1077013</v>
          </cell>
          <cell r="L47">
            <v>425623</v>
          </cell>
          <cell r="M47">
            <v>2832</v>
          </cell>
          <cell r="N47">
            <v>53308</v>
          </cell>
          <cell r="P47">
            <v>90316</v>
          </cell>
          <cell r="R47">
            <v>154056</v>
          </cell>
          <cell r="W47">
            <v>314554</v>
          </cell>
          <cell r="AA47">
            <v>54729</v>
          </cell>
          <cell r="AD47">
            <v>116187</v>
          </cell>
          <cell r="AE47">
            <v>10678</v>
          </cell>
          <cell r="AF47">
            <v>284132</v>
          </cell>
          <cell r="AK47">
            <v>5261</v>
          </cell>
          <cell r="AL47">
            <v>4296</v>
          </cell>
        </row>
        <row r="48">
          <cell r="E48">
            <v>2299757</v>
          </cell>
          <cell r="G48">
            <v>323314</v>
          </cell>
          <cell r="K48">
            <v>1026217</v>
          </cell>
          <cell r="L48">
            <v>269683</v>
          </cell>
          <cell r="M48">
            <v>5432</v>
          </cell>
          <cell r="N48">
            <v>75401</v>
          </cell>
          <cell r="P48">
            <v>102925</v>
          </cell>
          <cell r="R48">
            <v>147039</v>
          </cell>
          <cell r="W48">
            <v>338771</v>
          </cell>
          <cell r="AA48">
            <v>67044</v>
          </cell>
          <cell r="AD48">
            <v>32012</v>
          </cell>
          <cell r="AE48">
            <v>16004</v>
          </cell>
          <cell r="AF48">
            <v>423324</v>
          </cell>
          <cell r="AK48">
            <v>5804</v>
          </cell>
          <cell r="AL48">
            <v>6515</v>
          </cell>
        </row>
        <row r="49">
          <cell r="E49">
            <v>1817428</v>
          </cell>
          <cell r="G49">
            <v>410682</v>
          </cell>
          <cell r="K49">
            <v>988304</v>
          </cell>
          <cell r="L49">
            <v>233810</v>
          </cell>
          <cell r="M49">
            <v>1402</v>
          </cell>
          <cell r="N49">
            <v>157035</v>
          </cell>
          <cell r="P49">
            <v>86733</v>
          </cell>
          <cell r="R49">
            <v>168547</v>
          </cell>
          <cell r="W49">
            <v>309025</v>
          </cell>
          <cell r="AA49">
            <v>77108</v>
          </cell>
          <cell r="AD49">
            <v>24414</v>
          </cell>
          <cell r="AE49">
            <v>12947</v>
          </cell>
          <cell r="AF49">
            <v>249983</v>
          </cell>
          <cell r="AK49">
            <v>7169</v>
          </cell>
          <cell r="AL49">
            <v>4349</v>
          </cell>
        </row>
        <row r="50">
          <cell r="E50">
            <v>2321384</v>
          </cell>
          <cell r="G50">
            <v>330032</v>
          </cell>
          <cell r="K50">
            <v>1179283</v>
          </cell>
          <cell r="L50">
            <v>343104</v>
          </cell>
          <cell r="M50">
            <v>1679</v>
          </cell>
          <cell r="N50">
            <v>105856</v>
          </cell>
          <cell r="P50">
            <v>78068</v>
          </cell>
          <cell r="R50">
            <v>147726</v>
          </cell>
          <cell r="W50">
            <v>258923</v>
          </cell>
          <cell r="AA50">
            <v>67775</v>
          </cell>
          <cell r="AD50">
            <v>23186</v>
          </cell>
          <cell r="AE50">
            <v>13616</v>
          </cell>
          <cell r="AF50">
            <v>259264</v>
          </cell>
          <cell r="AK50">
            <v>6048</v>
          </cell>
          <cell r="AL50">
            <v>4167</v>
          </cell>
        </row>
        <row r="51">
          <cell r="E51">
            <v>1912451</v>
          </cell>
          <cell r="G51">
            <v>325693</v>
          </cell>
          <cell r="K51">
            <v>1042235</v>
          </cell>
          <cell r="L51">
            <v>302475</v>
          </cell>
          <cell r="M51">
            <v>3891</v>
          </cell>
          <cell r="N51">
            <v>76299</v>
          </cell>
          <cell r="P51">
            <v>90776</v>
          </cell>
          <cell r="R51">
            <v>160979</v>
          </cell>
          <cell r="W51">
            <v>313145</v>
          </cell>
          <cell r="AA51">
            <v>67533</v>
          </cell>
          <cell r="AD51">
            <v>56601</v>
          </cell>
          <cell r="AE51">
            <v>17318</v>
          </cell>
          <cell r="AF51">
            <v>425505</v>
          </cell>
          <cell r="AK51">
            <v>4998</v>
          </cell>
          <cell r="AL51">
            <v>4827</v>
          </cell>
        </row>
        <row r="52">
          <cell r="E52">
            <v>2184393</v>
          </cell>
          <cell r="G52">
            <v>310397</v>
          </cell>
          <cell r="K52">
            <v>1049661</v>
          </cell>
          <cell r="L52">
            <v>427166</v>
          </cell>
          <cell r="M52">
            <v>13199</v>
          </cell>
          <cell r="N52">
            <v>63685</v>
          </cell>
          <cell r="P52">
            <v>105405</v>
          </cell>
          <cell r="R52">
            <v>149626</v>
          </cell>
          <cell r="W52">
            <v>269824</v>
          </cell>
          <cell r="AA52">
            <v>69486</v>
          </cell>
          <cell r="AD52">
            <v>51243</v>
          </cell>
          <cell r="AE52">
            <v>19264</v>
          </cell>
          <cell r="AF52">
            <v>274052</v>
          </cell>
          <cell r="AK52">
            <v>5165</v>
          </cell>
          <cell r="AL52">
            <v>2550</v>
          </cell>
        </row>
        <row r="53">
          <cell r="E53">
            <v>1866197</v>
          </cell>
          <cell r="G53">
            <v>510971</v>
          </cell>
          <cell r="K53">
            <v>612445</v>
          </cell>
          <cell r="L53">
            <v>634260</v>
          </cell>
          <cell r="M53">
            <v>3323</v>
          </cell>
          <cell r="N53">
            <v>226845</v>
          </cell>
          <cell r="P53">
            <v>126921</v>
          </cell>
          <cell r="R53">
            <v>161567</v>
          </cell>
          <cell r="W53">
            <v>273333</v>
          </cell>
          <cell r="AA53">
            <v>75397</v>
          </cell>
          <cell r="AD53">
            <v>24969</v>
          </cell>
          <cell r="AE53">
            <v>18991</v>
          </cell>
          <cell r="AF53">
            <v>957681</v>
          </cell>
          <cell r="AK53">
            <v>7845</v>
          </cell>
          <cell r="AL53">
            <v>5134</v>
          </cell>
        </row>
        <row r="54">
          <cell r="E54">
            <v>2477985</v>
          </cell>
          <cell r="G54">
            <v>334523</v>
          </cell>
          <cell r="K54">
            <v>172141</v>
          </cell>
          <cell r="L54">
            <v>1382495</v>
          </cell>
          <cell r="M54">
            <v>4432</v>
          </cell>
          <cell r="N54">
            <v>74796</v>
          </cell>
          <cell r="P54">
            <v>92769</v>
          </cell>
          <cell r="R54">
            <v>171464</v>
          </cell>
          <cell r="W54">
            <v>350476</v>
          </cell>
          <cell r="AA54">
            <v>101429</v>
          </cell>
          <cell r="AD54">
            <v>108050</v>
          </cell>
          <cell r="AE54">
            <v>80027</v>
          </cell>
          <cell r="AF54">
            <v>225536</v>
          </cell>
          <cell r="AK54">
            <v>13469</v>
          </cell>
          <cell r="AL54">
            <v>6879</v>
          </cell>
        </row>
        <row r="55">
          <cell r="E55">
            <v>2504027</v>
          </cell>
          <cell r="G55">
            <v>606225</v>
          </cell>
          <cell r="K55">
            <v>987264</v>
          </cell>
          <cell r="L55">
            <v>923603</v>
          </cell>
          <cell r="M55">
            <v>2849</v>
          </cell>
          <cell r="N55">
            <v>45228</v>
          </cell>
          <cell r="P55">
            <v>243838</v>
          </cell>
          <cell r="R55">
            <v>319653</v>
          </cell>
          <cell r="W55">
            <v>374975</v>
          </cell>
          <cell r="AA55">
            <v>62444</v>
          </cell>
          <cell r="AD55">
            <v>40006</v>
          </cell>
          <cell r="AE55">
            <v>12002</v>
          </cell>
          <cell r="AF55">
            <v>298612</v>
          </cell>
          <cell r="AK55">
            <v>6773</v>
          </cell>
          <cell r="AL55">
            <v>3394</v>
          </cell>
        </row>
        <row r="56">
          <cell r="E56">
            <v>2437724</v>
          </cell>
          <cell r="G56">
            <v>250178</v>
          </cell>
          <cell r="K56">
            <v>1106511</v>
          </cell>
          <cell r="L56">
            <v>568239</v>
          </cell>
          <cell r="M56">
            <v>2439</v>
          </cell>
          <cell r="N56">
            <v>42922</v>
          </cell>
          <cell r="P56">
            <v>88180</v>
          </cell>
          <cell r="R56">
            <v>115756</v>
          </cell>
          <cell r="W56">
            <v>364529</v>
          </cell>
          <cell r="AA56">
            <v>59601</v>
          </cell>
          <cell r="AD56">
            <v>43852</v>
          </cell>
          <cell r="AE56">
            <v>16049</v>
          </cell>
          <cell r="AF56">
            <v>230669</v>
          </cell>
          <cell r="AK56">
            <v>8075</v>
          </cell>
          <cell r="AL56">
            <v>4803</v>
          </cell>
        </row>
        <row r="57">
          <cell r="E57">
            <v>2415264</v>
          </cell>
          <cell r="G57">
            <v>285764</v>
          </cell>
          <cell r="K57">
            <v>1181425</v>
          </cell>
          <cell r="L57">
            <v>496103</v>
          </cell>
          <cell r="M57">
            <v>565</v>
          </cell>
          <cell r="N57">
            <v>46368</v>
          </cell>
          <cell r="P57">
            <v>92182</v>
          </cell>
          <cell r="R57">
            <v>132817</v>
          </cell>
          <cell r="W57">
            <v>340344</v>
          </cell>
          <cell r="AA57">
            <v>57234</v>
          </cell>
          <cell r="AD57">
            <v>58842</v>
          </cell>
          <cell r="AE57">
            <v>7443</v>
          </cell>
          <cell r="AF57">
            <v>138755</v>
          </cell>
          <cell r="AK57">
            <v>5105</v>
          </cell>
          <cell r="AL57">
            <v>3725</v>
          </cell>
        </row>
        <row r="58">
          <cell r="E58">
            <v>2674718</v>
          </cell>
          <cell r="G58">
            <v>306186</v>
          </cell>
          <cell r="K58">
            <v>1088904</v>
          </cell>
          <cell r="L58">
            <v>749819</v>
          </cell>
          <cell r="M58">
            <v>15673</v>
          </cell>
          <cell r="N58">
            <v>44110</v>
          </cell>
          <cell r="P58">
            <v>89419</v>
          </cell>
          <cell r="R58">
            <v>159410</v>
          </cell>
          <cell r="W58">
            <v>256234</v>
          </cell>
          <cell r="AA58">
            <v>65917</v>
          </cell>
          <cell r="AD58">
            <v>60276</v>
          </cell>
          <cell r="AE58">
            <v>30503</v>
          </cell>
          <cell r="AF58">
            <v>213477</v>
          </cell>
          <cell r="AK58">
            <v>9303</v>
          </cell>
          <cell r="AL58">
            <v>5313</v>
          </cell>
        </row>
        <row r="59">
          <cell r="E59">
            <v>2816217</v>
          </cell>
          <cell r="G59">
            <v>356117</v>
          </cell>
          <cell r="K59">
            <v>1246097</v>
          </cell>
          <cell r="L59">
            <v>707869</v>
          </cell>
          <cell r="M59">
            <v>3661</v>
          </cell>
          <cell r="N59">
            <v>60762</v>
          </cell>
          <cell r="P59">
            <v>92742</v>
          </cell>
          <cell r="R59">
            <v>188881</v>
          </cell>
          <cell r="W59">
            <v>255193</v>
          </cell>
          <cell r="AA59">
            <v>69872</v>
          </cell>
          <cell r="AD59">
            <v>59312</v>
          </cell>
          <cell r="AE59">
            <v>144246</v>
          </cell>
          <cell r="AF59">
            <v>133012</v>
          </cell>
          <cell r="AK59">
            <v>20656</v>
          </cell>
          <cell r="AL59">
            <v>4681</v>
          </cell>
        </row>
        <row r="60">
          <cell r="E60">
            <v>2404234</v>
          </cell>
          <cell r="G60">
            <v>324852</v>
          </cell>
          <cell r="K60">
            <v>1195483</v>
          </cell>
          <cell r="L60">
            <v>449945</v>
          </cell>
          <cell r="M60">
            <v>69980</v>
          </cell>
          <cell r="N60">
            <v>38592</v>
          </cell>
          <cell r="P60">
            <v>102179</v>
          </cell>
          <cell r="R60">
            <v>167835</v>
          </cell>
          <cell r="W60">
            <v>291039</v>
          </cell>
          <cell r="AA60">
            <v>69084</v>
          </cell>
          <cell r="AD60">
            <v>29541</v>
          </cell>
          <cell r="AE60">
            <v>14954</v>
          </cell>
          <cell r="AF60">
            <v>178976</v>
          </cell>
          <cell r="AK60">
            <v>11722</v>
          </cell>
          <cell r="AL60">
            <v>5349</v>
          </cell>
        </row>
        <row r="61">
          <cell r="E61">
            <v>2519103</v>
          </cell>
          <cell r="G61">
            <v>359180</v>
          </cell>
          <cell r="K61">
            <v>1355235</v>
          </cell>
          <cell r="L61">
            <v>536242</v>
          </cell>
          <cell r="M61">
            <v>866</v>
          </cell>
          <cell r="N61">
            <v>34828</v>
          </cell>
          <cell r="P61">
            <v>105432</v>
          </cell>
          <cell r="R61">
            <v>194028</v>
          </cell>
          <cell r="W61">
            <v>334984</v>
          </cell>
          <cell r="AA61">
            <v>64423</v>
          </cell>
          <cell r="AD61">
            <v>13316</v>
          </cell>
          <cell r="AE61">
            <v>8855</v>
          </cell>
          <cell r="AF61">
            <v>251298</v>
          </cell>
          <cell r="AK61">
            <v>9456</v>
          </cell>
          <cell r="AL61">
            <v>5791</v>
          </cell>
        </row>
        <row r="62">
          <cell r="E62">
            <v>2556665</v>
          </cell>
          <cell r="G62">
            <v>308739</v>
          </cell>
          <cell r="K62">
            <v>1269351</v>
          </cell>
          <cell r="L62">
            <v>464295</v>
          </cell>
          <cell r="M62">
            <v>3842</v>
          </cell>
          <cell r="N62">
            <v>37448</v>
          </cell>
          <cell r="P62">
            <v>98947</v>
          </cell>
          <cell r="R62">
            <v>153090</v>
          </cell>
          <cell r="W62">
            <v>274374</v>
          </cell>
          <cell r="AA62">
            <v>75508</v>
          </cell>
          <cell r="AD62">
            <v>64801</v>
          </cell>
          <cell r="AE62">
            <v>37763</v>
          </cell>
          <cell r="AF62">
            <v>204226</v>
          </cell>
          <cell r="AK62">
            <v>9694</v>
          </cell>
          <cell r="AL62">
            <v>4076</v>
          </cell>
        </row>
        <row r="63">
          <cell r="E63">
            <v>2427193</v>
          </cell>
          <cell r="G63">
            <v>290798</v>
          </cell>
          <cell r="K63">
            <v>1398916</v>
          </cell>
          <cell r="L63">
            <v>360499</v>
          </cell>
          <cell r="M63">
            <v>3588</v>
          </cell>
          <cell r="N63">
            <v>23964</v>
          </cell>
          <cell r="P63">
            <v>92684</v>
          </cell>
          <cell r="R63">
            <v>148770</v>
          </cell>
          <cell r="W63">
            <v>342975</v>
          </cell>
          <cell r="AA63">
            <v>73096</v>
          </cell>
          <cell r="AD63">
            <v>17877</v>
          </cell>
          <cell r="AE63">
            <v>19825</v>
          </cell>
          <cell r="AF63">
            <v>212782</v>
          </cell>
          <cell r="AK63">
            <v>12375</v>
          </cell>
          <cell r="AL63">
            <v>3573</v>
          </cell>
        </row>
        <row r="64">
          <cell r="E64">
            <v>2400855</v>
          </cell>
          <cell r="G64">
            <v>343131</v>
          </cell>
          <cell r="K64">
            <v>1191375</v>
          </cell>
          <cell r="L64">
            <v>415342</v>
          </cell>
          <cell r="M64">
            <v>7856</v>
          </cell>
          <cell r="N64">
            <v>30854</v>
          </cell>
          <cell r="P64">
            <v>134089</v>
          </cell>
          <cell r="R64">
            <v>148444</v>
          </cell>
          <cell r="W64">
            <v>300935</v>
          </cell>
          <cell r="AA64">
            <v>83930</v>
          </cell>
          <cell r="AD64">
            <v>22074</v>
          </cell>
          <cell r="AE64">
            <v>17854</v>
          </cell>
          <cell r="AF64">
            <v>261326</v>
          </cell>
          <cell r="AK64">
            <v>9982</v>
          </cell>
          <cell r="AL64">
            <v>6960</v>
          </cell>
        </row>
        <row r="65">
          <cell r="E65">
            <v>1545190</v>
          </cell>
          <cell r="G65">
            <v>307170</v>
          </cell>
          <cell r="K65">
            <v>655874</v>
          </cell>
          <cell r="L65">
            <v>382492</v>
          </cell>
          <cell r="M65">
            <v>3622</v>
          </cell>
          <cell r="N65">
            <v>34109</v>
          </cell>
          <cell r="P65">
            <v>113154</v>
          </cell>
          <cell r="R65">
            <v>139773</v>
          </cell>
          <cell r="W65">
            <v>307462</v>
          </cell>
          <cell r="AA65">
            <v>70453</v>
          </cell>
          <cell r="AD65">
            <v>84618</v>
          </cell>
          <cell r="AE65">
            <v>13080</v>
          </cell>
          <cell r="AF65">
            <v>613064</v>
          </cell>
          <cell r="AK65">
            <v>13050</v>
          </cell>
          <cell r="AL65">
            <v>4285</v>
          </cell>
        </row>
        <row r="66">
          <cell r="E66">
            <v>2764115</v>
          </cell>
          <cell r="G66">
            <v>274678</v>
          </cell>
          <cell r="K66">
            <v>25026</v>
          </cell>
          <cell r="L66">
            <v>1453340</v>
          </cell>
          <cell r="M66">
            <v>12358</v>
          </cell>
          <cell r="N66">
            <v>21278</v>
          </cell>
          <cell r="P66">
            <v>94162</v>
          </cell>
          <cell r="R66">
            <v>136545</v>
          </cell>
          <cell r="W66">
            <v>302980</v>
          </cell>
          <cell r="AA66">
            <v>126854</v>
          </cell>
          <cell r="AD66">
            <v>25599</v>
          </cell>
          <cell r="AE66">
            <v>21429</v>
          </cell>
          <cell r="AF66">
            <v>181077</v>
          </cell>
          <cell r="AK66">
            <v>6609</v>
          </cell>
          <cell r="AL66">
            <v>3752</v>
          </cell>
        </row>
        <row r="67">
          <cell r="E67">
            <v>2337798</v>
          </cell>
          <cell r="G67">
            <v>270205</v>
          </cell>
          <cell r="K67">
            <v>1066570</v>
          </cell>
          <cell r="L67">
            <v>665363</v>
          </cell>
          <cell r="M67">
            <v>2970</v>
          </cell>
          <cell r="N67">
            <v>17055</v>
          </cell>
          <cell r="P67">
            <v>89281</v>
          </cell>
          <cell r="R67">
            <v>141309</v>
          </cell>
          <cell r="W67">
            <v>292042</v>
          </cell>
          <cell r="AA67">
            <v>68446</v>
          </cell>
          <cell r="AD67">
            <v>46317</v>
          </cell>
          <cell r="AE67">
            <v>12947</v>
          </cell>
          <cell r="AF67">
            <v>335109</v>
          </cell>
          <cell r="AK67">
            <v>7939</v>
          </cell>
          <cell r="AL67">
            <v>4896</v>
          </cell>
        </row>
        <row r="68">
          <cell r="E68">
            <v>2870426</v>
          </cell>
          <cell r="G68">
            <v>303763</v>
          </cell>
          <cell r="K68">
            <v>1114669</v>
          </cell>
          <cell r="L68">
            <v>1042507</v>
          </cell>
          <cell r="M68">
            <v>3377</v>
          </cell>
          <cell r="N68">
            <v>19368</v>
          </cell>
          <cell r="P68">
            <v>115943</v>
          </cell>
          <cell r="R68">
            <v>146385</v>
          </cell>
          <cell r="W68">
            <v>328128</v>
          </cell>
          <cell r="AA68">
            <v>63701</v>
          </cell>
          <cell r="AD68">
            <v>18837</v>
          </cell>
          <cell r="AE68">
            <v>27069</v>
          </cell>
          <cell r="AF68">
            <v>171391</v>
          </cell>
          <cell r="AK68">
            <v>9469</v>
          </cell>
          <cell r="AL68">
            <v>6580</v>
          </cell>
        </row>
        <row r="69">
          <cell r="E69">
            <v>2107752</v>
          </cell>
          <cell r="G69">
            <v>243701</v>
          </cell>
          <cell r="K69">
            <v>1140878</v>
          </cell>
          <cell r="L69">
            <v>466023</v>
          </cell>
          <cell r="M69">
            <v>2653</v>
          </cell>
          <cell r="N69">
            <v>20982</v>
          </cell>
          <cell r="P69">
            <v>84628</v>
          </cell>
          <cell r="R69">
            <v>119899</v>
          </cell>
          <cell r="W69">
            <v>241078</v>
          </cell>
          <cell r="AA69">
            <v>68558</v>
          </cell>
          <cell r="AD69">
            <v>19793</v>
          </cell>
          <cell r="AE69">
            <v>14499</v>
          </cell>
          <cell r="AF69">
            <v>187877</v>
          </cell>
          <cell r="AK69">
            <v>3842</v>
          </cell>
          <cell r="AL69">
            <v>4226</v>
          </cell>
        </row>
        <row r="70">
          <cell r="E70">
            <v>2220363</v>
          </cell>
          <cell r="G70">
            <v>292195</v>
          </cell>
          <cell r="K70">
            <v>1093598</v>
          </cell>
          <cell r="L70">
            <v>393900</v>
          </cell>
          <cell r="M70">
            <v>2114</v>
          </cell>
          <cell r="N70">
            <v>17651</v>
          </cell>
          <cell r="P70">
            <v>90959</v>
          </cell>
          <cell r="R70">
            <v>160360</v>
          </cell>
          <cell r="W70">
            <v>264772</v>
          </cell>
          <cell r="AA70">
            <v>68546</v>
          </cell>
          <cell r="AD70">
            <v>39594</v>
          </cell>
          <cell r="AE70">
            <v>81038</v>
          </cell>
          <cell r="AF70">
            <v>219730</v>
          </cell>
          <cell r="AK70">
            <v>7509</v>
          </cell>
          <cell r="AL70">
            <v>6311</v>
          </cell>
        </row>
        <row r="71">
          <cell r="E71">
            <v>2267206</v>
          </cell>
          <cell r="G71">
            <v>279911</v>
          </cell>
          <cell r="K71">
            <v>1212126</v>
          </cell>
          <cell r="L71">
            <v>437678</v>
          </cell>
          <cell r="M71">
            <v>13100</v>
          </cell>
          <cell r="N71">
            <v>22368</v>
          </cell>
          <cell r="P71">
            <v>99138</v>
          </cell>
          <cell r="R71">
            <v>136001</v>
          </cell>
          <cell r="W71">
            <v>280789</v>
          </cell>
          <cell r="AA71">
            <v>66881</v>
          </cell>
          <cell r="AD71">
            <v>98876</v>
          </cell>
          <cell r="AE71">
            <v>47724</v>
          </cell>
          <cell r="AF71">
            <v>169726</v>
          </cell>
          <cell r="AK71">
            <v>9497</v>
          </cell>
          <cell r="AL71">
            <v>6253</v>
          </cell>
        </row>
        <row r="72">
          <cell r="E72">
            <v>2737180</v>
          </cell>
          <cell r="G72">
            <v>271363</v>
          </cell>
          <cell r="K72">
            <v>1149944</v>
          </cell>
          <cell r="L72">
            <v>601663</v>
          </cell>
          <cell r="M72">
            <v>3216</v>
          </cell>
          <cell r="N72">
            <v>20323</v>
          </cell>
          <cell r="P72">
            <v>90265</v>
          </cell>
          <cell r="R72">
            <v>138000</v>
          </cell>
          <cell r="W72">
            <v>367923</v>
          </cell>
          <cell r="AA72">
            <v>68722</v>
          </cell>
          <cell r="AD72">
            <v>26501</v>
          </cell>
          <cell r="AE72">
            <v>29927</v>
          </cell>
          <cell r="AF72">
            <v>273299</v>
          </cell>
          <cell r="AK72">
            <v>14670</v>
          </cell>
          <cell r="AL72">
            <v>6229</v>
          </cell>
        </row>
        <row r="73">
          <cell r="E73">
            <v>2200406</v>
          </cell>
          <cell r="G73">
            <v>268409</v>
          </cell>
          <cell r="K73">
            <v>1243319</v>
          </cell>
          <cell r="L73">
            <v>417201</v>
          </cell>
          <cell r="M73">
            <v>5914</v>
          </cell>
          <cell r="N73">
            <v>17112</v>
          </cell>
          <cell r="P73">
            <v>86979</v>
          </cell>
          <cell r="R73">
            <v>144234</v>
          </cell>
          <cell r="W73">
            <v>222575</v>
          </cell>
          <cell r="AA73">
            <v>72570</v>
          </cell>
          <cell r="AD73">
            <v>42875</v>
          </cell>
          <cell r="AE73">
            <v>17017</v>
          </cell>
          <cell r="AF73">
            <v>245350</v>
          </cell>
          <cell r="AK73">
            <v>4824</v>
          </cell>
          <cell r="AL73">
            <v>5218</v>
          </cell>
        </row>
        <row r="74">
          <cell r="E74">
            <v>2331688</v>
          </cell>
          <cell r="G74">
            <v>248690</v>
          </cell>
          <cell r="K74">
            <v>1077955</v>
          </cell>
          <cell r="L74">
            <v>454327</v>
          </cell>
          <cell r="M74">
            <v>2114</v>
          </cell>
          <cell r="N74">
            <v>13893</v>
          </cell>
          <cell r="P74">
            <v>81003</v>
          </cell>
          <cell r="R74">
            <v>128746</v>
          </cell>
          <cell r="W74">
            <v>243898</v>
          </cell>
          <cell r="AA74">
            <v>72343</v>
          </cell>
          <cell r="AD74">
            <v>8639</v>
          </cell>
          <cell r="AE74">
            <v>74240</v>
          </cell>
          <cell r="AF74">
            <v>247308</v>
          </cell>
          <cell r="AK74">
            <v>9923</v>
          </cell>
          <cell r="AL74">
            <v>7635</v>
          </cell>
        </row>
        <row r="75">
          <cell r="E75">
            <v>1849430</v>
          </cell>
          <cell r="G75">
            <v>206549</v>
          </cell>
          <cell r="K75">
            <v>964349</v>
          </cell>
          <cell r="L75">
            <v>383180</v>
          </cell>
          <cell r="M75">
            <v>5187</v>
          </cell>
          <cell r="N75">
            <v>11717</v>
          </cell>
          <cell r="P75">
            <v>62511</v>
          </cell>
          <cell r="R75">
            <v>116687</v>
          </cell>
          <cell r="W75">
            <v>193640</v>
          </cell>
          <cell r="AA75">
            <v>69640</v>
          </cell>
          <cell r="AD75">
            <v>20469</v>
          </cell>
          <cell r="AE75">
            <v>12075</v>
          </cell>
          <cell r="AF75">
            <v>269109</v>
          </cell>
          <cell r="AK75">
            <v>4129</v>
          </cell>
          <cell r="AL75">
            <v>5504</v>
          </cell>
        </row>
        <row r="76">
          <cell r="E76">
            <v>2100919</v>
          </cell>
          <cell r="G76">
            <v>240682</v>
          </cell>
          <cell r="K76">
            <v>934812</v>
          </cell>
          <cell r="L76">
            <v>419630</v>
          </cell>
          <cell r="M76">
            <v>3854</v>
          </cell>
          <cell r="N76">
            <v>16600</v>
          </cell>
          <cell r="P76">
            <v>86098</v>
          </cell>
          <cell r="R76">
            <v>116170</v>
          </cell>
          <cell r="W76">
            <v>249638</v>
          </cell>
          <cell r="AA76">
            <v>80051</v>
          </cell>
          <cell r="AD76">
            <v>51330</v>
          </cell>
          <cell r="AE76">
            <v>14803</v>
          </cell>
          <cell r="AF76">
            <v>430219</v>
          </cell>
          <cell r="AK76">
            <v>16048</v>
          </cell>
          <cell r="AL76">
            <v>7256</v>
          </cell>
        </row>
        <row r="77">
          <cell r="E77">
            <v>1578501</v>
          </cell>
          <cell r="G77">
            <v>290102</v>
          </cell>
          <cell r="K77">
            <v>580928</v>
          </cell>
          <cell r="L77">
            <v>469138</v>
          </cell>
          <cell r="M77">
            <v>2296</v>
          </cell>
          <cell r="N77">
            <v>17635</v>
          </cell>
          <cell r="P77">
            <v>112164</v>
          </cell>
          <cell r="R77">
            <v>136550</v>
          </cell>
          <cell r="W77">
            <v>258835</v>
          </cell>
          <cell r="AA77">
            <v>74873</v>
          </cell>
          <cell r="AD77">
            <v>22727</v>
          </cell>
          <cell r="AE77">
            <v>15383</v>
          </cell>
          <cell r="AF77">
            <v>507473</v>
          </cell>
          <cell r="AK77">
            <v>8489</v>
          </cell>
          <cell r="AL77">
            <v>6682</v>
          </cell>
        </row>
        <row r="78">
          <cell r="E78">
            <v>2114142</v>
          </cell>
          <cell r="G78">
            <v>237252</v>
          </cell>
          <cell r="K78">
            <v>19351</v>
          </cell>
          <cell r="L78">
            <v>1217904</v>
          </cell>
          <cell r="M78">
            <v>3740</v>
          </cell>
          <cell r="N78">
            <v>14536</v>
          </cell>
          <cell r="P78">
            <v>75263</v>
          </cell>
          <cell r="R78">
            <v>133841</v>
          </cell>
          <cell r="W78">
            <v>314329</v>
          </cell>
          <cell r="AA78">
            <v>119863</v>
          </cell>
          <cell r="AD78">
            <v>22389</v>
          </cell>
          <cell r="AE78">
            <v>27469</v>
          </cell>
          <cell r="AF78">
            <v>315525</v>
          </cell>
          <cell r="AK78">
            <v>8743</v>
          </cell>
          <cell r="AL78">
            <v>4974</v>
          </cell>
        </row>
        <row r="79">
          <cell r="E79">
            <v>2543390</v>
          </cell>
          <cell r="G79">
            <v>268671</v>
          </cell>
          <cell r="K79">
            <v>1041731</v>
          </cell>
          <cell r="L79">
            <v>813805</v>
          </cell>
          <cell r="M79">
            <v>2735</v>
          </cell>
          <cell r="N79">
            <v>11887</v>
          </cell>
          <cell r="P79">
            <v>87548</v>
          </cell>
          <cell r="R79">
            <v>148843</v>
          </cell>
          <cell r="W79">
            <v>258212</v>
          </cell>
          <cell r="AA79">
            <v>66467</v>
          </cell>
          <cell r="AD79">
            <v>68806</v>
          </cell>
          <cell r="AE79">
            <v>9346</v>
          </cell>
          <cell r="AF79">
            <v>546413</v>
          </cell>
          <cell r="AK79">
            <v>8414</v>
          </cell>
          <cell r="AL79">
            <v>5343</v>
          </cell>
        </row>
        <row r="80">
          <cell r="E80">
            <v>2424442</v>
          </cell>
          <cell r="G80">
            <v>284133</v>
          </cell>
          <cell r="K80">
            <v>1035849</v>
          </cell>
          <cell r="L80">
            <v>602770</v>
          </cell>
          <cell r="M80">
            <v>2489</v>
          </cell>
          <cell r="N80">
            <v>13624</v>
          </cell>
          <cell r="P80">
            <v>102958</v>
          </cell>
          <cell r="R80">
            <v>151580</v>
          </cell>
          <cell r="W80">
            <v>209366</v>
          </cell>
          <cell r="AA80">
            <v>63540</v>
          </cell>
          <cell r="AD80">
            <v>15140</v>
          </cell>
          <cell r="AE80">
            <v>35711</v>
          </cell>
          <cell r="AF80">
            <v>441297</v>
          </cell>
          <cell r="AK80">
            <v>4165</v>
          </cell>
          <cell r="AL80">
            <v>5032</v>
          </cell>
        </row>
        <row r="81">
          <cell r="E81">
            <v>2023100</v>
          </cell>
          <cell r="G81">
            <v>258739</v>
          </cell>
          <cell r="K81">
            <v>1125973</v>
          </cell>
          <cell r="L81">
            <v>381806</v>
          </cell>
          <cell r="M81">
            <v>3811</v>
          </cell>
          <cell r="N81">
            <v>11341</v>
          </cell>
          <cell r="P81">
            <v>75028</v>
          </cell>
          <cell r="R81">
            <v>157374</v>
          </cell>
          <cell r="W81">
            <v>365898</v>
          </cell>
          <cell r="AA81">
            <v>76809</v>
          </cell>
          <cell r="AD81">
            <v>11022</v>
          </cell>
          <cell r="AE81">
            <v>57106</v>
          </cell>
          <cell r="AF81">
            <v>166005</v>
          </cell>
          <cell r="AK81">
            <v>4202</v>
          </cell>
          <cell r="AL81">
            <v>6727</v>
          </cell>
        </row>
        <row r="82">
          <cell r="E82">
            <v>2148764</v>
          </cell>
          <cell r="G82">
            <v>313130</v>
          </cell>
          <cell r="K82">
            <v>977385</v>
          </cell>
          <cell r="L82">
            <v>437029</v>
          </cell>
          <cell r="M82">
            <v>18950</v>
          </cell>
          <cell r="N82">
            <v>13551</v>
          </cell>
          <cell r="P82">
            <v>134187</v>
          </cell>
          <cell r="R82">
            <v>148649</v>
          </cell>
          <cell r="W82">
            <v>278689</v>
          </cell>
          <cell r="AA82">
            <v>71258</v>
          </cell>
          <cell r="AD82">
            <v>12388</v>
          </cell>
          <cell r="AE82">
            <v>44560</v>
          </cell>
          <cell r="AF82">
            <v>185858</v>
          </cell>
          <cell r="AK82">
            <v>7370</v>
          </cell>
          <cell r="AL82">
            <v>3146</v>
          </cell>
        </row>
        <row r="83">
          <cell r="E83">
            <v>1834833</v>
          </cell>
          <cell r="G83">
            <v>269310</v>
          </cell>
          <cell r="K83">
            <v>964264</v>
          </cell>
          <cell r="L83">
            <v>318571</v>
          </cell>
          <cell r="M83">
            <v>2283</v>
          </cell>
          <cell r="N83">
            <v>20007</v>
          </cell>
          <cell r="P83">
            <v>90923</v>
          </cell>
          <cell r="R83">
            <v>146866</v>
          </cell>
          <cell r="W83">
            <v>212451</v>
          </cell>
          <cell r="AA83">
            <v>65169</v>
          </cell>
          <cell r="AD83">
            <v>14493</v>
          </cell>
          <cell r="AE83">
            <v>74938</v>
          </cell>
          <cell r="AF83">
            <v>185309</v>
          </cell>
          <cell r="AK83">
            <v>11050</v>
          </cell>
          <cell r="AL83">
            <v>6943</v>
          </cell>
        </row>
        <row r="84">
          <cell r="E84">
            <v>2196367</v>
          </cell>
          <cell r="G84">
            <v>288258</v>
          </cell>
          <cell r="K84">
            <v>1042717</v>
          </cell>
          <cell r="L84">
            <v>336997</v>
          </cell>
          <cell r="M84">
            <v>4388</v>
          </cell>
          <cell r="N84">
            <v>16075</v>
          </cell>
          <cell r="P84">
            <v>96967</v>
          </cell>
          <cell r="R84">
            <v>168400</v>
          </cell>
          <cell r="W84">
            <v>220835</v>
          </cell>
          <cell r="AA84">
            <v>73168</v>
          </cell>
          <cell r="AD84">
            <v>14430</v>
          </cell>
          <cell r="AE84">
            <v>156047</v>
          </cell>
          <cell r="AF84">
            <v>178177</v>
          </cell>
          <cell r="AK84">
            <v>4274</v>
          </cell>
          <cell r="AL84">
            <v>6739</v>
          </cell>
        </row>
        <row r="85">
          <cell r="E85">
            <v>1711560</v>
          </cell>
          <cell r="G85">
            <v>262955</v>
          </cell>
          <cell r="K85">
            <v>949359</v>
          </cell>
          <cell r="L85">
            <v>279429</v>
          </cell>
          <cell r="M85">
            <v>4646</v>
          </cell>
          <cell r="N85">
            <v>14027</v>
          </cell>
          <cell r="P85">
            <v>79570</v>
          </cell>
          <cell r="R85">
            <v>152276</v>
          </cell>
          <cell r="W85">
            <v>286791</v>
          </cell>
          <cell r="AA85">
            <v>67608</v>
          </cell>
          <cell r="AD85">
            <v>68329</v>
          </cell>
          <cell r="AE85">
            <v>141681</v>
          </cell>
          <cell r="AF85">
            <v>475248</v>
          </cell>
          <cell r="AK85">
            <v>7236</v>
          </cell>
          <cell r="AL85">
            <v>7399</v>
          </cell>
        </row>
        <row r="86">
          <cell r="E86">
            <v>1925294</v>
          </cell>
          <cell r="G86">
            <v>160948</v>
          </cell>
          <cell r="K86">
            <v>933113</v>
          </cell>
          <cell r="L86">
            <v>313984</v>
          </cell>
          <cell r="M86">
            <v>2734</v>
          </cell>
          <cell r="N86">
            <v>9445</v>
          </cell>
          <cell r="P86">
            <v>46649</v>
          </cell>
          <cell r="R86">
            <v>99099</v>
          </cell>
          <cell r="W86">
            <v>198245</v>
          </cell>
          <cell r="AA86">
            <v>66494</v>
          </cell>
          <cell r="AD86">
            <v>9636</v>
          </cell>
          <cell r="AE86">
            <v>96019</v>
          </cell>
          <cell r="AF86">
            <v>71256</v>
          </cell>
          <cell r="AK86">
            <v>5153</v>
          </cell>
          <cell r="AL86">
            <v>5160</v>
          </cell>
        </row>
        <row r="87">
          <cell r="E87">
            <v>1565805</v>
          </cell>
          <cell r="G87">
            <v>91463</v>
          </cell>
          <cell r="K87">
            <v>950412</v>
          </cell>
          <cell r="L87">
            <v>236127</v>
          </cell>
          <cell r="M87">
            <v>1217</v>
          </cell>
          <cell r="N87">
            <v>6020</v>
          </cell>
          <cell r="P87">
            <v>30530</v>
          </cell>
          <cell r="R87">
            <v>51384</v>
          </cell>
          <cell r="W87">
            <v>177563</v>
          </cell>
          <cell r="AA87">
            <v>64642</v>
          </cell>
          <cell r="AD87">
            <v>27944</v>
          </cell>
          <cell r="AE87">
            <v>168286</v>
          </cell>
          <cell r="AF87">
            <v>153292</v>
          </cell>
          <cell r="AK87">
            <v>604</v>
          </cell>
          <cell r="AL87">
            <v>290</v>
          </cell>
        </row>
        <row r="88">
          <cell r="E88">
            <v>1794602</v>
          </cell>
          <cell r="G88">
            <v>137435</v>
          </cell>
          <cell r="K88">
            <v>900876</v>
          </cell>
          <cell r="L88">
            <v>288429</v>
          </cell>
          <cell r="M88">
            <v>5099</v>
          </cell>
          <cell r="N88">
            <v>6588</v>
          </cell>
          <cell r="P88">
            <v>47573</v>
          </cell>
          <cell r="R88">
            <v>77067</v>
          </cell>
          <cell r="W88">
            <v>214340</v>
          </cell>
          <cell r="AA88">
            <v>79399</v>
          </cell>
          <cell r="AD88">
            <v>8976</v>
          </cell>
          <cell r="AE88">
            <v>20595</v>
          </cell>
          <cell r="AF88">
            <v>223139</v>
          </cell>
          <cell r="AK88">
            <v>7</v>
          </cell>
          <cell r="AL88">
            <v>5</v>
          </cell>
        </row>
        <row r="89">
          <cell r="E89">
            <v>1503191</v>
          </cell>
          <cell r="G89">
            <v>377572</v>
          </cell>
          <cell r="K89">
            <v>658714</v>
          </cell>
          <cell r="L89">
            <v>411310</v>
          </cell>
          <cell r="M89">
            <v>5659</v>
          </cell>
          <cell r="N89">
            <v>48769</v>
          </cell>
          <cell r="P89">
            <v>112531</v>
          </cell>
          <cell r="R89">
            <v>195647</v>
          </cell>
          <cell r="W89">
            <v>242297</v>
          </cell>
          <cell r="AA89">
            <v>76654</v>
          </cell>
          <cell r="AD89">
            <v>26621</v>
          </cell>
          <cell r="AE89">
            <v>17242</v>
          </cell>
          <cell r="AF89">
            <v>219826</v>
          </cell>
          <cell r="AK89">
            <v>8258</v>
          </cell>
          <cell r="AL89">
            <v>21146</v>
          </cell>
        </row>
        <row r="90">
          <cell r="E90">
            <v>2027748</v>
          </cell>
          <cell r="G90">
            <v>278966</v>
          </cell>
          <cell r="K90">
            <v>40503</v>
          </cell>
          <cell r="L90">
            <v>1266584</v>
          </cell>
          <cell r="M90">
            <v>7678</v>
          </cell>
          <cell r="N90">
            <v>29196</v>
          </cell>
          <cell r="P90">
            <v>100322</v>
          </cell>
          <cell r="R90">
            <v>141096</v>
          </cell>
          <cell r="W90">
            <v>281208</v>
          </cell>
          <cell r="AA90">
            <v>133860</v>
          </cell>
          <cell r="AD90">
            <v>16237</v>
          </cell>
          <cell r="AE90">
            <v>24044</v>
          </cell>
          <cell r="AF90">
            <v>799627</v>
          </cell>
          <cell r="AK90">
            <v>12073</v>
          </cell>
          <cell r="AL90">
            <v>14989</v>
          </cell>
        </row>
        <row r="91">
          <cell r="E91">
            <v>1980191</v>
          </cell>
          <cell r="G91">
            <v>395355</v>
          </cell>
          <cell r="K91">
            <v>897143</v>
          </cell>
          <cell r="L91">
            <v>592024</v>
          </cell>
          <cell r="M91">
            <v>2283</v>
          </cell>
          <cell r="N91">
            <v>18119</v>
          </cell>
          <cell r="P91">
            <v>172788</v>
          </cell>
          <cell r="R91">
            <v>176605</v>
          </cell>
          <cell r="W91">
            <v>254752</v>
          </cell>
          <cell r="AA91">
            <v>61173</v>
          </cell>
          <cell r="AD91">
            <v>29327</v>
          </cell>
          <cell r="AE91">
            <v>338079</v>
          </cell>
          <cell r="AF91">
            <v>508497</v>
          </cell>
          <cell r="AK91">
            <v>9989</v>
          </cell>
          <cell r="AL91">
            <v>16580</v>
          </cell>
        </row>
        <row r="92">
          <cell r="E92">
            <v>2109429</v>
          </cell>
          <cell r="G92">
            <v>223036</v>
          </cell>
          <cell r="K92">
            <v>962425</v>
          </cell>
          <cell r="L92">
            <v>484672</v>
          </cell>
          <cell r="M92">
            <v>5487</v>
          </cell>
          <cell r="N92">
            <v>15704</v>
          </cell>
          <cell r="P92">
            <v>94271</v>
          </cell>
          <cell r="R92">
            <v>121359</v>
          </cell>
          <cell r="W92">
            <v>242962</v>
          </cell>
          <cell r="AA92">
            <v>73072</v>
          </cell>
          <cell r="AD92">
            <v>12483</v>
          </cell>
          <cell r="AE92">
            <v>93388</v>
          </cell>
          <cell r="AF92">
            <v>349667</v>
          </cell>
          <cell r="AK92">
            <v>6272</v>
          </cell>
          <cell r="AL92">
            <v>6215</v>
          </cell>
        </row>
        <row r="93">
          <cell r="E93">
            <v>1720213</v>
          </cell>
          <cell r="G93">
            <v>164341</v>
          </cell>
          <cell r="K93">
            <v>1033712</v>
          </cell>
          <cell r="L93">
            <v>311622</v>
          </cell>
          <cell r="M93">
            <v>2116</v>
          </cell>
          <cell r="N93">
            <v>10614</v>
          </cell>
          <cell r="P93">
            <v>50931</v>
          </cell>
          <cell r="R93">
            <v>97446</v>
          </cell>
          <cell r="W93">
            <v>182576</v>
          </cell>
          <cell r="AA93">
            <v>65158</v>
          </cell>
          <cell r="AD93">
            <v>6791</v>
          </cell>
          <cell r="AE93">
            <v>5037</v>
          </cell>
          <cell r="AF93">
            <v>252122</v>
          </cell>
          <cell r="AK93">
            <v>6034</v>
          </cell>
          <cell r="AL93">
            <v>3574</v>
          </cell>
        </row>
        <row r="94">
          <cell r="E94">
            <v>2139822</v>
          </cell>
          <cell r="G94">
            <v>166725</v>
          </cell>
          <cell r="K94">
            <v>1123273</v>
          </cell>
          <cell r="L94">
            <v>258298</v>
          </cell>
          <cell r="M94">
            <v>8453</v>
          </cell>
          <cell r="N94">
            <v>15781</v>
          </cell>
          <cell r="P94">
            <v>49833</v>
          </cell>
          <cell r="R94">
            <v>95001</v>
          </cell>
          <cell r="W94">
            <v>207680</v>
          </cell>
          <cell r="AA94">
            <v>76757</v>
          </cell>
          <cell r="AD94">
            <v>10288</v>
          </cell>
          <cell r="AE94">
            <v>23961</v>
          </cell>
          <cell r="AF94">
            <v>372677</v>
          </cell>
          <cell r="AK94">
            <v>11547</v>
          </cell>
          <cell r="AL94">
            <v>7197</v>
          </cell>
        </row>
        <row r="95">
          <cell r="E95">
            <v>1981382</v>
          </cell>
          <cell r="G95">
            <v>222758</v>
          </cell>
          <cell r="K95">
            <v>1248760</v>
          </cell>
          <cell r="L95">
            <v>308401</v>
          </cell>
          <cell r="M95">
            <v>3297</v>
          </cell>
          <cell r="N95">
            <v>17598</v>
          </cell>
          <cell r="P95">
            <v>70439</v>
          </cell>
          <cell r="R95">
            <v>127061</v>
          </cell>
          <cell r="W95">
            <v>203457</v>
          </cell>
          <cell r="AA95">
            <v>150861</v>
          </cell>
          <cell r="AD95">
            <v>22157</v>
          </cell>
          <cell r="AE95">
            <v>16544</v>
          </cell>
          <cell r="AF95">
            <v>153451</v>
          </cell>
          <cell r="AK95">
            <v>12030</v>
          </cell>
          <cell r="AL95">
            <v>7210</v>
          </cell>
        </row>
        <row r="96">
          <cell r="E96">
            <v>2498585</v>
          </cell>
          <cell r="G96">
            <v>268218</v>
          </cell>
          <cell r="K96">
            <v>1290189</v>
          </cell>
          <cell r="L96">
            <v>369319</v>
          </cell>
          <cell r="M96">
            <v>4332</v>
          </cell>
          <cell r="N96">
            <v>14061</v>
          </cell>
          <cell r="P96">
            <v>87551</v>
          </cell>
          <cell r="R96">
            <v>154779</v>
          </cell>
          <cell r="W96">
            <v>540774</v>
          </cell>
          <cell r="AA96">
            <v>72946</v>
          </cell>
          <cell r="AD96">
            <v>10465</v>
          </cell>
          <cell r="AE96">
            <v>18893</v>
          </cell>
          <cell r="AF96">
            <v>244244</v>
          </cell>
          <cell r="AK96">
            <v>13715</v>
          </cell>
          <cell r="AL96">
            <v>7344</v>
          </cell>
        </row>
        <row r="97">
          <cell r="E97">
            <v>2389401</v>
          </cell>
          <cell r="G97">
            <v>256170</v>
          </cell>
          <cell r="K97">
            <v>1224187</v>
          </cell>
          <cell r="L97">
            <v>376355</v>
          </cell>
          <cell r="M97">
            <v>2503</v>
          </cell>
          <cell r="N97">
            <v>10019</v>
          </cell>
          <cell r="P97">
            <v>88346</v>
          </cell>
          <cell r="R97">
            <v>155553</v>
          </cell>
          <cell r="W97">
            <v>221292</v>
          </cell>
          <cell r="AA97">
            <v>71821</v>
          </cell>
          <cell r="AD97">
            <v>13270</v>
          </cell>
          <cell r="AE97">
            <v>24305</v>
          </cell>
          <cell r="AF97">
            <v>331583</v>
          </cell>
          <cell r="AK97">
            <v>8108</v>
          </cell>
          <cell r="AL97">
            <v>5770</v>
          </cell>
        </row>
        <row r="98">
          <cell r="E98">
            <v>2208614</v>
          </cell>
          <cell r="G98">
            <v>250985</v>
          </cell>
          <cell r="K98">
            <v>1182218</v>
          </cell>
          <cell r="L98">
            <v>385079</v>
          </cell>
          <cell r="M98">
            <v>2634</v>
          </cell>
          <cell r="N98">
            <v>14013</v>
          </cell>
          <cell r="P98">
            <v>78475</v>
          </cell>
          <cell r="R98">
            <v>151473</v>
          </cell>
          <cell r="W98">
            <v>302807</v>
          </cell>
          <cell r="AA98">
            <v>79803</v>
          </cell>
          <cell r="AD98">
            <v>4282</v>
          </cell>
          <cell r="AE98">
            <v>13547</v>
          </cell>
          <cell r="AF98">
            <v>301460</v>
          </cell>
          <cell r="AK98">
            <v>13512</v>
          </cell>
          <cell r="AL98">
            <v>4803</v>
          </cell>
        </row>
        <row r="99">
          <cell r="E99">
            <v>2033924</v>
          </cell>
          <cell r="G99">
            <v>163541</v>
          </cell>
          <cell r="K99">
            <v>1292295</v>
          </cell>
          <cell r="L99">
            <v>332106</v>
          </cell>
          <cell r="M99">
            <v>2251</v>
          </cell>
          <cell r="N99">
            <v>6504</v>
          </cell>
          <cell r="P99">
            <v>43105</v>
          </cell>
          <cell r="R99">
            <v>110462</v>
          </cell>
          <cell r="W99">
            <v>179398</v>
          </cell>
          <cell r="AA99">
            <v>66391</v>
          </cell>
          <cell r="AD99">
            <v>5550</v>
          </cell>
          <cell r="AE99">
            <v>13173</v>
          </cell>
          <cell r="AF99">
            <v>171436</v>
          </cell>
          <cell r="AK99">
            <v>12749</v>
          </cell>
          <cell r="AL99">
            <v>4482</v>
          </cell>
        </row>
        <row r="100">
          <cell r="E100">
            <v>1996443</v>
          </cell>
          <cell r="G100">
            <v>172242</v>
          </cell>
          <cell r="K100">
            <v>1133541</v>
          </cell>
          <cell r="L100">
            <v>252506</v>
          </cell>
          <cell r="M100">
            <v>14754</v>
          </cell>
          <cell r="N100">
            <v>5587</v>
          </cell>
          <cell r="P100">
            <v>46962</v>
          </cell>
          <cell r="R100">
            <v>112688</v>
          </cell>
          <cell r="W100">
            <v>227253</v>
          </cell>
          <cell r="AA100">
            <v>67907</v>
          </cell>
          <cell r="AD100">
            <v>6707</v>
          </cell>
          <cell r="AE100">
            <v>209925</v>
          </cell>
          <cell r="AF100">
            <v>212740</v>
          </cell>
          <cell r="AK100">
            <v>8676</v>
          </cell>
          <cell r="AL100">
            <v>4377</v>
          </cell>
        </row>
        <row r="101">
          <cell r="E101">
            <v>1580956</v>
          </cell>
          <cell r="G101">
            <v>197859</v>
          </cell>
          <cell r="K101">
            <v>807574</v>
          </cell>
          <cell r="L101">
            <v>405068</v>
          </cell>
          <cell r="M101">
            <v>3961</v>
          </cell>
          <cell r="N101">
            <v>12147</v>
          </cell>
          <cell r="P101">
            <v>55135</v>
          </cell>
          <cell r="R101">
            <v>119042</v>
          </cell>
          <cell r="W101">
            <v>237988</v>
          </cell>
          <cell r="AA101">
            <v>70807</v>
          </cell>
          <cell r="AD101">
            <v>8288</v>
          </cell>
          <cell r="AE101">
            <v>49469</v>
          </cell>
          <cell r="AF101">
            <v>449312</v>
          </cell>
          <cell r="AK101">
            <v>4688</v>
          </cell>
          <cell r="AL101">
            <v>4201</v>
          </cell>
        </row>
        <row r="102">
          <cell r="E102">
            <v>1983680</v>
          </cell>
          <cell r="G102">
            <v>261283</v>
          </cell>
          <cell r="K102">
            <v>33587</v>
          </cell>
          <cell r="L102">
            <v>1311527</v>
          </cell>
          <cell r="M102">
            <v>7640</v>
          </cell>
          <cell r="N102">
            <v>7721</v>
          </cell>
          <cell r="P102">
            <v>74181</v>
          </cell>
          <cell r="R102">
            <v>154506</v>
          </cell>
          <cell r="W102">
            <v>296760</v>
          </cell>
          <cell r="AA102">
            <v>124613</v>
          </cell>
          <cell r="AD102">
            <v>24134</v>
          </cell>
          <cell r="AE102">
            <v>41996</v>
          </cell>
          <cell r="AF102">
            <v>322706</v>
          </cell>
          <cell r="AK102">
            <v>5293</v>
          </cell>
          <cell r="AL102">
            <v>4112</v>
          </cell>
        </row>
        <row r="103">
          <cell r="E103">
            <v>2440476</v>
          </cell>
          <cell r="G103">
            <v>410381</v>
          </cell>
          <cell r="K103">
            <v>1100003</v>
          </cell>
          <cell r="L103">
            <v>880067</v>
          </cell>
          <cell r="M103">
            <v>27768</v>
          </cell>
          <cell r="N103">
            <v>10487</v>
          </cell>
          <cell r="P103">
            <v>148844</v>
          </cell>
          <cell r="R103">
            <v>213561</v>
          </cell>
          <cell r="W103">
            <v>269625</v>
          </cell>
          <cell r="AA103">
            <v>64466</v>
          </cell>
          <cell r="AD103">
            <v>22506</v>
          </cell>
          <cell r="AE103">
            <v>24192</v>
          </cell>
          <cell r="AF103">
            <v>412331</v>
          </cell>
          <cell r="AK103">
            <v>5949</v>
          </cell>
          <cell r="AL103">
            <v>3743</v>
          </cell>
        </row>
        <row r="104">
          <cell r="E104">
            <v>2777246</v>
          </cell>
          <cell r="G104">
            <v>317361</v>
          </cell>
          <cell r="K104">
            <v>1141817</v>
          </cell>
          <cell r="L104">
            <v>981580</v>
          </cell>
          <cell r="M104">
            <v>9687</v>
          </cell>
          <cell r="N104">
            <v>10718</v>
          </cell>
          <cell r="P104">
            <v>105603</v>
          </cell>
          <cell r="R104">
            <v>186851</v>
          </cell>
          <cell r="W104">
            <v>373225</v>
          </cell>
          <cell r="AA104">
            <v>68768</v>
          </cell>
          <cell r="AD104">
            <v>24940</v>
          </cell>
          <cell r="AE104">
            <v>323249</v>
          </cell>
          <cell r="AF104">
            <v>622730</v>
          </cell>
          <cell r="AK104">
            <v>10094</v>
          </cell>
          <cell r="AL104">
            <v>4615</v>
          </cell>
        </row>
        <row r="105">
          <cell r="E105">
            <v>2343411</v>
          </cell>
          <cell r="G105">
            <v>261539</v>
          </cell>
          <cell r="K105">
            <v>1331792</v>
          </cell>
          <cell r="L105">
            <v>574426</v>
          </cell>
          <cell r="M105">
            <v>1770</v>
          </cell>
          <cell r="N105">
            <v>11214</v>
          </cell>
          <cell r="P105">
            <v>77726</v>
          </cell>
          <cell r="R105">
            <v>161313</v>
          </cell>
          <cell r="W105">
            <v>228495</v>
          </cell>
          <cell r="AA105">
            <v>62719</v>
          </cell>
          <cell r="AD105">
            <v>6780</v>
          </cell>
          <cell r="AE105">
            <v>15781</v>
          </cell>
          <cell r="AF105">
            <v>356407</v>
          </cell>
          <cell r="AK105">
            <v>5132</v>
          </cell>
          <cell r="AL105">
            <v>3767</v>
          </cell>
        </row>
        <row r="106">
          <cell r="E106">
            <v>2348799</v>
          </cell>
          <cell r="G106">
            <v>301911</v>
          </cell>
          <cell r="K106">
            <v>1130869</v>
          </cell>
          <cell r="L106">
            <v>535810</v>
          </cell>
          <cell r="M106">
            <v>2039</v>
          </cell>
          <cell r="N106">
            <v>11694</v>
          </cell>
          <cell r="P106">
            <v>89937</v>
          </cell>
          <cell r="R106">
            <v>185880</v>
          </cell>
          <cell r="W106">
            <v>216403</v>
          </cell>
          <cell r="AA106">
            <v>73307</v>
          </cell>
          <cell r="AD106">
            <v>8484</v>
          </cell>
          <cell r="AE106">
            <v>127282</v>
          </cell>
          <cell r="AF106">
            <v>283343</v>
          </cell>
          <cell r="AK106">
            <v>12567</v>
          </cell>
          <cell r="AL106">
            <v>4100</v>
          </cell>
        </row>
        <row r="107">
          <cell r="E107">
            <v>2223174</v>
          </cell>
          <cell r="G107">
            <v>335138</v>
          </cell>
          <cell r="K107">
            <v>1298005</v>
          </cell>
          <cell r="L107">
            <v>493724</v>
          </cell>
          <cell r="M107">
            <v>14159</v>
          </cell>
          <cell r="N107">
            <v>14431</v>
          </cell>
          <cell r="P107">
            <v>106512</v>
          </cell>
          <cell r="R107">
            <v>199997</v>
          </cell>
          <cell r="W107">
            <v>194984</v>
          </cell>
          <cell r="AA107">
            <v>67754</v>
          </cell>
          <cell r="AD107">
            <v>6486</v>
          </cell>
          <cell r="AE107">
            <v>20956</v>
          </cell>
          <cell r="AF107">
            <v>362791</v>
          </cell>
          <cell r="AK107">
            <v>11072</v>
          </cell>
          <cell r="AL107">
            <v>12772</v>
          </cell>
        </row>
        <row r="108">
          <cell r="E108">
            <v>2540697</v>
          </cell>
          <cell r="G108">
            <v>395828</v>
          </cell>
          <cell r="K108">
            <v>1363589</v>
          </cell>
          <cell r="L108">
            <v>437225</v>
          </cell>
          <cell r="M108">
            <v>5853</v>
          </cell>
          <cell r="N108">
            <v>27838</v>
          </cell>
          <cell r="P108">
            <v>118338</v>
          </cell>
          <cell r="R108">
            <v>225703</v>
          </cell>
          <cell r="W108">
            <v>216080</v>
          </cell>
          <cell r="AA108">
            <v>79803</v>
          </cell>
          <cell r="AD108">
            <v>6362</v>
          </cell>
          <cell r="AE108">
            <v>18898</v>
          </cell>
          <cell r="AF108">
            <v>413368</v>
          </cell>
          <cell r="AK108">
            <v>9566</v>
          </cell>
          <cell r="AL108">
            <v>6451</v>
          </cell>
        </row>
        <row r="109">
          <cell r="E109">
            <v>2206190</v>
          </cell>
          <cell r="G109">
            <v>381091</v>
          </cell>
          <cell r="K109">
            <v>1311819</v>
          </cell>
          <cell r="L109">
            <v>418135</v>
          </cell>
          <cell r="M109">
            <v>3641</v>
          </cell>
          <cell r="N109">
            <v>22579</v>
          </cell>
          <cell r="P109">
            <v>116510</v>
          </cell>
          <cell r="R109">
            <v>219174</v>
          </cell>
          <cell r="W109">
            <v>224290</v>
          </cell>
          <cell r="AA109">
            <v>73560</v>
          </cell>
          <cell r="AD109">
            <v>38464</v>
          </cell>
          <cell r="AE109">
            <v>26912</v>
          </cell>
          <cell r="AF109">
            <v>285150</v>
          </cell>
          <cell r="AK109">
            <v>8320</v>
          </cell>
          <cell r="AL109">
            <v>5025</v>
          </cell>
        </row>
        <row r="110">
          <cell r="E110">
            <v>2632501</v>
          </cell>
          <cell r="G110">
            <v>297740</v>
          </cell>
          <cell r="K110">
            <v>1396033</v>
          </cell>
          <cell r="L110">
            <v>553066</v>
          </cell>
          <cell r="M110">
            <v>5726</v>
          </cell>
          <cell r="N110">
            <v>12976</v>
          </cell>
          <cell r="P110">
            <v>87886</v>
          </cell>
          <cell r="R110">
            <v>178256</v>
          </cell>
          <cell r="W110">
            <v>217978</v>
          </cell>
          <cell r="AA110">
            <v>68374</v>
          </cell>
          <cell r="AD110">
            <v>7481</v>
          </cell>
          <cell r="AE110">
            <v>8507</v>
          </cell>
          <cell r="AF110">
            <v>175602</v>
          </cell>
          <cell r="AK110">
            <v>7435</v>
          </cell>
          <cell r="AL110">
            <v>2879</v>
          </cell>
        </row>
        <row r="111">
          <cell r="E111">
            <v>2265905</v>
          </cell>
          <cell r="G111">
            <v>348604</v>
          </cell>
          <cell r="K111">
            <v>1345379</v>
          </cell>
          <cell r="L111">
            <v>551784</v>
          </cell>
          <cell r="M111">
            <v>64654</v>
          </cell>
          <cell r="N111">
            <v>12682</v>
          </cell>
          <cell r="P111">
            <v>153985</v>
          </cell>
          <cell r="R111">
            <v>159734</v>
          </cell>
          <cell r="W111">
            <v>174188</v>
          </cell>
          <cell r="AA111">
            <v>73507</v>
          </cell>
          <cell r="AD111">
            <v>9005</v>
          </cell>
          <cell r="AE111">
            <v>107894</v>
          </cell>
          <cell r="AF111">
            <v>169645</v>
          </cell>
          <cell r="AK111">
            <v>7693</v>
          </cell>
          <cell r="AL111">
            <v>6001</v>
          </cell>
        </row>
        <row r="112">
          <cell r="E112">
            <v>2567822</v>
          </cell>
          <cell r="G112">
            <v>304738</v>
          </cell>
          <cell r="K112">
            <v>1302573</v>
          </cell>
          <cell r="L112">
            <v>629746</v>
          </cell>
          <cell r="M112">
            <v>21123</v>
          </cell>
          <cell r="N112">
            <v>14622</v>
          </cell>
          <cell r="P112">
            <v>106545</v>
          </cell>
          <cell r="R112">
            <v>163213</v>
          </cell>
          <cell r="W112">
            <v>204162</v>
          </cell>
          <cell r="AA112">
            <v>83859</v>
          </cell>
          <cell r="AD112">
            <v>12031</v>
          </cell>
          <cell r="AE112">
            <v>13213</v>
          </cell>
          <cell r="AF112">
            <v>264517</v>
          </cell>
          <cell r="AK112">
            <v>6458</v>
          </cell>
          <cell r="AL112">
            <v>6467</v>
          </cell>
        </row>
        <row r="113">
          <cell r="E113">
            <v>1912227</v>
          </cell>
          <cell r="G113">
            <v>353184</v>
          </cell>
          <cell r="K113">
            <v>834044</v>
          </cell>
          <cell r="L113">
            <v>624071</v>
          </cell>
          <cell r="M113">
            <v>3571</v>
          </cell>
          <cell r="N113">
            <v>15514</v>
          </cell>
          <cell r="P113">
            <v>121554</v>
          </cell>
          <cell r="R113">
            <v>194622</v>
          </cell>
          <cell r="W113">
            <v>230741</v>
          </cell>
          <cell r="AA113">
            <v>79095</v>
          </cell>
          <cell r="AD113">
            <v>12535</v>
          </cell>
          <cell r="AE113">
            <v>17241</v>
          </cell>
          <cell r="AF113">
            <v>405667</v>
          </cell>
          <cell r="AK113">
            <v>9007</v>
          </cell>
          <cell r="AL113">
            <v>9261</v>
          </cell>
        </row>
        <row r="114">
          <cell r="E114">
            <v>2901843</v>
          </cell>
          <cell r="G114">
            <v>378872</v>
          </cell>
          <cell r="K114">
            <v>145803</v>
          </cell>
          <cell r="L114">
            <v>1852128</v>
          </cell>
          <cell r="M114">
            <v>4052</v>
          </cell>
          <cell r="N114">
            <v>18039</v>
          </cell>
          <cell r="P114">
            <v>127797</v>
          </cell>
          <cell r="R114">
            <v>209898</v>
          </cell>
          <cell r="W114">
            <v>279460</v>
          </cell>
          <cell r="AA114">
            <v>134746</v>
          </cell>
          <cell r="AD114">
            <v>13131</v>
          </cell>
          <cell r="AE114">
            <v>38330</v>
          </cell>
          <cell r="AF114">
            <v>285239</v>
          </cell>
          <cell r="AK114">
            <v>11271</v>
          </cell>
          <cell r="AL114">
            <v>6687</v>
          </cell>
        </row>
        <row r="115">
          <cell r="E115">
            <v>2609216</v>
          </cell>
          <cell r="G115">
            <v>383719</v>
          </cell>
          <cell r="K115">
            <v>1209655</v>
          </cell>
          <cell r="L115">
            <v>890160</v>
          </cell>
          <cell r="M115">
            <v>3919</v>
          </cell>
          <cell r="N115">
            <v>11433</v>
          </cell>
          <cell r="P115">
            <v>132337</v>
          </cell>
          <cell r="R115">
            <v>207771</v>
          </cell>
          <cell r="W115">
            <v>201121</v>
          </cell>
          <cell r="AA115">
            <v>65561</v>
          </cell>
          <cell r="AD115">
            <v>11850</v>
          </cell>
          <cell r="AE115">
            <v>10102</v>
          </cell>
          <cell r="AF115">
            <v>484733</v>
          </cell>
          <cell r="AK115">
            <v>7771</v>
          </cell>
          <cell r="AL115">
            <v>5951</v>
          </cell>
        </row>
        <row r="116">
          <cell r="E116">
            <v>3224382</v>
          </cell>
          <cell r="G116">
            <v>369427</v>
          </cell>
          <cell r="K116">
            <v>1479451</v>
          </cell>
          <cell r="L116">
            <v>873102</v>
          </cell>
          <cell r="M116">
            <v>2625</v>
          </cell>
          <cell r="N116">
            <v>27229</v>
          </cell>
          <cell r="P116">
            <v>115544</v>
          </cell>
          <cell r="R116">
            <v>203281</v>
          </cell>
          <cell r="W116">
            <v>233753</v>
          </cell>
          <cell r="AA116">
            <v>69750</v>
          </cell>
          <cell r="AD116">
            <v>41466</v>
          </cell>
          <cell r="AE116">
            <v>16699</v>
          </cell>
          <cell r="AF116">
            <v>265318</v>
          </cell>
          <cell r="AK116">
            <v>12188</v>
          </cell>
          <cell r="AL116">
            <v>9395</v>
          </cell>
        </row>
        <row r="117">
          <cell r="E117">
            <v>2660597</v>
          </cell>
          <cell r="G117">
            <v>482741</v>
          </cell>
          <cell r="K117">
            <v>1500927</v>
          </cell>
          <cell r="L117">
            <v>693998</v>
          </cell>
          <cell r="M117">
            <v>5581</v>
          </cell>
          <cell r="N117">
            <v>48890</v>
          </cell>
          <cell r="P117">
            <v>171867</v>
          </cell>
          <cell r="R117">
            <v>220755</v>
          </cell>
          <cell r="W117">
            <v>209487</v>
          </cell>
          <cell r="AA117">
            <v>67949</v>
          </cell>
          <cell r="AD117">
            <v>8164</v>
          </cell>
          <cell r="AE117">
            <v>41273</v>
          </cell>
          <cell r="AF117">
            <v>237449</v>
          </cell>
          <cell r="AK117">
            <v>3519</v>
          </cell>
          <cell r="AL117">
            <v>5668</v>
          </cell>
        </row>
        <row r="118">
          <cell r="E118">
            <v>2554199</v>
          </cell>
          <cell r="G118">
            <v>664086</v>
          </cell>
          <cell r="K118">
            <v>1359693</v>
          </cell>
          <cell r="L118">
            <v>449984</v>
          </cell>
          <cell r="M118">
            <v>5010</v>
          </cell>
          <cell r="N118">
            <v>81135</v>
          </cell>
          <cell r="P118">
            <v>279700</v>
          </cell>
          <cell r="R118">
            <v>261037</v>
          </cell>
          <cell r="W118">
            <v>216529</v>
          </cell>
          <cell r="AA118">
            <v>73886</v>
          </cell>
          <cell r="AD118">
            <v>11558</v>
          </cell>
          <cell r="AE118">
            <v>31819</v>
          </cell>
          <cell r="AF118">
            <v>171147</v>
          </cell>
          <cell r="AK118">
            <v>3814</v>
          </cell>
          <cell r="AL118">
            <v>2926</v>
          </cell>
        </row>
        <row r="119">
          <cell r="E119">
            <v>2758894</v>
          </cell>
          <cell r="G119">
            <v>473153</v>
          </cell>
          <cell r="K119">
            <v>1693786</v>
          </cell>
          <cell r="L119">
            <v>548628</v>
          </cell>
          <cell r="M119">
            <v>8360</v>
          </cell>
          <cell r="N119">
            <v>36742</v>
          </cell>
          <cell r="P119">
            <v>203611</v>
          </cell>
          <cell r="R119">
            <v>217259</v>
          </cell>
          <cell r="W119">
            <v>262307</v>
          </cell>
          <cell r="AA119">
            <v>67379</v>
          </cell>
          <cell r="AD119">
            <v>37874</v>
          </cell>
          <cell r="AE119">
            <v>23269</v>
          </cell>
          <cell r="AF119">
            <v>180434</v>
          </cell>
          <cell r="AK119">
            <v>23554</v>
          </cell>
          <cell r="AL119">
            <v>11590</v>
          </cell>
        </row>
        <row r="120">
          <cell r="E120">
            <v>2852159</v>
          </cell>
          <cell r="G120">
            <v>368391</v>
          </cell>
          <cell r="K120">
            <v>1498004</v>
          </cell>
          <cell r="L120">
            <v>606155</v>
          </cell>
          <cell r="M120">
            <v>7518</v>
          </cell>
          <cell r="N120">
            <v>18502</v>
          </cell>
          <cell r="P120">
            <v>117109</v>
          </cell>
          <cell r="R120">
            <v>222593</v>
          </cell>
          <cell r="W120">
            <v>199241</v>
          </cell>
          <cell r="AA120">
            <v>75399</v>
          </cell>
          <cell r="AD120">
            <v>9423</v>
          </cell>
          <cell r="AE120">
            <v>15494</v>
          </cell>
          <cell r="AF120">
            <v>280811</v>
          </cell>
          <cell r="AK120">
            <v>8439</v>
          </cell>
          <cell r="AL120">
            <v>7460</v>
          </cell>
        </row>
        <row r="121">
          <cell r="E121">
            <v>2725251</v>
          </cell>
          <cell r="G121">
            <v>427853</v>
          </cell>
          <cell r="K121">
            <v>1553492</v>
          </cell>
          <cell r="L121">
            <v>544813</v>
          </cell>
          <cell r="M121">
            <v>5811</v>
          </cell>
          <cell r="N121">
            <v>17339</v>
          </cell>
          <cell r="P121">
            <v>139904</v>
          </cell>
          <cell r="R121">
            <v>247508</v>
          </cell>
          <cell r="W121">
            <v>216485</v>
          </cell>
          <cell r="AA121">
            <v>76345</v>
          </cell>
          <cell r="AD121">
            <v>10356</v>
          </cell>
          <cell r="AE121">
            <v>49395</v>
          </cell>
          <cell r="AF121">
            <v>250235</v>
          </cell>
          <cell r="AK121">
            <v>10394</v>
          </cell>
          <cell r="AL121">
            <v>13714</v>
          </cell>
        </row>
        <row r="122">
          <cell r="E122">
            <v>3422557</v>
          </cell>
          <cell r="G122">
            <v>410037</v>
          </cell>
          <cell r="K122">
            <v>1636330</v>
          </cell>
          <cell r="L122">
            <v>895185</v>
          </cell>
          <cell r="M122">
            <v>3725</v>
          </cell>
          <cell r="N122">
            <v>15112</v>
          </cell>
          <cell r="P122">
            <v>137196</v>
          </cell>
          <cell r="R122">
            <v>238811</v>
          </cell>
          <cell r="W122">
            <v>249641</v>
          </cell>
          <cell r="AA122">
            <v>74493</v>
          </cell>
          <cell r="AD122">
            <v>10095</v>
          </cell>
          <cell r="AE122">
            <v>179225</v>
          </cell>
          <cell r="AF122">
            <v>252561</v>
          </cell>
          <cell r="AK122">
            <v>7826</v>
          </cell>
          <cell r="AL122">
            <v>5600</v>
          </cell>
        </row>
        <row r="123">
          <cell r="E123">
            <v>2584141</v>
          </cell>
          <cell r="G123">
            <v>303252</v>
          </cell>
          <cell r="K123">
            <v>1619026</v>
          </cell>
          <cell r="L123">
            <v>531268</v>
          </cell>
          <cell r="M123">
            <v>1631</v>
          </cell>
          <cell r="N123">
            <v>26451</v>
          </cell>
          <cell r="P123">
            <v>94789</v>
          </cell>
          <cell r="R123">
            <v>163917</v>
          </cell>
          <cell r="W123">
            <v>188796</v>
          </cell>
          <cell r="AA123">
            <v>73607</v>
          </cell>
          <cell r="AD123">
            <v>12434</v>
          </cell>
          <cell r="AE123">
            <v>168780</v>
          </cell>
          <cell r="AF123">
            <v>98669</v>
          </cell>
          <cell r="AK123">
            <v>4108</v>
          </cell>
          <cell r="AL123">
            <v>3237</v>
          </cell>
        </row>
        <row r="124">
          <cell r="E124">
            <v>2982737</v>
          </cell>
          <cell r="G124">
            <v>427061</v>
          </cell>
          <cell r="K124">
            <v>1817660</v>
          </cell>
          <cell r="L124">
            <v>406929</v>
          </cell>
          <cell r="M124">
            <v>9780</v>
          </cell>
          <cell r="N124">
            <v>43595</v>
          </cell>
          <cell r="P124">
            <v>135125</v>
          </cell>
          <cell r="R124">
            <v>226228</v>
          </cell>
          <cell r="W124">
            <v>297793</v>
          </cell>
          <cell r="AA124">
            <v>83197</v>
          </cell>
          <cell r="AD124">
            <v>51808</v>
          </cell>
          <cell r="AE124">
            <v>16547</v>
          </cell>
          <cell r="AF124">
            <v>231722</v>
          </cell>
          <cell r="AK124">
            <v>15471</v>
          </cell>
          <cell r="AL124">
            <v>8881</v>
          </cell>
        </row>
        <row r="125">
          <cell r="E125">
            <v>2091348</v>
          </cell>
          <cell r="G125">
            <v>376209</v>
          </cell>
          <cell r="K125">
            <v>915452</v>
          </cell>
          <cell r="L125">
            <v>717144</v>
          </cell>
          <cell r="M125">
            <v>3415</v>
          </cell>
          <cell r="N125">
            <v>16103</v>
          </cell>
          <cell r="P125">
            <v>178265</v>
          </cell>
          <cell r="R125">
            <v>193006</v>
          </cell>
          <cell r="W125">
            <v>238793</v>
          </cell>
          <cell r="AA125">
            <v>86575</v>
          </cell>
          <cell r="AD125">
            <v>38033</v>
          </cell>
          <cell r="AE125">
            <v>11728</v>
          </cell>
          <cell r="AF125">
            <v>798726</v>
          </cell>
          <cell r="AK125">
            <v>8948</v>
          </cell>
          <cell r="AL125">
            <v>7742</v>
          </cell>
        </row>
        <row r="126">
          <cell r="E126">
            <v>3688149</v>
          </cell>
          <cell r="G126">
            <v>420028</v>
          </cell>
          <cell r="K126">
            <v>98600</v>
          </cell>
          <cell r="L126">
            <v>2556761</v>
          </cell>
          <cell r="M126">
            <v>6839</v>
          </cell>
          <cell r="N126">
            <v>16905</v>
          </cell>
          <cell r="P126">
            <v>141358</v>
          </cell>
          <cell r="R126">
            <v>235880</v>
          </cell>
          <cell r="W126">
            <v>297591</v>
          </cell>
          <cell r="AA126">
            <v>132839</v>
          </cell>
          <cell r="AD126">
            <v>35000</v>
          </cell>
          <cell r="AE126">
            <v>40440</v>
          </cell>
          <cell r="AF126">
            <v>237679</v>
          </cell>
          <cell r="AK126">
            <v>9945</v>
          </cell>
          <cell r="AL126">
            <v>5689</v>
          </cell>
        </row>
        <row r="127">
          <cell r="E127">
            <v>3809527</v>
          </cell>
          <cell r="G127">
            <v>477900</v>
          </cell>
          <cell r="K127">
            <v>1555208</v>
          </cell>
          <cell r="L127">
            <v>1574596</v>
          </cell>
          <cell r="M127">
            <v>38354</v>
          </cell>
          <cell r="N127">
            <v>13996</v>
          </cell>
          <cell r="P127">
            <v>187858</v>
          </cell>
          <cell r="R127">
            <v>240034</v>
          </cell>
          <cell r="W127">
            <v>259079</v>
          </cell>
          <cell r="AA127">
            <v>64123</v>
          </cell>
          <cell r="AD127">
            <v>39782</v>
          </cell>
          <cell r="AE127">
            <v>9281</v>
          </cell>
          <cell r="AF127">
            <v>239144</v>
          </cell>
          <cell r="AK127">
            <v>11096</v>
          </cell>
          <cell r="AL127">
            <v>5628</v>
          </cell>
        </row>
        <row r="128">
          <cell r="E128">
            <v>3413106</v>
          </cell>
          <cell r="G128">
            <v>491704</v>
          </cell>
          <cell r="K128">
            <v>1627089</v>
          </cell>
          <cell r="L128">
            <v>1001783</v>
          </cell>
          <cell r="M128">
            <v>17155</v>
          </cell>
          <cell r="N128">
            <v>20326</v>
          </cell>
          <cell r="P128">
            <v>172349</v>
          </cell>
          <cell r="R128">
            <v>272786</v>
          </cell>
          <cell r="W128">
            <v>233697</v>
          </cell>
          <cell r="AA128">
            <v>67816</v>
          </cell>
          <cell r="AD128">
            <v>40990</v>
          </cell>
          <cell r="AE128">
            <v>32557</v>
          </cell>
          <cell r="AF128">
            <v>270393</v>
          </cell>
          <cell r="AK128">
            <v>10142</v>
          </cell>
          <cell r="AL128">
            <v>10413</v>
          </cell>
        </row>
        <row r="129">
          <cell r="E129">
            <v>4125385</v>
          </cell>
          <cell r="G129">
            <v>402727</v>
          </cell>
          <cell r="K129">
            <v>2582116</v>
          </cell>
          <cell r="L129">
            <v>652603</v>
          </cell>
          <cell r="M129">
            <v>5197</v>
          </cell>
          <cell r="N129">
            <v>10179</v>
          </cell>
          <cell r="P129">
            <v>145693</v>
          </cell>
          <cell r="R129">
            <v>219780</v>
          </cell>
          <cell r="W129">
            <v>253149</v>
          </cell>
          <cell r="AA129">
            <v>67967</v>
          </cell>
          <cell r="AD129">
            <v>26734</v>
          </cell>
          <cell r="AE129">
            <v>5328</v>
          </cell>
          <cell r="AF129">
            <v>317448</v>
          </cell>
          <cell r="AK129">
            <v>4585</v>
          </cell>
          <cell r="AL129">
            <v>3063</v>
          </cell>
        </row>
        <row r="130">
          <cell r="E130">
            <v>3408743</v>
          </cell>
          <cell r="G130">
            <v>487213</v>
          </cell>
          <cell r="K130">
            <v>1763475</v>
          </cell>
          <cell r="L130">
            <v>635751</v>
          </cell>
          <cell r="M130">
            <v>24330</v>
          </cell>
          <cell r="N130">
            <v>8698</v>
          </cell>
          <cell r="P130">
            <v>150161</v>
          </cell>
          <cell r="R130">
            <v>287254</v>
          </cell>
          <cell r="W130">
            <v>258558</v>
          </cell>
          <cell r="AA130">
            <v>75918</v>
          </cell>
          <cell r="AD130">
            <v>42718</v>
          </cell>
          <cell r="AE130">
            <v>14197</v>
          </cell>
          <cell r="AF130">
            <v>514364</v>
          </cell>
          <cell r="AK130">
            <v>9841</v>
          </cell>
          <cell r="AL130">
            <v>7531</v>
          </cell>
        </row>
        <row r="131">
          <cell r="E131">
            <v>2925865</v>
          </cell>
          <cell r="G131">
            <v>364448</v>
          </cell>
          <cell r="K131">
            <v>1679304</v>
          </cell>
          <cell r="L131">
            <v>677333</v>
          </cell>
          <cell r="M131">
            <v>24039</v>
          </cell>
          <cell r="N131">
            <v>11469</v>
          </cell>
          <cell r="P131">
            <v>114921</v>
          </cell>
          <cell r="R131">
            <v>206718</v>
          </cell>
          <cell r="W131">
            <v>257536</v>
          </cell>
          <cell r="AA131">
            <v>69502</v>
          </cell>
          <cell r="AD131">
            <v>39624</v>
          </cell>
          <cell r="AE131">
            <v>24739</v>
          </cell>
          <cell r="AF131">
            <v>333134</v>
          </cell>
          <cell r="AK131">
            <v>9655</v>
          </cell>
          <cell r="AL131">
            <v>5781</v>
          </cell>
        </row>
        <row r="132">
          <cell r="E132">
            <v>3140467</v>
          </cell>
          <cell r="G132">
            <v>548050</v>
          </cell>
          <cell r="K132">
            <v>1648604</v>
          </cell>
          <cell r="L132">
            <v>531213</v>
          </cell>
          <cell r="M132">
            <v>2963</v>
          </cell>
          <cell r="N132">
            <v>7665</v>
          </cell>
          <cell r="P132">
            <v>196123</v>
          </cell>
          <cell r="R132">
            <v>297392</v>
          </cell>
          <cell r="W132">
            <v>244117</v>
          </cell>
          <cell r="AA132">
            <v>75317</v>
          </cell>
          <cell r="AD132">
            <v>53028</v>
          </cell>
          <cell r="AE132">
            <v>12802</v>
          </cell>
          <cell r="AF132">
            <v>224675</v>
          </cell>
          <cell r="AK132">
            <v>14170</v>
          </cell>
          <cell r="AL132">
            <v>9586</v>
          </cell>
        </row>
        <row r="133">
          <cell r="E133">
            <v>6467348</v>
          </cell>
          <cell r="G133">
            <v>518786</v>
          </cell>
          <cell r="K133">
            <v>1713881</v>
          </cell>
          <cell r="L133">
            <v>4162368</v>
          </cell>
          <cell r="M133">
            <v>4669</v>
          </cell>
          <cell r="N133">
            <v>5993</v>
          </cell>
          <cell r="P133">
            <v>174820</v>
          </cell>
          <cell r="R133">
            <v>293960</v>
          </cell>
          <cell r="W133">
            <v>220455</v>
          </cell>
          <cell r="AA133">
            <v>72484</v>
          </cell>
          <cell r="AD133">
            <v>15519</v>
          </cell>
          <cell r="AE133">
            <v>11044</v>
          </cell>
          <cell r="AF133">
            <v>259446</v>
          </cell>
          <cell r="AK133">
            <v>9573</v>
          </cell>
          <cell r="AL133">
            <v>10693</v>
          </cell>
        </row>
        <row r="134">
          <cell r="E134">
            <v>2980431</v>
          </cell>
          <cell r="G134">
            <v>324501</v>
          </cell>
          <cell r="K134">
            <v>1823073</v>
          </cell>
          <cell r="L134">
            <v>357412</v>
          </cell>
          <cell r="M134">
            <v>2700</v>
          </cell>
          <cell r="N134">
            <v>4043</v>
          </cell>
          <cell r="P134">
            <v>107521</v>
          </cell>
          <cell r="R134">
            <v>191481</v>
          </cell>
          <cell r="W134">
            <v>415669</v>
          </cell>
          <cell r="AA134">
            <v>82020</v>
          </cell>
          <cell r="AD134">
            <v>52978</v>
          </cell>
          <cell r="AE134">
            <v>5237</v>
          </cell>
          <cell r="AF134">
            <v>318683</v>
          </cell>
          <cell r="AK134">
            <v>10742</v>
          </cell>
          <cell r="AL134">
            <v>3897</v>
          </cell>
        </row>
        <row r="135">
          <cell r="E135">
            <v>2511539</v>
          </cell>
          <cell r="G135">
            <v>319218</v>
          </cell>
          <cell r="K135">
            <v>1697152</v>
          </cell>
          <cell r="L135">
            <v>318813</v>
          </cell>
          <cell r="M135">
            <v>3755</v>
          </cell>
          <cell r="N135">
            <v>6356</v>
          </cell>
          <cell r="P135">
            <v>109744</v>
          </cell>
          <cell r="R135">
            <v>185787</v>
          </cell>
          <cell r="W135">
            <v>330520</v>
          </cell>
          <cell r="AA135">
            <v>82186</v>
          </cell>
          <cell r="AD135">
            <v>26868</v>
          </cell>
          <cell r="AE135">
            <v>7641</v>
          </cell>
          <cell r="AF135">
            <v>205130</v>
          </cell>
          <cell r="AK135">
            <v>4399</v>
          </cell>
          <cell r="AL135">
            <v>2369</v>
          </cell>
        </row>
        <row r="136">
          <cell r="E136">
            <v>3850688</v>
          </cell>
          <cell r="G136">
            <v>411421</v>
          </cell>
          <cell r="K136">
            <v>1976975</v>
          </cell>
          <cell r="L136">
            <v>963981</v>
          </cell>
          <cell r="M136">
            <v>2948</v>
          </cell>
          <cell r="N136">
            <v>6691</v>
          </cell>
          <cell r="P136">
            <v>170223</v>
          </cell>
          <cell r="R136">
            <v>206836</v>
          </cell>
          <cell r="W136">
            <v>496109</v>
          </cell>
          <cell r="AA136">
            <v>89749</v>
          </cell>
          <cell r="AD136">
            <v>17506</v>
          </cell>
          <cell r="AE136">
            <v>178190</v>
          </cell>
          <cell r="AF136">
            <v>524944</v>
          </cell>
          <cell r="AK136">
            <v>38385</v>
          </cell>
          <cell r="AL136">
            <v>18376</v>
          </cell>
        </row>
        <row r="137">
          <cell r="E137">
            <v>2161637</v>
          </cell>
          <cell r="G137">
            <v>434839</v>
          </cell>
          <cell r="K137">
            <v>1114615</v>
          </cell>
          <cell r="L137">
            <v>459121</v>
          </cell>
          <cell r="M137">
            <v>4773</v>
          </cell>
          <cell r="N137">
            <v>6948</v>
          </cell>
          <cell r="P137">
            <v>163984</v>
          </cell>
          <cell r="R137">
            <v>234924</v>
          </cell>
          <cell r="W137">
            <v>435399</v>
          </cell>
          <cell r="AA137">
            <v>94595</v>
          </cell>
          <cell r="AD137">
            <v>67128</v>
          </cell>
          <cell r="AE137">
            <v>12030</v>
          </cell>
          <cell r="AF137">
            <v>476038</v>
          </cell>
          <cell r="AK137">
            <v>20271</v>
          </cell>
          <cell r="AL137">
            <v>7807</v>
          </cell>
        </row>
        <row r="138">
          <cell r="E138">
            <v>4827728</v>
          </cell>
          <cell r="G138">
            <v>578291</v>
          </cell>
          <cell r="K138">
            <v>46445</v>
          </cell>
          <cell r="L138">
            <v>3667396</v>
          </cell>
          <cell r="M138">
            <v>3134</v>
          </cell>
          <cell r="N138">
            <v>7541</v>
          </cell>
          <cell r="P138">
            <v>253847</v>
          </cell>
          <cell r="R138">
            <v>273294</v>
          </cell>
          <cell r="W138">
            <v>697459</v>
          </cell>
          <cell r="AA138">
            <v>153976</v>
          </cell>
          <cell r="AD138">
            <v>20628</v>
          </cell>
          <cell r="AE138">
            <v>36823</v>
          </cell>
          <cell r="AF138">
            <v>220649</v>
          </cell>
          <cell r="AK138">
            <v>26896</v>
          </cell>
          <cell r="AL138">
            <v>12567</v>
          </cell>
        </row>
        <row r="139">
          <cell r="E139">
            <v>4161022</v>
          </cell>
          <cell r="G139">
            <v>494577</v>
          </cell>
          <cell r="K139">
            <v>1745188</v>
          </cell>
          <cell r="L139">
            <v>1697254</v>
          </cell>
          <cell r="M139">
            <v>4807</v>
          </cell>
          <cell r="N139">
            <v>8398</v>
          </cell>
          <cell r="P139">
            <v>205401</v>
          </cell>
          <cell r="R139">
            <v>243270</v>
          </cell>
          <cell r="W139">
            <v>332723</v>
          </cell>
          <cell r="AA139">
            <v>64287</v>
          </cell>
          <cell r="AD139">
            <v>18935</v>
          </cell>
          <cell r="AE139">
            <v>4980</v>
          </cell>
          <cell r="AF139">
            <v>251961</v>
          </cell>
          <cell r="AK139">
            <v>22109</v>
          </cell>
          <cell r="AL139">
            <v>7063</v>
          </cell>
        </row>
        <row r="140">
          <cell r="E140">
            <v>3698583</v>
          </cell>
          <cell r="G140">
            <v>501423</v>
          </cell>
          <cell r="K140">
            <v>1828844</v>
          </cell>
          <cell r="L140">
            <v>1011916</v>
          </cell>
          <cell r="M140">
            <v>12534</v>
          </cell>
          <cell r="N140">
            <v>4391</v>
          </cell>
          <cell r="P140">
            <v>185425</v>
          </cell>
          <cell r="R140">
            <v>277645</v>
          </cell>
          <cell r="W140">
            <v>397070</v>
          </cell>
          <cell r="AA140">
            <v>74064</v>
          </cell>
          <cell r="AD140">
            <v>270276</v>
          </cell>
          <cell r="AE140">
            <v>24123</v>
          </cell>
          <cell r="AF140">
            <v>422353</v>
          </cell>
          <cell r="AK140">
            <v>15959</v>
          </cell>
          <cell r="AL140">
            <v>10020</v>
          </cell>
        </row>
        <row r="141">
          <cell r="E141">
            <v>3669887</v>
          </cell>
          <cell r="G141">
            <v>360502</v>
          </cell>
          <cell r="K141">
            <v>2142290</v>
          </cell>
          <cell r="L141">
            <v>683404</v>
          </cell>
          <cell r="M141">
            <v>5262</v>
          </cell>
          <cell r="N141">
            <v>5678</v>
          </cell>
          <cell r="P141">
            <v>127469</v>
          </cell>
          <cell r="R141">
            <v>200893</v>
          </cell>
          <cell r="W141">
            <v>337787</v>
          </cell>
          <cell r="AA141">
            <v>78886</v>
          </cell>
          <cell r="AD141">
            <v>111644</v>
          </cell>
          <cell r="AE141">
            <v>61917</v>
          </cell>
          <cell r="AF141">
            <v>217261</v>
          </cell>
          <cell r="AK141">
            <v>15670</v>
          </cell>
          <cell r="AL141">
            <v>19566</v>
          </cell>
        </row>
        <row r="142">
          <cell r="E142">
            <v>3359647</v>
          </cell>
          <cell r="G142">
            <v>594975</v>
          </cell>
          <cell r="K142">
            <v>1912611</v>
          </cell>
          <cell r="L142">
            <v>476583</v>
          </cell>
          <cell r="M142">
            <v>7819</v>
          </cell>
          <cell r="N142">
            <v>8122</v>
          </cell>
          <cell r="P142">
            <v>243999</v>
          </cell>
          <cell r="R142">
            <v>293432</v>
          </cell>
          <cell r="W142">
            <v>460360</v>
          </cell>
          <cell r="AA142">
            <v>76159</v>
          </cell>
          <cell r="AD142">
            <v>32214</v>
          </cell>
          <cell r="AE142">
            <v>11137</v>
          </cell>
          <cell r="AF142">
            <v>939254</v>
          </cell>
          <cell r="AK142">
            <v>13534</v>
          </cell>
          <cell r="AL142">
            <v>9767</v>
          </cell>
        </row>
        <row r="143">
          <cell r="E143">
            <v>3314690</v>
          </cell>
          <cell r="G143">
            <v>443316</v>
          </cell>
          <cell r="K143">
            <v>2081913</v>
          </cell>
          <cell r="L143">
            <v>518197</v>
          </cell>
          <cell r="M143">
            <v>3463</v>
          </cell>
          <cell r="N143">
            <v>7810</v>
          </cell>
          <cell r="P143">
            <v>152501</v>
          </cell>
          <cell r="R143">
            <v>245167</v>
          </cell>
          <cell r="W143">
            <v>414895</v>
          </cell>
          <cell r="AA143">
            <v>68031</v>
          </cell>
          <cell r="AD143">
            <v>55636</v>
          </cell>
          <cell r="AE143">
            <v>6056</v>
          </cell>
          <cell r="AF143">
            <v>184293</v>
          </cell>
          <cell r="AK143">
            <v>25311</v>
          </cell>
          <cell r="AL143">
            <v>14503</v>
          </cell>
        </row>
        <row r="144">
          <cell r="E144">
            <v>3718236</v>
          </cell>
          <cell r="G144">
            <v>549396</v>
          </cell>
          <cell r="K144">
            <v>2121900</v>
          </cell>
          <cell r="L144">
            <v>568290</v>
          </cell>
          <cell r="M144">
            <v>3611</v>
          </cell>
          <cell r="N144">
            <v>7329</v>
          </cell>
          <cell r="P144">
            <v>204936</v>
          </cell>
          <cell r="R144">
            <v>299869</v>
          </cell>
          <cell r="W144">
            <v>440838</v>
          </cell>
          <cell r="AA144">
            <v>75923</v>
          </cell>
          <cell r="AD144">
            <v>35686</v>
          </cell>
          <cell r="AE144">
            <v>13315</v>
          </cell>
          <cell r="AF144">
            <v>244378</v>
          </cell>
          <cell r="AK144">
            <v>28193</v>
          </cell>
          <cell r="AL144">
            <v>19392</v>
          </cell>
        </row>
        <row r="145">
          <cell r="E145">
            <v>3590293</v>
          </cell>
          <cell r="G145">
            <v>586274</v>
          </cell>
          <cell r="K145">
            <v>2062696</v>
          </cell>
          <cell r="L145">
            <v>816099</v>
          </cell>
          <cell r="M145">
            <v>8598</v>
          </cell>
          <cell r="N145">
            <v>5067</v>
          </cell>
          <cell r="P145">
            <v>220386</v>
          </cell>
          <cell r="R145">
            <v>307119</v>
          </cell>
          <cell r="W145">
            <v>386509</v>
          </cell>
          <cell r="AA145">
            <v>66883</v>
          </cell>
          <cell r="AD145">
            <v>11812</v>
          </cell>
          <cell r="AE145">
            <v>5583</v>
          </cell>
          <cell r="AF145">
            <v>280758</v>
          </cell>
          <cell r="AK145">
            <v>11511</v>
          </cell>
          <cell r="AL145">
            <v>11243</v>
          </cell>
        </row>
        <row r="146">
          <cell r="E146">
            <v>3228264</v>
          </cell>
          <cell r="G146">
            <v>518059</v>
          </cell>
          <cell r="K146">
            <v>1933034</v>
          </cell>
          <cell r="L146">
            <v>371869</v>
          </cell>
          <cell r="M146">
            <v>3427</v>
          </cell>
          <cell r="N146">
            <v>6160</v>
          </cell>
          <cell r="P146">
            <v>168528</v>
          </cell>
          <cell r="R146">
            <v>316223</v>
          </cell>
          <cell r="W146">
            <v>394046</v>
          </cell>
          <cell r="AA146">
            <v>80484</v>
          </cell>
          <cell r="AD146">
            <v>74315</v>
          </cell>
          <cell r="AE146">
            <v>10002</v>
          </cell>
          <cell r="AF146">
            <v>187426</v>
          </cell>
          <cell r="AK146">
            <v>7407</v>
          </cell>
          <cell r="AL146">
            <v>6124</v>
          </cell>
        </row>
        <row r="147">
          <cell r="E147">
            <v>3037559</v>
          </cell>
          <cell r="G147">
            <v>468273</v>
          </cell>
          <cell r="K147">
            <v>2057115</v>
          </cell>
          <cell r="L147">
            <v>362859</v>
          </cell>
          <cell r="M147">
            <v>5941</v>
          </cell>
          <cell r="N147">
            <v>4795</v>
          </cell>
          <cell r="P147">
            <v>206438</v>
          </cell>
          <cell r="R147">
            <v>242058</v>
          </cell>
          <cell r="W147">
            <v>436836</v>
          </cell>
          <cell r="AA147">
            <v>72459</v>
          </cell>
          <cell r="AD147">
            <v>26834</v>
          </cell>
          <cell r="AE147">
            <v>7507</v>
          </cell>
          <cell r="AF147">
            <v>255940</v>
          </cell>
          <cell r="AK147">
            <v>10740</v>
          </cell>
          <cell r="AL147">
            <v>5707</v>
          </cell>
        </row>
        <row r="148">
          <cell r="E148">
            <v>3224871</v>
          </cell>
          <cell r="G148">
            <v>452524</v>
          </cell>
          <cell r="K148">
            <v>1749722</v>
          </cell>
          <cell r="L148">
            <v>517690</v>
          </cell>
          <cell r="M148">
            <v>5362</v>
          </cell>
          <cell r="N148">
            <v>3182</v>
          </cell>
          <cell r="P148">
            <v>199312</v>
          </cell>
          <cell r="R148">
            <v>230229</v>
          </cell>
          <cell r="W148">
            <v>433089</v>
          </cell>
          <cell r="AA148">
            <v>79195</v>
          </cell>
          <cell r="AD148">
            <v>9891</v>
          </cell>
          <cell r="AE148">
            <v>7716</v>
          </cell>
          <cell r="AF148">
            <v>516861</v>
          </cell>
          <cell r="AK148">
            <v>8125</v>
          </cell>
          <cell r="AL148">
            <v>3444</v>
          </cell>
        </row>
        <row r="149">
          <cell r="E149">
            <v>2270409</v>
          </cell>
          <cell r="G149">
            <v>558904</v>
          </cell>
          <cell r="K149">
            <v>1193689</v>
          </cell>
          <cell r="L149">
            <v>459159</v>
          </cell>
          <cell r="M149">
            <v>3564</v>
          </cell>
          <cell r="N149">
            <v>3744</v>
          </cell>
          <cell r="P149">
            <v>239294</v>
          </cell>
          <cell r="R149">
            <v>301800</v>
          </cell>
          <cell r="W149">
            <v>520440</v>
          </cell>
          <cell r="AA149">
            <v>83973</v>
          </cell>
          <cell r="AD149">
            <v>60485</v>
          </cell>
          <cell r="AE149">
            <v>6146</v>
          </cell>
          <cell r="AF149">
            <v>577452</v>
          </cell>
          <cell r="AK149">
            <v>9494</v>
          </cell>
          <cell r="AL149">
            <v>17113</v>
          </cell>
        </row>
        <row r="150">
          <cell r="E150">
            <v>3541477</v>
          </cell>
          <cell r="G150">
            <v>611741</v>
          </cell>
          <cell r="K150">
            <v>39586</v>
          </cell>
          <cell r="L150">
            <v>2412591</v>
          </cell>
          <cell r="M150">
            <v>2854</v>
          </cell>
          <cell r="N150">
            <v>3252</v>
          </cell>
          <cell r="P150">
            <v>253141</v>
          </cell>
          <cell r="R150">
            <v>335510</v>
          </cell>
          <cell r="W150">
            <v>751793</v>
          </cell>
          <cell r="AA150">
            <v>136981</v>
          </cell>
          <cell r="AD150">
            <v>24949</v>
          </cell>
          <cell r="AE150">
            <v>6364</v>
          </cell>
          <cell r="AF150">
            <v>367276</v>
          </cell>
          <cell r="AK150">
            <v>11669</v>
          </cell>
          <cell r="AL150">
            <v>8360</v>
          </cell>
        </row>
        <row r="151">
          <cell r="E151">
            <v>3758477</v>
          </cell>
          <cell r="G151">
            <v>477976</v>
          </cell>
          <cell r="K151">
            <v>1836971</v>
          </cell>
          <cell r="L151">
            <v>1212768</v>
          </cell>
          <cell r="M151">
            <v>5250</v>
          </cell>
          <cell r="N151">
            <v>5731</v>
          </cell>
          <cell r="P151">
            <v>193443</v>
          </cell>
          <cell r="R151">
            <v>264245</v>
          </cell>
          <cell r="W151">
            <v>432005</v>
          </cell>
          <cell r="AA151">
            <v>63013</v>
          </cell>
          <cell r="AD151">
            <v>23531</v>
          </cell>
          <cell r="AE151">
            <v>10575</v>
          </cell>
          <cell r="AF151">
            <v>275360</v>
          </cell>
          <cell r="AK151">
            <v>10079</v>
          </cell>
          <cell r="AL151">
            <v>6001</v>
          </cell>
        </row>
        <row r="152">
          <cell r="E152">
            <v>3290740</v>
          </cell>
          <cell r="G152">
            <v>443441</v>
          </cell>
          <cell r="K152">
            <v>1920957</v>
          </cell>
          <cell r="L152">
            <v>518830</v>
          </cell>
          <cell r="M152">
            <v>3274</v>
          </cell>
          <cell r="N152">
            <v>3789</v>
          </cell>
          <cell r="P152">
            <v>166685</v>
          </cell>
          <cell r="R152">
            <v>264747</v>
          </cell>
          <cell r="W152">
            <v>483686</v>
          </cell>
          <cell r="AA152">
            <v>65760</v>
          </cell>
          <cell r="AD152">
            <v>26315</v>
          </cell>
          <cell r="AE152">
            <v>10613</v>
          </cell>
          <cell r="AF152">
            <v>319197</v>
          </cell>
          <cell r="AK152">
            <v>8014</v>
          </cell>
          <cell r="AL152">
            <v>10805</v>
          </cell>
        </row>
        <row r="153">
          <cell r="E153">
            <v>3294217</v>
          </cell>
          <cell r="G153">
            <v>460359</v>
          </cell>
          <cell r="K153">
            <v>1867678</v>
          </cell>
          <cell r="L153">
            <v>737386</v>
          </cell>
          <cell r="M153">
            <v>3709</v>
          </cell>
          <cell r="N153">
            <v>6114</v>
          </cell>
          <cell r="P153">
            <v>190967</v>
          </cell>
          <cell r="R153">
            <v>256135</v>
          </cell>
          <cell r="W153">
            <v>469230</v>
          </cell>
          <cell r="AA153">
            <v>64992</v>
          </cell>
          <cell r="AD153">
            <v>33895</v>
          </cell>
          <cell r="AE153">
            <v>15536</v>
          </cell>
          <cell r="AF153">
            <v>252089</v>
          </cell>
          <cell r="AK153">
            <v>3218</v>
          </cell>
          <cell r="AL153">
            <v>2218</v>
          </cell>
        </row>
        <row r="154">
          <cell r="E154">
            <v>3341978</v>
          </cell>
          <cell r="G154">
            <v>519568</v>
          </cell>
          <cell r="K154">
            <v>1813098</v>
          </cell>
          <cell r="L154">
            <v>608423</v>
          </cell>
          <cell r="M154">
            <v>12811</v>
          </cell>
          <cell r="N154">
            <v>6652</v>
          </cell>
          <cell r="P154">
            <v>241273</v>
          </cell>
          <cell r="R154">
            <v>268746</v>
          </cell>
          <cell r="W154">
            <v>536704</v>
          </cell>
          <cell r="AA154">
            <v>64820</v>
          </cell>
          <cell r="AD154">
            <v>163977</v>
          </cell>
          <cell r="AE154">
            <v>30978</v>
          </cell>
          <cell r="AF154">
            <v>397323</v>
          </cell>
          <cell r="AK154">
            <v>16936</v>
          </cell>
          <cell r="AL154">
            <v>17726</v>
          </cell>
        </row>
        <row r="155">
          <cell r="E155">
            <v>2980509</v>
          </cell>
          <cell r="G155">
            <v>463493</v>
          </cell>
          <cell r="K155">
            <v>1843832</v>
          </cell>
          <cell r="L155">
            <v>497857</v>
          </cell>
          <cell r="M155">
            <v>6622</v>
          </cell>
          <cell r="N155">
            <v>4854</v>
          </cell>
          <cell r="P155">
            <v>217364</v>
          </cell>
          <cell r="R155">
            <v>235930</v>
          </cell>
          <cell r="W155">
            <v>503691</v>
          </cell>
          <cell r="AA155">
            <v>76878</v>
          </cell>
          <cell r="AD155">
            <v>31286</v>
          </cell>
          <cell r="AE155">
            <v>27037</v>
          </cell>
          <cell r="AF155">
            <v>851220</v>
          </cell>
          <cell r="AK155">
            <v>10098</v>
          </cell>
          <cell r="AL155">
            <v>6229</v>
          </cell>
        </row>
        <row r="156">
          <cell r="E156">
            <v>3286405</v>
          </cell>
          <cell r="G156">
            <v>625380</v>
          </cell>
          <cell r="K156">
            <v>1675675</v>
          </cell>
          <cell r="L156">
            <v>570177</v>
          </cell>
          <cell r="M156">
            <v>8721</v>
          </cell>
          <cell r="N156">
            <v>7048</v>
          </cell>
          <cell r="P156">
            <v>307209</v>
          </cell>
          <cell r="R156">
            <v>304217</v>
          </cell>
          <cell r="W156">
            <v>333543</v>
          </cell>
          <cell r="AA156">
            <v>81260</v>
          </cell>
          <cell r="AD156">
            <v>214685</v>
          </cell>
          <cell r="AE156">
            <v>20954</v>
          </cell>
          <cell r="AF156">
            <v>410303</v>
          </cell>
          <cell r="AK156">
            <v>18583</v>
          </cell>
          <cell r="AL156">
            <v>5954</v>
          </cell>
        </row>
        <row r="157">
          <cell r="E157">
            <v>3114685</v>
          </cell>
          <cell r="G157">
            <v>507148</v>
          </cell>
          <cell r="K157">
            <v>1767523</v>
          </cell>
          <cell r="L157">
            <v>732019</v>
          </cell>
          <cell r="M157">
            <v>4360</v>
          </cell>
          <cell r="N157">
            <v>6643</v>
          </cell>
          <cell r="P157">
            <v>195368</v>
          </cell>
          <cell r="R157">
            <v>302839</v>
          </cell>
          <cell r="W157">
            <v>289141</v>
          </cell>
          <cell r="AA157">
            <v>85449</v>
          </cell>
          <cell r="AD157">
            <v>171912</v>
          </cell>
          <cell r="AE157">
            <v>9228</v>
          </cell>
          <cell r="AF157">
            <v>602921</v>
          </cell>
          <cell r="AK157">
            <v>28812</v>
          </cell>
          <cell r="AL157">
            <v>7569</v>
          </cell>
        </row>
        <row r="158">
          <cell r="E158">
            <v>3272468</v>
          </cell>
          <cell r="G158">
            <v>455073</v>
          </cell>
          <cell r="K158">
            <v>1695377</v>
          </cell>
          <cell r="L158">
            <v>622367</v>
          </cell>
          <cell r="M158">
            <v>3468</v>
          </cell>
          <cell r="N158">
            <v>3484</v>
          </cell>
          <cell r="P158">
            <v>192116</v>
          </cell>
          <cell r="R158">
            <v>254174</v>
          </cell>
          <cell r="W158">
            <v>334316</v>
          </cell>
          <cell r="AA158">
            <v>87711</v>
          </cell>
          <cell r="AD158">
            <v>71543</v>
          </cell>
          <cell r="AE158">
            <v>22284</v>
          </cell>
          <cell r="AF158">
            <v>438113</v>
          </cell>
          <cell r="AK158">
            <v>13779</v>
          </cell>
          <cell r="AL158">
            <v>8427</v>
          </cell>
        </row>
        <row r="159">
          <cell r="E159">
            <v>2504583</v>
          </cell>
          <cell r="G159">
            <v>383638</v>
          </cell>
          <cell r="K159">
            <v>1508440</v>
          </cell>
          <cell r="L159">
            <v>365144</v>
          </cell>
          <cell r="M159">
            <v>5251</v>
          </cell>
          <cell r="N159">
            <v>3710</v>
          </cell>
          <cell r="P159">
            <v>162378</v>
          </cell>
          <cell r="R159">
            <v>197920</v>
          </cell>
          <cell r="W159">
            <v>282512</v>
          </cell>
          <cell r="AA159">
            <v>77219</v>
          </cell>
          <cell r="AD159">
            <v>215340</v>
          </cell>
          <cell r="AE159">
            <v>10021</v>
          </cell>
          <cell r="AF159">
            <v>197540</v>
          </cell>
          <cell r="AK159">
            <v>8539</v>
          </cell>
          <cell r="AL159">
            <v>3883</v>
          </cell>
        </row>
        <row r="160">
          <cell r="E160">
            <v>2624931</v>
          </cell>
          <cell r="G160">
            <v>480998</v>
          </cell>
          <cell r="K160">
            <v>1306465</v>
          </cell>
          <cell r="L160">
            <v>452341</v>
          </cell>
          <cell r="M160">
            <v>6254</v>
          </cell>
          <cell r="N160">
            <v>3153</v>
          </cell>
          <cell r="P160">
            <v>214660</v>
          </cell>
          <cell r="R160">
            <v>259857</v>
          </cell>
          <cell r="W160">
            <v>306516</v>
          </cell>
          <cell r="AA160">
            <v>92613</v>
          </cell>
          <cell r="AD160">
            <v>142002</v>
          </cell>
          <cell r="AE160">
            <v>16808</v>
          </cell>
          <cell r="AF160">
            <v>435817</v>
          </cell>
          <cell r="AK160">
            <v>13885</v>
          </cell>
          <cell r="AL160">
            <v>5021</v>
          </cell>
        </row>
        <row r="161">
          <cell r="E161">
            <v>2164642</v>
          </cell>
          <cell r="G161">
            <v>402207</v>
          </cell>
          <cell r="K161">
            <v>1119466</v>
          </cell>
          <cell r="L161">
            <v>455511</v>
          </cell>
          <cell r="M161">
            <v>6820</v>
          </cell>
          <cell r="N161">
            <v>2827</v>
          </cell>
          <cell r="P161">
            <v>182980</v>
          </cell>
          <cell r="R161">
            <v>211704</v>
          </cell>
          <cell r="W161">
            <v>290028</v>
          </cell>
          <cell r="AA161">
            <v>87248</v>
          </cell>
          <cell r="AD161">
            <v>279108</v>
          </cell>
          <cell r="AE161">
            <v>70373</v>
          </cell>
          <cell r="AF161">
            <v>762567</v>
          </cell>
          <cell r="AK161">
            <v>15491</v>
          </cell>
          <cell r="AL161">
            <v>6519</v>
          </cell>
        </row>
        <row r="162">
          <cell r="E162">
            <v>3064462</v>
          </cell>
          <cell r="G162">
            <v>322836</v>
          </cell>
          <cell r="K162">
            <v>49851</v>
          </cell>
          <cell r="L162">
            <v>2035325</v>
          </cell>
          <cell r="M162">
            <v>14595</v>
          </cell>
          <cell r="N162">
            <v>3493</v>
          </cell>
          <cell r="P162">
            <v>128129</v>
          </cell>
          <cell r="R162">
            <v>189385</v>
          </cell>
          <cell r="W162">
            <v>412641</v>
          </cell>
          <cell r="AA162">
            <v>146306</v>
          </cell>
          <cell r="AD162">
            <v>488005</v>
          </cell>
          <cell r="AE162">
            <v>64643</v>
          </cell>
          <cell r="AF162">
            <v>565489</v>
          </cell>
          <cell r="AK162">
            <v>23614</v>
          </cell>
          <cell r="AL162">
            <v>7763</v>
          </cell>
        </row>
        <row r="163">
          <cell r="E163">
            <v>2739110</v>
          </cell>
          <cell r="G163">
            <v>340247</v>
          </cell>
          <cell r="K163">
            <v>1408093</v>
          </cell>
          <cell r="L163">
            <v>677775</v>
          </cell>
          <cell r="M163">
            <v>2992</v>
          </cell>
          <cell r="N163">
            <v>5406</v>
          </cell>
          <cell r="P163">
            <v>161598</v>
          </cell>
          <cell r="R163">
            <v>174363</v>
          </cell>
          <cell r="W163">
            <v>290766</v>
          </cell>
          <cell r="AA163">
            <v>65316</v>
          </cell>
          <cell r="AD163">
            <v>61283</v>
          </cell>
          <cell r="AE163">
            <v>11734</v>
          </cell>
          <cell r="AF163">
            <v>531742</v>
          </cell>
          <cell r="AK163">
            <v>14085</v>
          </cell>
          <cell r="AL163">
            <v>7049</v>
          </cell>
        </row>
        <row r="164">
          <cell r="E164">
            <v>3080106</v>
          </cell>
          <cell r="G164">
            <v>329082</v>
          </cell>
          <cell r="K164">
            <v>1463267</v>
          </cell>
          <cell r="L164">
            <v>656780</v>
          </cell>
          <cell r="M164">
            <v>4640</v>
          </cell>
          <cell r="N164">
            <v>2837</v>
          </cell>
          <cell r="P164">
            <v>145916</v>
          </cell>
          <cell r="R164">
            <v>179577</v>
          </cell>
          <cell r="W164">
            <v>327045</v>
          </cell>
          <cell r="AA164">
            <v>69859</v>
          </cell>
          <cell r="AD164">
            <v>107632</v>
          </cell>
          <cell r="AE164">
            <v>6112</v>
          </cell>
          <cell r="AF164">
            <v>1049424</v>
          </cell>
          <cell r="AK164">
            <v>28757</v>
          </cell>
          <cell r="AL164">
            <v>8719</v>
          </cell>
        </row>
        <row r="165">
          <cell r="E165">
            <v>4126392</v>
          </cell>
          <cell r="G165">
            <v>391714</v>
          </cell>
          <cell r="K165">
            <v>3040602</v>
          </cell>
          <cell r="L165">
            <v>447846</v>
          </cell>
          <cell r="M165">
            <v>5404</v>
          </cell>
          <cell r="N165">
            <v>3259</v>
          </cell>
          <cell r="P165">
            <v>175770</v>
          </cell>
          <cell r="R165">
            <v>211412</v>
          </cell>
          <cell r="W165">
            <v>334406</v>
          </cell>
          <cell r="AA165">
            <v>67325</v>
          </cell>
          <cell r="AD165">
            <v>107287</v>
          </cell>
          <cell r="AE165">
            <v>6273</v>
          </cell>
          <cell r="AF165">
            <v>1094389</v>
          </cell>
          <cell r="AK165">
            <v>14368</v>
          </cell>
          <cell r="AL165">
            <v>3212</v>
          </cell>
        </row>
        <row r="166">
          <cell r="E166">
            <v>2873073</v>
          </cell>
          <cell r="G166">
            <v>396362</v>
          </cell>
          <cell r="K166">
            <v>1495530</v>
          </cell>
          <cell r="L166">
            <v>486120</v>
          </cell>
          <cell r="M166">
            <v>9217</v>
          </cell>
          <cell r="N166">
            <v>6842</v>
          </cell>
          <cell r="P166">
            <v>174174</v>
          </cell>
          <cell r="R166">
            <v>221520</v>
          </cell>
          <cell r="W166">
            <v>402661</v>
          </cell>
          <cell r="AA166">
            <v>72997</v>
          </cell>
          <cell r="AD166">
            <v>106037</v>
          </cell>
          <cell r="AE166">
            <v>11040</v>
          </cell>
          <cell r="AF166">
            <v>622897</v>
          </cell>
          <cell r="AK166">
            <v>21059</v>
          </cell>
          <cell r="AL166">
            <v>11156</v>
          </cell>
        </row>
        <row r="167">
          <cell r="E167">
            <v>2607870</v>
          </cell>
          <cell r="G167">
            <v>379509</v>
          </cell>
          <cell r="K167">
            <v>1446723</v>
          </cell>
          <cell r="L167">
            <v>547488</v>
          </cell>
          <cell r="M167">
            <v>5665</v>
          </cell>
          <cell r="N167">
            <v>3247</v>
          </cell>
          <cell r="P167">
            <v>153758</v>
          </cell>
          <cell r="R167">
            <v>224193</v>
          </cell>
          <cell r="W167">
            <v>247873</v>
          </cell>
          <cell r="AA167">
            <v>75756</v>
          </cell>
          <cell r="AD167">
            <v>309662</v>
          </cell>
          <cell r="AE167">
            <v>6539</v>
          </cell>
          <cell r="AF167">
            <v>716481</v>
          </cell>
          <cell r="AK167">
            <v>25418</v>
          </cell>
          <cell r="AL167">
            <v>14635</v>
          </cell>
        </row>
        <row r="168">
          <cell r="E168">
            <v>3212367</v>
          </cell>
          <cell r="G168">
            <v>465039</v>
          </cell>
          <cell r="K168">
            <v>1758156</v>
          </cell>
          <cell r="L168">
            <v>515165</v>
          </cell>
          <cell r="M168">
            <v>17751</v>
          </cell>
          <cell r="N168">
            <v>8259</v>
          </cell>
          <cell r="P168">
            <v>181774</v>
          </cell>
          <cell r="R168">
            <v>273132</v>
          </cell>
          <cell r="W168">
            <v>376925</v>
          </cell>
          <cell r="AA168">
            <v>70274</v>
          </cell>
          <cell r="AD168">
            <v>154233</v>
          </cell>
          <cell r="AE168">
            <v>9711</v>
          </cell>
          <cell r="AF168">
            <v>852489</v>
          </cell>
          <cell r="AK168">
            <v>19220</v>
          </cell>
          <cell r="AL168">
            <v>7283</v>
          </cell>
        </row>
        <row r="169">
          <cell r="E169">
            <v>2730925</v>
          </cell>
          <cell r="G169">
            <v>446093</v>
          </cell>
          <cell r="K169">
            <v>1691904</v>
          </cell>
          <cell r="L169">
            <v>416976</v>
          </cell>
          <cell r="M169">
            <v>8378</v>
          </cell>
          <cell r="N169">
            <v>3357</v>
          </cell>
          <cell r="P169">
            <v>143740</v>
          </cell>
          <cell r="R169">
            <v>294880</v>
          </cell>
          <cell r="W169">
            <v>290926</v>
          </cell>
          <cell r="AA169">
            <v>66271</v>
          </cell>
          <cell r="AD169">
            <v>214471</v>
          </cell>
          <cell r="AE169">
            <v>4317</v>
          </cell>
          <cell r="AF169">
            <v>754259</v>
          </cell>
          <cell r="AK169">
            <v>15353</v>
          </cell>
          <cell r="AL169">
            <v>6668</v>
          </cell>
        </row>
        <row r="170">
          <cell r="E170">
            <v>3088958</v>
          </cell>
          <cell r="G170">
            <v>467266</v>
          </cell>
          <cell r="K170">
            <v>1711644</v>
          </cell>
          <cell r="L170">
            <v>488340</v>
          </cell>
          <cell r="M170">
            <v>7998</v>
          </cell>
          <cell r="N170">
            <v>4799</v>
          </cell>
          <cell r="P170">
            <v>175693</v>
          </cell>
          <cell r="R170">
            <v>284462</v>
          </cell>
          <cell r="W170">
            <v>305410</v>
          </cell>
          <cell r="AA170">
            <v>70322</v>
          </cell>
          <cell r="AD170">
            <v>64324</v>
          </cell>
          <cell r="AE170">
            <v>3837</v>
          </cell>
          <cell r="AF170">
            <v>341649</v>
          </cell>
          <cell r="AK170">
            <v>10688</v>
          </cell>
          <cell r="AL170">
            <v>5342</v>
          </cell>
        </row>
        <row r="171">
          <cell r="E171">
            <v>2848095</v>
          </cell>
          <cell r="G171">
            <v>474476</v>
          </cell>
          <cell r="K171">
            <v>1910039</v>
          </cell>
          <cell r="L171">
            <v>342607</v>
          </cell>
          <cell r="M171">
            <v>6112</v>
          </cell>
          <cell r="N171">
            <v>2027</v>
          </cell>
          <cell r="P171">
            <v>156296</v>
          </cell>
          <cell r="R171">
            <v>315743</v>
          </cell>
          <cell r="W171">
            <v>287649</v>
          </cell>
          <cell r="AA171">
            <v>69717</v>
          </cell>
          <cell r="AD171">
            <v>163386</v>
          </cell>
          <cell r="AE171">
            <v>6496</v>
          </cell>
          <cell r="AF171">
            <v>612433</v>
          </cell>
          <cell r="AK171">
            <v>13696</v>
          </cell>
          <cell r="AL171">
            <v>4670</v>
          </cell>
        </row>
        <row r="172">
          <cell r="E172">
            <v>3460986</v>
          </cell>
          <cell r="G172">
            <v>553701</v>
          </cell>
          <cell r="K172">
            <v>2157262</v>
          </cell>
          <cell r="L172">
            <v>449883</v>
          </cell>
          <cell r="M172">
            <v>7773</v>
          </cell>
          <cell r="N172">
            <v>1884</v>
          </cell>
          <cell r="P172">
            <v>226633</v>
          </cell>
          <cell r="R172">
            <v>321700</v>
          </cell>
          <cell r="W172">
            <v>298379</v>
          </cell>
          <cell r="AA172">
            <v>81944</v>
          </cell>
          <cell r="AD172">
            <v>246207</v>
          </cell>
          <cell r="AE172">
            <v>5759</v>
          </cell>
          <cell r="AF172">
            <v>497976</v>
          </cell>
          <cell r="AK172">
            <v>25861</v>
          </cell>
          <cell r="AL172">
            <v>15414</v>
          </cell>
        </row>
        <row r="173">
          <cell r="E173">
            <v>2633100</v>
          </cell>
          <cell r="G173">
            <v>509021</v>
          </cell>
          <cell r="K173">
            <v>1360495</v>
          </cell>
          <cell r="L173">
            <v>613816</v>
          </cell>
          <cell r="M173">
            <v>6881</v>
          </cell>
          <cell r="N173">
            <v>3568</v>
          </cell>
          <cell r="P173">
            <v>183272</v>
          </cell>
          <cell r="R173">
            <v>319532</v>
          </cell>
          <cell r="W173">
            <v>280405</v>
          </cell>
          <cell r="AA173">
            <v>77552</v>
          </cell>
          <cell r="AD173">
            <v>251109</v>
          </cell>
          <cell r="AE173">
            <v>4710</v>
          </cell>
          <cell r="AF173">
            <v>861962</v>
          </cell>
          <cell r="AK173">
            <v>11808</v>
          </cell>
          <cell r="AL173">
            <v>7005</v>
          </cell>
        </row>
        <row r="174">
          <cell r="E174">
            <v>3094531</v>
          </cell>
          <cell r="G174">
            <v>491277</v>
          </cell>
          <cell r="K174">
            <v>1228639</v>
          </cell>
          <cell r="L174">
            <v>2320670</v>
          </cell>
          <cell r="M174">
            <v>1490409</v>
          </cell>
          <cell r="N174">
            <v>1695</v>
          </cell>
          <cell r="P174">
            <v>175951</v>
          </cell>
          <cell r="R174">
            <v>312639</v>
          </cell>
          <cell r="W174">
            <v>502685</v>
          </cell>
          <cell r="AA174">
            <v>142321</v>
          </cell>
          <cell r="AD174">
            <v>664600</v>
          </cell>
          <cell r="AE174">
            <v>17688</v>
          </cell>
          <cell r="AF174">
            <v>562008</v>
          </cell>
          <cell r="AK174">
            <v>17770</v>
          </cell>
          <cell r="AL174">
            <v>9236</v>
          </cell>
        </row>
        <row r="175">
          <cell r="E175">
            <v>3237497</v>
          </cell>
          <cell r="G175">
            <v>468137</v>
          </cell>
          <cell r="K175">
            <v>1703418</v>
          </cell>
          <cell r="L175">
            <v>932455</v>
          </cell>
          <cell r="M175">
            <v>28381</v>
          </cell>
          <cell r="N175">
            <v>2085</v>
          </cell>
          <cell r="P175">
            <v>163548</v>
          </cell>
          <cell r="R175">
            <v>301872</v>
          </cell>
          <cell r="W175">
            <v>349509</v>
          </cell>
          <cell r="AA175">
            <v>65714</v>
          </cell>
          <cell r="AD175">
            <v>152631</v>
          </cell>
          <cell r="AE175">
            <v>163884</v>
          </cell>
          <cell r="AF175">
            <v>721106</v>
          </cell>
          <cell r="AK175">
            <v>12393</v>
          </cell>
          <cell r="AL175">
            <v>4516</v>
          </cell>
        </row>
        <row r="176">
          <cell r="E176">
            <v>3416417</v>
          </cell>
          <cell r="G176">
            <v>624626</v>
          </cell>
          <cell r="K176">
            <v>1847628</v>
          </cell>
          <cell r="L176">
            <v>685975</v>
          </cell>
          <cell r="M176">
            <v>6507</v>
          </cell>
          <cell r="N176">
            <v>4167</v>
          </cell>
          <cell r="P176">
            <v>198613</v>
          </cell>
          <cell r="R176">
            <v>422227</v>
          </cell>
          <cell r="W176">
            <v>279067</v>
          </cell>
          <cell r="AA176">
            <v>70328</v>
          </cell>
          <cell r="AD176">
            <v>173840</v>
          </cell>
          <cell r="AE176">
            <v>3898</v>
          </cell>
          <cell r="AF176">
            <v>855337</v>
          </cell>
          <cell r="AK176">
            <v>26609</v>
          </cell>
          <cell r="AL176">
            <v>13143</v>
          </cell>
        </row>
        <row r="177">
          <cell r="E177">
            <v>3196158</v>
          </cell>
          <cell r="G177">
            <v>471205</v>
          </cell>
          <cell r="K177">
            <v>2139577</v>
          </cell>
          <cell r="L177">
            <v>480874</v>
          </cell>
          <cell r="M177">
            <v>4800</v>
          </cell>
          <cell r="N177">
            <v>7472</v>
          </cell>
          <cell r="P177">
            <v>183327</v>
          </cell>
          <cell r="R177">
            <v>281838</v>
          </cell>
          <cell r="W177">
            <v>395696</v>
          </cell>
          <cell r="AA177">
            <v>67680</v>
          </cell>
          <cell r="AD177">
            <v>180127</v>
          </cell>
          <cell r="AE177">
            <v>35949</v>
          </cell>
          <cell r="AF177">
            <v>859588</v>
          </cell>
          <cell r="AK177">
            <v>18261</v>
          </cell>
          <cell r="AL177">
            <v>11580</v>
          </cell>
        </row>
        <row r="178">
          <cell r="E178">
            <v>3233481</v>
          </cell>
          <cell r="G178">
            <v>544302</v>
          </cell>
          <cell r="K178">
            <v>1981143</v>
          </cell>
          <cell r="L178">
            <v>436546</v>
          </cell>
          <cell r="M178">
            <v>60455</v>
          </cell>
          <cell r="N178">
            <v>2383</v>
          </cell>
          <cell r="P178">
            <v>217605</v>
          </cell>
          <cell r="R178">
            <v>321180</v>
          </cell>
          <cell r="W178">
            <v>478542</v>
          </cell>
          <cell r="AA178">
            <v>70913</v>
          </cell>
          <cell r="AD178">
            <v>286863</v>
          </cell>
          <cell r="AE178">
            <v>9936</v>
          </cell>
          <cell r="AF178">
            <v>288495</v>
          </cell>
          <cell r="AK178">
            <v>22571</v>
          </cell>
          <cell r="AL178">
            <v>9546</v>
          </cell>
        </row>
        <row r="179">
          <cell r="E179">
            <v>2806246</v>
          </cell>
          <cell r="G179">
            <v>591641</v>
          </cell>
          <cell r="K179">
            <v>1795045</v>
          </cell>
          <cell r="L179">
            <v>433351</v>
          </cell>
          <cell r="M179">
            <v>3183</v>
          </cell>
          <cell r="N179">
            <v>5057</v>
          </cell>
          <cell r="P179">
            <v>223354</v>
          </cell>
          <cell r="R179">
            <v>362287</v>
          </cell>
          <cell r="W179">
            <v>322263</v>
          </cell>
          <cell r="AA179">
            <v>67245</v>
          </cell>
          <cell r="AD179">
            <v>402101</v>
          </cell>
          <cell r="AE179">
            <v>4712</v>
          </cell>
          <cell r="AF179">
            <v>812982</v>
          </cell>
          <cell r="AK179">
            <v>14805</v>
          </cell>
          <cell r="AL179">
            <v>8270</v>
          </cell>
        </row>
        <row r="180">
          <cell r="E180">
            <v>3590185</v>
          </cell>
          <cell r="G180">
            <v>815838</v>
          </cell>
          <cell r="K180">
            <v>2063118</v>
          </cell>
          <cell r="L180">
            <v>577974</v>
          </cell>
          <cell r="M180">
            <v>4867</v>
          </cell>
          <cell r="N180">
            <v>8260</v>
          </cell>
          <cell r="P180">
            <v>431963</v>
          </cell>
          <cell r="R180">
            <v>376992</v>
          </cell>
          <cell r="W180">
            <v>388179</v>
          </cell>
          <cell r="AA180">
            <v>76183</v>
          </cell>
          <cell r="AD180">
            <v>504592</v>
          </cell>
          <cell r="AE180">
            <v>6720</v>
          </cell>
          <cell r="AF180">
            <v>832628</v>
          </cell>
          <cell r="AK180">
            <v>29364</v>
          </cell>
          <cell r="AL180">
            <v>11727</v>
          </cell>
        </row>
        <row r="181">
          <cell r="E181">
            <v>2981904</v>
          </cell>
          <cell r="G181">
            <v>667685</v>
          </cell>
          <cell r="K181">
            <v>1920876</v>
          </cell>
          <cell r="L181">
            <v>433712</v>
          </cell>
          <cell r="M181">
            <v>4472</v>
          </cell>
          <cell r="N181">
            <v>5384</v>
          </cell>
          <cell r="P181">
            <v>281764</v>
          </cell>
          <cell r="R181">
            <v>380326</v>
          </cell>
          <cell r="W181">
            <v>355222</v>
          </cell>
          <cell r="AA181">
            <v>70743</v>
          </cell>
          <cell r="AD181">
            <v>296463</v>
          </cell>
          <cell r="AE181">
            <v>53393</v>
          </cell>
          <cell r="AF181">
            <v>767031</v>
          </cell>
          <cell r="AK181">
            <v>21500</v>
          </cell>
          <cell r="AL181">
            <v>8278</v>
          </cell>
        </row>
        <row r="182">
          <cell r="E182">
            <v>3130785</v>
          </cell>
          <cell r="G182">
            <v>504788</v>
          </cell>
          <cell r="K182">
            <v>1925254</v>
          </cell>
          <cell r="L182">
            <v>377480</v>
          </cell>
          <cell r="M182">
            <v>8788</v>
          </cell>
          <cell r="N182">
            <v>2311</v>
          </cell>
          <cell r="P182">
            <v>198511</v>
          </cell>
          <cell r="R182">
            <v>304161</v>
          </cell>
          <cell r="W182">
            <v>339504</v>
          </cell>
          <cell r="AA182">
            <v>65888</v>
          </cell>
          <cell r="AD182">
            <v>323646</v>
          </cell>
          <cell r="AE182">
            <v>3706</v>
          </cell>
          <cell r="AF182">
            <v>474260</v>
          </cell>
          <cell r="AK182">
            <v>19333</v>
          </cell>
          <cell r="AL182">
            <v>6641</v>
          </cell>
        </row>
        <row r="183">
          <cell r="E183">
            <v>2897588</v>
          </cell>
          <cell r="G183">
            <v>569356</v>
          </cell>
          <cell r="K183">
            <v>1987068</v>
          </cell>
          <cell r="L183">
            <v>383794</v>
          </cell>
          <cell r="M183">
            <v>6505</v>
          </cell>
          <cell r="N183">
            <v>2412</v>
          </cell>
          <cell r="P183">
            <v>205981</v>
          </cell>
          <cell r="R183">
            <v>362922</v>
          </cell>
          <cell r="W183">
            <v>304572</v>
          </cell>
          <cell r="AA183">
            <v>75785</v>
          </cell>
          <cell r="AD183">
            <v>615344</v>
          </cell>
          <cell r="AE183">
            <v>4309</v>
          </cell>
          <cell r="AF183">
            <v>329803</v>
          </cell>
          <cell r="AK183">
            <v>28562</v>
          </cell>
          <cell r="AL183">
            <v>10810</v>
          </cell>
        </row>
        <row r="184">
          <cell r="E184">
            <v>3401276</v>
          </cell>
          <cell r="G184">
            <v>548807</v>
          </cell>
          <cell r="K184">
            <v>2135196</v>
          </cell>
          <cell r="L184">
            <v>338342</v>
          </cell>
          <cell r="M184">
            <v>4576</v>
          </cell>
          <cell r="N184">
            <v>7410</v>
          </cell>
          <cell r="P184">
            <v>199405</v>
          </cell>
          <cell r="R184">
            <v>337021</v>
          </cell>
          <cell r="W184">
            <v>402068</v>
          </cell>
          <cell r="AA184">
            <v>76158</v>
          </cell>
          <cell r="AD184">
            <v>253709</v>
          </cell>
          <cell r="AE184">
            <v>13134</v>
          </cell>
          <cell r="AF184">
            <v>388158</v>
          </cell>
          <cell r="AK184">
            <v>17706</v>
          </cell>
          <cell r="AL184">
            <v>7549</v>
          </cell>
        </row>
        <row r="185">
          <cell r="E185">
            <v>2893256</v>
          </cell>
          <cell r="G185">
            <v>638470</v>
          </cell>
          <cell r="K185">
            <v>1551812</v>
          </cell>
          <cell r="L185">
            <v>695359</v>
          </cell>
          <cell r="M185">
            <v>9012</v>
          </cell>
          <cell r="N185">
            <v>6550</v>
          </cell>
          <cell r="P185">
            <v>244475</v>
          </cell>
          <cell r="R185">
            <v>392716</v>
          </cell>
          <cell r="W185">
            <v>360711</v>
          </cell>
          <cell r="AA185">
            <v>78968</v>
          </cell>
          <cell r="AD185">
            <v>288419</v>
          </cell>
          <cell r="AE185">
            <v>7574</v>
          </cell>
          <cell r="AF185">
            <v>1010211</v>
          </cell>
          <cell r="AK185">
            <v>30021</v>
          </cell>
          <cell r="AL185">
            <v>10813</v>
          </cell>
        </row>
        <row r="186">
          <cell r="E186">
            <v>4281161</v>
          </cell>
          <cell r="G186">
            <v>699377</v>
          </cell>
          <cell r="K186">
            <v>31293</v>
          </cell>
          <cell r="L186">
            <v>3053839</v>
          </cell>
          <cell r="M186">
            <v>2988</v>
          </cell>
          <cell r="N186">
            <v>6836</v>
          </cell>
          <cell r="P186">
            <v>273714</v>
          </cell>
          <cell r="R186">
            <v>419020</v>
          </cell>
          <cell r="W186">
            <v>634871</v>
          </cell>
          <cell r="AA186">
            <v>141863</v>
          </cell>
          <cell r="AD186">
            <v>464696</v>
          </cell>
          <cell r="AE186">
            <v>4037</v>
          </cell>
          <cell r="AF186">
            <v>551139</v>
          </cell>
          <cell r="AK186">
            <v>13151</v>
          </cell>
          <cell r="AL186">
            <v>7428</v>
          </cell>
        </row>
        <row r="187">
          <cell r="E187">
            <v>4207686</v>
          </cell>
          <cell r="G187">
            <v>677040</v>
          </cell>
          <cell r="K187">
            <v>1912296</v>
          </cell>
          <cell r="L187">
            <v>1661253</v>
          </cell>
          <cell r="M187">
            <v>102472</v>
          </cell>
          <cell r="N187">
            <v>26267</v>
          </cell>
          <cell r="P187">
            <v>244861</v>
          </cell>
          <cell r="R187">
            <v>405081</v>
          </cell>
          <cell r="W187">
            <v>358397</v>
          </cell>
          <cell r="AA187">
            <v>66228</v>
          </cell>
          <cell r="AD187">
            <v>296940</v>
          </cell>
          <cell r="AE187">
            <v>6413</v>
          </cell>
          <cell r="AF187">
            <v>664986</v>
          </cell>
          <cell r="AK187">
            <v>16505</v>
          </cell>
          <cell r="AL187">
            <v>8353</v>
          </cell>
        </row>
        <row r="188">
          <cell r="E188">
            <v>3533656</v>
          </cell>
          <cell r="G188">
            <v>694934</v>
          </cell>
          <cell r="K188">
            <v>1922680</v>
          </cell>
          <cell r="L188">
            <v>720575</v>
          </cell>
          <cell r="M188">
            <v>6370</v>
          </cell>
          <cell r="N188">
            <v>3842</v>
          </cell>
          <cell r="P188">
            <v>321486</v>
          </cell>
          <cell r="R188">
            <v>367868</v>
          </cell>
          <cell r="W188">
            <v>336962</v>
          </cell>
          <cell r="AA188">
            <v>70194</v>
          </cell>
          <cell r="AD188">
            <v>132483</v>
          </cell>
          <cell r="AE188">
            <v>11453</v>
          </cell>
          <cell r="AF188">
            <v>677124</v>
          </cell>
          <cell r="AK188">
            <v>18159</v>
          </cell>
          <cell r="AL188">
            <v>8273</v>
          </cell>
        </row>
        <row r="189">
          <cell r="E189">
            <v>3403496</v>
          </cell>
          <cell r="G189">
            <v>613566</v>
          </cell>
          <cell r="K189">
            <v>2333572</v>
          </cell>
          <cell r="L189">
            <v>508592</v>
          </cell>
          <cell r="M189">
            <v>3256</v>
          </cell>
          <cell r="N189">
            <v>7102</v>
          </cell>
          <cell r="P189">
            <v>221431</v>
          </cell>
          <cell r="R189">
            <v>386262</v>
          </cell>
          <cell r="W189">
            <v>353946</v>
          </cell>
          <cell r="AA189">
            <v>70805</v>
          </cell>
          <cell r="AD189">
            <v>171769</v>
          </cell>
          <cell r="AE189">
            <v>3404</v>
          </cell>
          <cell r="AF189">
            <v>562358</v>
          </cell>
          <cell r="AK189">
            <v>15607</v>
          </cell>
          <cell r="AL189">
            <v>11813</v>
          </cell>
        </row>
        <row r="190">
          <cell r="E190">
            <v>3617011</v>
          </cell>
          <cell r="G190">
            <v>756918</v>
          </cell>
          <cell r="K190">
            <v>2139535</v>
          </cell>
          <cell r="L190">
            <v>587004</v>
          </cell>
          <cell r="M190">
            <v>6542</v>
          </cell>
          <cell r="N190">
            <v>5088</v>
          </cell>
          <cell r="P190">
            <v>348888</v>
          </cell>
          <cell r="R190">
            <v>403646</v>
          </cell>
          <cell r="W190">
            <v>433497</v>
          </cell>
          <cell r="AA190">
            <v>70581</v>
          </cell>
          <cell r="AD190">
            <v>308480</v>
          </cell>
          <cell r="AE190">
            <v>3724</v>
          </cell>
          <cell r="AF190">
            <v>325417</v>
          </cell>
          <cell r="AK190">
            <v>21142</v>
          </cell>
          <cell r="AL190">
            <v>10710</v>
          </cell>
        </row>
        <row r="191">
          <cell r="E191">
            <v>3315184</v>
          </cell>
          <cell r="G191">
            <v>722379</v>
          </cell>
          <cell r="K191">
            <v>2310490</v>
          </cell>
          <cell r="L191">
            <v>447186</v>
          </cell>
          <cell r="M191">
            <v>3666</v>
          </cell>
          <cell r="N191">
            <v>4917</v>
          </cell>
          <cell r="P191">
            <v>328020</v>
          </cell>
          <cell r="R191">
            <v>387001</v>
          </cell>
          <cell r="W191">
            <v>315880</v>
          </cell>
          <cell r="AA191">
            <v>65881</v>
          </cell>
          <cell r="AD191">
            <v>341339</v>
          </cell>
          <cell r="AE191">
            <v>5129</v>
          </cell>
          <cell r="AF191">
            <v>724442</v>
          </cell>
          <cell r="AK191">
            <v>12490</v>
          </cell>
          <cell r="AL191">
            <v>8847</v>
          </cell>
        </row>
        <row r="192">
          <cell r="E192">
            <v>3739299</v>
          </cell>
          <cell r="G192">
            <v>763230</v>
          </cell>
          <cell r="K192">
            <v>2066369</v>
          </cell>
          <cell r="L192">
            <v>405404</v>
          </cell>
          <cell r="M192">
            <v>3683</v>
          </cell>
          <cell r="N192">
            <v>8375</v>
          </cell>
          <cell r="P192">
            <v>347979</v>
          </cell>
          <cell r="R192">
            <v>406721</v>
          </cell>
          <cell r="W192">
            <v>359140</v>
          </cell>
          <cell r="AA192">
            <v>75106</v>
          </cell>
          <cell r="AD192">
            <v>289684</v>
          </cell>
          <cell r="AE192">
            <v>15827</v>
          </cell>
          <cell r="AF192">
            <v>386792</v>
          </cell>
          <cell r="AK192">
            <v>29081</v>
          </cell>
          <cell r="AL192">
            <v>10538</v>
          </cell>
        </row>
        <row r="193">
          <cell r="E193">
            <v>3143461</v>
          </cell>
          <cell r="G193">
            <v>698976</v>
          </cell>
          <cell r="K193">
            <v>2069540</v>
          </cell>
          <cell r="L193">
            <v>454206</v>
          </cell>
          <cell r="M193">
            <v>4310</v>
          </cell>
          <cell r="N193">
            <v>7880</v>
          </cell>
          <cell r="P193">
            <v>333944</v>
          </cell>
          <cell r="R193">
            <v>358023</v>
          </cell>
          <cell r="W193">
            <v>308036</v>
          </cell>
          <cell r="AA193">
            <v>77618</v>
          </cell>
          <cell r="AD193">
            <v>326701</v>
          </cell>
          <cell r="AE193">
            <v>31467</v>
          </cell>
          <cell r="AF193">
            <v>405187</v>
          </cell>
          <cell r="AK193">
            <v>33274</v>
          </cell>
          <cell r="AL193">
            <v>16814</v>
          </cell>
        </row>
        <row r="194">
          <cell r="E194">
            <v>3287247</v>
          </cell>
          <cell r="G194">
            <v>548133</v>
          </cell>
          <cell r="K194">
            <v>1959358</v>
          </cell>
          <cell r="L194">
            <v>410528</v>
          </cell>
          <cell r="M194">
            <v>8051</v>
          </cell>
          <cell r="N194">
            <v>1948</v>
          </cell>
          <cell r="P194">
            <v>232848</v>
          </cell>
          <cell r="R194">
            <v>313159</v>
          </cell>
          <cell r="W194">
            <v>399037</v>
          </cell>
          <cell r="AA194">
            <v>76096</v>
          </cell>
          <cell r="AD194">
            <v>129373</v>
          </cell>
          <cell r="AE194">
            <v>3813</v>
          </cell>
          <cell r="AF194">
            <v>633643</v>
          </cell>
          <cell r="AK194">
            <v>24831</v>
          </cell>
          <cell r="AL194">
            <v>7407</v>
          </cell>
        </row>
        <row r="195">
          <cell r="E195">
            <v>2754656</v>
          </cell>
          <cell r="G195">
            <v>489422</v>
          </cell>
          <cell r="K195">
            <v>1784250</v>
          </cell>
          <cell r="L195">
            <v>454583</v>
          </cell>
          <cell r="M195">
            <v>3313</v>
          </cell>
          <cell r="N195">
            <v>5055</v>
          </cell>
          <cell r="P195">
            <v>205176</v>
          </cell>
          <cell r="R195">
            <v>275553</v>
          </cell>
          <cell r="W195">
            <v>310941</v>
          </cell>
          <cell r="AA195">
            <v>78547</v>
          </cell>
          <cell r="AD195">
            <v>308311</v>
          </cell>
          <cell r="AE195">
            <v>6758</v>
          </cell>
          <cell r="AF195">
            <v>241629</v>
          </cell>
          <cell r="AK195">
            <v>34795</v>
          </cell>
          <cell r="AL195">
            <v>12615</v>
          </cell>
        </row>
        <row r="196">
          <cell r="E196">
            <v>2982579</v>
          </cell>
          <cell r="G196">
            <v>481457</v>
          </cell>
          <cell r="K196">
            <v>1733666</v>
          </cell>
          <cell r="L196">
            <v>401708</v>
          </cell>
          <cell r="M196">
            <v>6919</v>
          </cell>
          <cell r="N196">
            <v>3529</v>
          </cell>
          <cell r="P196">
            <v>199697</v>
          </cell>
          <cell r="R196">
            <v>278962</v>
          </cell>
          <cell r="W196">
            <v>329424</v>
          </cell>
          <cell r="AA196">
            <v>82038</v>
          </cell>
          <cell r="AD196">
            <v>315324</v>
          </cell>
          <cell r="AE196">
            <v>3287</v>
          </cell>
          <cell r="AF196">
            <v>435292</v>
          </cell>
          <cell r="AK196">
            <v>30193</v>
          </cell>
          <cell r="AL196">
            <v>10252</v>
          </cell>
        </row>
        <row r="197">
          <cell r="E197">
            <v>2885601</v>
          </cell>
          <cell r="G197">
            <v>570913</v>
          </cell>
          <cell r="K197">
            <v>1473527</v>
          </cell>
          <cell r="L197">
            <v>672132</v>
          </cell>
          <cell r="M197">
            <v>3608</v>
          </cell>
          <cell r="N197">
            <v>6256</v>
          </cell>
          <cell r="P197">
            <v>298659</v>
          </cell>
          <cell r="R197">
            <v>262960</v>
          </cell>
          <cell r="W197">
            <v>358033</v>
          </cell>
          <cell r="AA197">
            <v>83776</v>
          </cell>
          <cell r="AD197">
            <v>1068190</v>
          </cell>
          <cell r="AE197">
            <v>5709</v>
          </cell>
          <cell r="AF197">
            <v>422870</v>
          </cell>
          <cell r="AK197">
            <v>19630</v>
          </cell>
          <cell r="AL197">
            <v>11749</v>
          </cell>
        </row>
        <row r="198">
          <cell r="E198">
            <v>4260065</v>
          </cell>
          <cell r="G198">
            <v>519040</v>
          </cell>
          <cell r="K198">
            <v>32298</v>
          </cell>
          <cell r="L198">
            <v>2401637</v>
          </cell>
          <cell r="M198">
            <v>5571</v>
          </cell>
          <cell r="N198">
            <v>4228</v>
          </cell>
          <cell r="P198">
            <v>220740</v>
          </cell>
          <cell r="R198">
            <v>293669</v>
          </cell>
          <cell r="W198">
            <v>591234</v>
          </cell>
          <cell r="AA198">
            <v>137542</v>
          </cell>
          <cell r="AD198">
            <v>3957357</v>
          </cell>
          <cell r="AE198">
            <v>28471</v>
          </cell>
          <cell r="AF198">
            <v>1110852</v>
          </cell>
          <cell r="AK198">
            <v>66257</v>
          </cell>
          <cell r="AL198">
            <v>17427</v>
          </cell>
        </row>
        <row r="199">
          <cell r="E199">
            <v>3862101</v>
          </cell>
          <cell r="G199">
            <v>598374</v>
          </cell>
          <cell r="K199">
            <v>1774953</v>
          </cell>
          <cell r="L199">
            <v>1187630</v>
          </cell>
          <cell r="M199">
            <v>15828</v>
          </cell>
          <cell r="N199">
            <v>3852</v>
          </cell>
          <cell r="P199">
            <v>283570</v>
          </cell>
          <cell r="R199">
            <v>310025</v>
          </cell>
          <cell r="W199">
            <v>335872</v>
          </cell>
          <cell r="AA199">
            <v>63880</v>
          </cell>
          <cell r="AD199">
            <v>51718</v>
          </cell>
          <cell r="AE199">
            <v>6459</v>
          </cell>
          <cell r="AF199">
            <v>434198</v>
          </cell>
          <cell r="AK199">
            <v>36443</v>
          </cell>
          <cell r="AL199">
            <v>11033</v>
          </cell>
        </row>
        <row r="200">
          <cell r="E200">
            <v>3567543</v>
          </cell>
          <cell r="G200">
            <v>511060</v>
          </cell>
          <cell r="K200">
            <v>2106419</v>
          </cell>
          <cell r="L200">
            <v>523024</v>
          </cell>
          <cell r="M200">
            <v>26785</v>
          </cell>
          <cell r="N200">
            <v>3908</v>
          </cell>
          <cell r="P200">
            <v>200080</v>
          </cell>
          <cell r="R200">
            <v>305989</v>
          </cell>
          <cell r="W200">
            <v>326492</v>
          </cell>
          <cell r="AA200">
            <v>73047</v>
          </cell>
          <cell r="AD200">
            <v>121359</v>
          </cell>
          <cell r="AE200">
            <v>28024</v>
          </cell>
          <cell r="AF200">
            <v>680526</v>
          </cell>
          <cell r="AK200">
            <v>62656</v>
          </cell>
          <cell r="AL200">
            <v>19834</v>
          </cell>
        </row>
        <row r="201">
          <cell r="E201">
            <v>3207958</v>
          </cell>
          <cell r="G201">
            <v>424388</v>
          </cell>
          <cell r="K201">
            <v>2189698</v>
          </cell>
          <cell r="L201">
            <v>500090</v>
          </cell>
          <cell r="M201">
            <v>4618</v>
          </cell>
          <cell r="N201">
            <v>12952</v>
          </cell>
          <cell r="P201">
            <v>149745</v>
          </cell>
          <cell r="R201">
            <v>262004</v>
          </cell>
          <cell r="W201">
            <v>327776</v>
          </cell>
          <cell r="AA201">
            <v>71685</v>
          </cell>
          <cell r="AD201">
            <v>277171</v>
          </cell>
          <cell r="AE201">
            <v>5009</v>
          </cell>
          <cell r="AF201">
            <v>369754</v>
          </cell>
          <cell r="AK201">
            <v>32942</v>
          </cell>
          <cell r="AL201">
            <v>12232</v>
          </cell>
        </row>
        <row r="202">
          <cell r="E202">
            <v>3516388</v>
          </cell>
          <cell r="G202">
            <v>668342</v>
          </cell>
          <cell r="K202">
            <v>2171944</v>
          </cell>
          <cell r="L202">
            <v>412857</v>
          </cell>
          <cell r="M202">
            <v>3291</v>
          </cell>
          <cell r="N202">
            <v>4672</v>
          </cell>
          <cell r="P202">
            <v>294297</v>
          </cell>
          <cell r="R202">
            <v>369838</v>
          </cell>
          <cell r="W202">
            <v>465790</v>
          </cell>
          <cell r="AA202">
            <v>76800</v>
          </cell>
          <cell r="AD202">
            <v>218852</v>
          </cell>
          <cell r="AE202">
            <v>4059</v>
          </cell>
          <cell r="AF202">
            <v>581776</v>
          </cell>
          <cell r="AK202">
            <v>20392</v>
          </cell>
          <cell r="AL202">
            <v>12260</v>
          </cell>
        </row>
        <row r="203">
          <cell r="E203">
            <v>3572808</v>
          </cell>
          <cell r="G203">
            <v>499013</v>
          </cell>
          <cell r="K203">
            <v>2077642</v>
          </cell>
          <cell r="L203">
            <v>739947</v>
          </cell>
          <cell r="M203">
            <v>5273</v>
          </cell>
          <cell r="N203">
            <v>3775</v>
          </cell>
          <cell r="P203">
            <v>212336</v>
          </cell>
          <cell r="R203">
            <v>285897</v>
          </cell>
          <cell r="W203">
            <v>433184</v>
          </cell>
          <cell r="AA203">
            <v>68420</v>
          </cell>
          <cell r="AD203">
            <v>178684</v>
          </cell>
          <cell r="AE203">
            <v>5777</v>
          </cell>
          <cell r="AF203">
            <v>454480</v>
          </cell>
          <cell r="AK203">
            <v>47594</v>
          </cell>
          <cell r="AL203">
            <v>10127</v>
          </cell>
        </row>
        <row r="204">
          <cell r="E204">
            <v>3613782</v>
          </cell>
          <cell r="G204">
            <v>609094</v>
          </cell>
          <cell r="K204">
            <v>2152219</v>
          </cell>
          <cell r="L204">
            <v>428434</v>
          </cell>
          <cell r="M204">
            <v>3657</v>
          </cell>
          <cell r="N204">
            <v>7018</v>
          </cell>
          <cell r="P204">
            <v>201691</v>
          </cell>
          <cell r="R204">
            <v>402701</v>
          </cell>
          <cell r="W204">
            <v>439253</v>
          </cell>
          <cell r="AA204">
            <v>82020</v>
          </cell>
          <cell r="AD204">
            <v>382314</v>
          </cell>
          <cell r="AE204">
            <v>4317</v>
          </cell>
          <cell r="AF204">
            <v>549135</v>
          </cell>
          <cell r="AK204">
            <v>43461</v>
          </cell>
          <cell r="AL204">
            <v>26912</v>
          </cell>
        </row>
        <row r="205">
          <cell r="E205">
            <v>3352574</v>
          </cell>
          <cell r="G205">
            <v>573684</v>
          </cell>
          <cell r="K205">
            <v>2208530</v>
          </cell>
          <cell r="L205">
            <v>428211</v>
          </cell>
          <cell r="M205">
            <v>13460</v>
          </cell>
          <cell r="N205">
            <v>3925</v>
          </cell>
          <cell r="P205">
            <v>205080</v>
          </cell>
          <cell r="R205">
            <v>365118</v>
          </cell>
          <cell r="W205">
            <v>351966</v>
          </cell>
          <cell r="AA205">
            <v>77847</v>
          </cell>
          <cell r="AD205">
            <v>147116</v>
          </cell>
          <cell r="AE205">
            <v>5795</v>
          </cell>
          <cell r="AF205">
            <v>622114</v>
          </cell>
          <cell r="AK205">
            <v>37677</v>
          </cell>
          <cell r="AL205">
            <v>16893</v>
          </cell>
        </row>
        <row r="206">
          <cell r="E206">
            <v>3697949</v>
          </cell>
          <cell r="G206">
            <v>512357</v>
          </cell>
          <cell r="K206">
            <v>2231689</v>
          </cell>
          <cell r="L206">
            <v>564616</v>
          </cell>
          <cell r="M206">
            <v>26911</v>
          </cell>
          <cell r="N206">
            <v>3078</v>
          </cell>
          <cell r="P206">
            <v>217429</v>
          </cell>
          <cell r="R206">
            <v>298184</v>
          </cell>
          <cell r="W206">
            <v>360339</v>
          </cell>
          <cell r="AA206">
            <v>75194</v>
          </cell>
          <cell r="AD206">
            <v>96156</v>
          </cell>
          <cell r="AE206">
            <v>2117</v>
          </cell>
          <cell r="AF206">
            <v>436627</v>
          </cell>
          <cell r="AK206">
            <v>23002</v>
          </cell>
          <cell r="AL206">
            <v>9361</v>
          </cell>
        </row>
        <row r="207">
          <cell r="E207">
            <v>2814488</v>
          </cell>
          <cell r="G207">
            <v>543799</v>
          </cell>
          <cell r="K207">
            <v>1949234</v>
          </cell>
          <cell r="L207">
            <v>380601</v>
          </cell>
          <cell r="M207">
            <v>4773</v>
          </cell>
          <cell r="N207">
            <v>2027</v>
          </cell>
          <cell r="P207">
            <v>201260</v>
          </cell>
          <cell r="R207">
            <v>341495</v>
          </cell>
          <cell r="W207">
            <v>314585</v>
          </cell>
          <cell r="AA207">
            <v>74557</v>
          </cell>
          <cell r="AD207">
            <v>330408</v>
          </cell>
          <cell r="AE207">
            <v>31790</v>
          </cell>
          <cell r="AF207">
            <v>377057</v>
          </cell>
          <cell r="AK207">
            <v>44284</v>
          </cell>
          <cell r="AL207">
            <v>11232</v>
          </cell>
        </row>
        <row r="208">
          <cell r="E208">
            <v>3287490</v>
          </cell>
          <cell r="G208">
            <v>538449</v>
          </cell>
          <cell r="K208">
            <v>2037266</v>
          </cell>
          <cell r="L208">
            <v>345903</v>
          </cell>
          <cell r="M208">
            <v>2574</v>
          </cell>
          <cell r="N208">
            <v>4950</v>
          </cell>
          <cell r="P208">
            <v>192394</v>
          </cell>
          <cell r="R208">
            <v>341934</v>
          </cell>
          <cell r="W208">
            <v>498830</v>
          </cell>
          <cell r="AA208">
            <v>89446</v>
          </cell>
          <cell r="AD208">
            <v>108386</v>
          </cell>
          <cell r="AE208">
            <v>6383</v>
          </cell>
          <cell r="AF208">
            <v>415687</v>
          </cell>
          <cell r="AK208">
            <v>32734</v>
          </cell>
          <cell r="AL208">
            <v>14411</v>
          </cell>
        </row>
        <row r="209">
          <cell r="E209">
            <v>3040022</v>
          </cell>
          <cell r="G209">
            <v>553864</v>
          </cell>
          <cell r="K209">
            <v>1593092</v>
          </cell>
          <cell r="L209">
            <v>692717</v>
          </cell>
          <cell r="M209">
            <v>3862</v>
          </cell>
          <cell r="N209">
            <v>4842</v>
          </cell>
          <cell r="P209">
            <v>214462</v>
          </cell>
          <cell r="R209">
            <v>338889</v>
          </cell>
          <cell r="W209">
            <v>378085</v>
          </cell>
          <cell r="AA209">
            <v>87539</v>
          </cell>
          <cell r="AD209">
            <v>1874999</v>
          </cell>
          <cell r="AE209">
            <v>229948</v>
          </cell>
          <cell r="AF209">
            <v>351002</v>
          </cell>
          <cell r="AK209">
            <v>30963</v>
          </cell>
          <cell r="AL209">
            <v>10186</v>
          </cell>
        </row>
        <row r="210">
          <cell r="E210">
            <v>4441382</v>
          </cell>
          <cell r="G210">
            <v>671898</v>
          </cell>
          <cell r="K210">
            <v>204990</v>
          </cell>
          <cell r="L210">
            <v>2770182</v>
          </cell>
          <cell r="M210">
            <v>3116</v>
          </cell>
          <cell r="N210">
            <v>6457</v>
          </cell>
          <cell r="P210">
            <v>262022</v>
          </cell>
          <cell r="R210">
            <v>406084</v>
          </cell>
          <cell r="W210">
            <v>822695</v>
          </cell>
          <cell r="AA210">
            <v>136936</v>
          </cell>
          <cell r="AD210">
            <v>1317217</v>
          </cell>
          <cell r="AE210">
            <v>3118</v>
          </cell>
          <cell r="AF210">
            <v>743311</v>
          </cell>
          <cell r="AK210">
            <v>36852</v>
          </cell>
          <cell r="AL210">
            <v>16330</v>
          </cell>
        </row>
        <row r="211">
          <cell r="E211">
            <v>4466701</v>
          </cell>
          <cell r="G211">
            <v>688557</v>
          </cell>
          <cell r="K211">
            <v>1994326</v>
          </cell>
          <cell r="L211">
            <v>1376580</v>
          </cell>
          <cell r="M211">
            <v>83787</v>
          </cell>
          <cell r="N211">
            <v>4913</v>
          </cell>
          <cell r="P211">
            <v>284410</v>
          </cell>
          <cell r="R211">
            <v>400424</v>
          </cell>
          <cell r="W211">
            <v>338400</v>
          </cell>
          <cell r="AA211">
            <v>65827</v>
          </cell>
          <cell r="AD211">
            <v>69592</v>
          </cell>
          <cell r="AE211">
            <v>7179</v>
          </cell>
          <cell r="AF211">
            <v>1838897</v>
          </cell>
          <cell r="AK211">
            <v>36214</v>
          </cell>
          <cell r="AL211">
            <v>14773</v>
          </cell>
        </row>
        <row r="212">
          <cell r="E212">
            <v>3708496</v>
          </cell>
          <cell r="G212">
            <v>592429</v>
          </cell>
          <cell r="K212">
            <v>2021640</v>
          </cell>
          <cell r="L212">
            <v>756977</v>
          </cell>
          <cell r="M212">
            <v>3120</v>
          </cell>
          <cell r="N212">
            <v>4028</v>
          </cell>
          <cell r="P212">
            <v>220703</v>
          </cell>
          <cell r="R212">
            <v>366845</v>
          </cell>
          <cell r="W212">
            <v>402118</v>
          </cell>
          <cell r="AA212">
            <v>69843</v>
          </cell>
          <cell r="AD212">
            <v>58143</v>
          </cell>
          <cell r="AE212">
            <v>2038</v>
          </cell>
          <cell r="AF212">
            <v>1197444</v>
          </cell>
          <cell r="AK212">
            <v>30067</v>
          </cell>
          <cell r="AL212">
            <v>14066</v>
          </cell>
        </row>
        <row r="213">
          <cell r="E213">
            <v>3427842</v>
          </cell>
          <cell r="G213">
            <v>711213</v>
          </cell>
          <cell r="K213">
            <v>2309568</v>
          </cell>
          <cell r="L213">
            <v>524925</v>
          </cell>
          <cell r="M213">
            <v>4076</v>
          </cell>
          <cell r="N213">
            <v>6666</v>
          </cell>
          <cell r="P213">
            <v>308598</v>
          </cell>
          <cell r="R213">
            <v>394591</v>
          </cell>
          <cell r="W213">
            <v>380215</v>
          </cell>
          <cell r="AA213">
            <v>68736</v>
          </cell>
          <cell r="AD213">
            <v>219095</v>
          </cell>
          <cell r="AE213">
            <v>4728</v>
          </cell>
          <cell r="AF213">
            <v>548352</v>
          </cell>
          <cell r="AK213">
            <v>45853</v>
          </cell>
          <cell r="AL213">
            <v>16378</v>
          </cell>
        </row>
        <row r="214">
          <cell r="E214">
            <v>5459970</v>
          </cell>
          <cell r="G214">
            <v>727464</v>
          </cell>
          <cell r="K214">
            <v>2206255</v>
          </cell>
          <cell r="L214">
            <v>2273397</v>
          </cell>
          <cell r="M214">
            <v>2576</v>
          </cell>
          <cell r="N214">
            <v>6666</v>
          </cell>
          <cell r="P214">
            <v>269864</v>
          </cell>
          <cell r="R214">
            <v>451413</v>
          </cell>
          <cell r="W214">
            <v>640714</v>
          </cell>
          <cell r="AA214">
            <v>69328</v>
          </cell>
          <cell r="AD214">
            <v>189754</v>
          </cell>
          <cell r="AE214">
            <v>3400</v>
          </cell>
          <cell r="AF214">
            <v>546592</v>
          </cell>
          <cell r="AK214">
            <v>41472</v>
          </cell>
          <cell r="AL214">
            <v>17193</v>
          </cell>
        </row>
        <row r="215">
          <cell r="E215">
            <v>4313647</v>
          </cell>
          <cell r="G215">
            <v>673104</v>
          </cell>
          <cell r="K215">
            <v>2292216</v>
          </cell>
          <cell r="L215">
            <v>1332094</v>
          </cell>
          <cell r="M215">
            <v>2497</v>
          </cell>
          <cell r="N215">
            <v>5608</v>
          </cell>
          <cell r="P215">
            <v>269128</v>
          </cell>
          <cell r="R215">
            <v>400721</v>
          </cell>
          <cell r="W215">
            <v>357438</v>
          </cell>
          <cell r="AA215">
            <v>66191</v>
          </cell>
          <cell r="AD215">
            <v>102634</v>
          </cell>
          <cell r="AE215">
            <v>7282</v>
          </cell>
          <cell r="AF215">
            <v>349581</v>
          </cell>
          <cell r="AK215">
            <v>54846</v>
          </cell>
          <cell r="AL215">
            <v>13375</v>
          </cell>
        </row>
        <row r="216">
          <cell r="E216">
            <v>4940763</v>
          </cell>
          <cell r="G216">
            <v>713093</v>
          </cell>
          <cell r="K216">
            <v>2191970</v>
          </cell>
          <cell r="L216">
            <v>1574662</v>
          </cell>
          <cell r="M216">
            <v>5856</v>
          </cell>
          <cell r="N216">
            <v>8658</v>
          </cell>
          <cell r="P216">
            <v>236784</v>
          </cell>
          <cell r="R216">
            <v>466736</v>
          </cell>
          <cell r="W216">
            <v>370552</v>
          </cell>
          <cell r="AA216">
            <v>75385</v>
          </cell>
          <cell r="AD216">
            <v>312825</v>
          </cell>
          <cell r="AE216">
            <v>6547</v>
          </cell>
          <cell r="AF216">
            <v>503519</v>
          </cell>
          <cell r="AK216">
            <v>46187</v>
          </cell>
          <cell r="AL216">
            <v>16976</v>
          </cell>
        </row>
        <row r="217">
          <cell r="E217">
            <v>4045754</v>
          </cell>
          <cell r="G217">
            <v>653135</v>
          </cell>
          <cell r="K217">
            <v>2316844</v>
          </cell>
          <cell r="L217">
            <v>957867</v>
          </cell>
          <cell r="M217">
            <v>2734</v>
          </cell>
          <cell r="N217">
            <v>3648</v>
          </cell>
          <cell r="P217">
            <v>286885</v>
          </cell>
          <cell r="R217">
            <v>364428</v>
          </cell>
          <cell r="W217">
            <v>417552</v>
          </cell>
          <cell r="AA217">
            <v>77117</v>
          </cell>
          <cell r="AD217">
            <v>191820</v>
          </cell>
          <cell r="AE217">
            <v>24699</v>
          </cell>
          <cell r="AF217">
            <v>422425</v>
          </cell>
          <cell r="AK217">
            <v>44892</v>
          </cell>
          <cell r="AL217">
            <v>14408</v>
          </cell>
        </row>
        <row r="218">
          <cell r="E218">
            <v>3811959</v>
          </cell>
          <cell r="G218">
            <v>542322</v>
          </cell>
          <cell r="K218">
            <v>2217612</v>
          </cell>
          <cell r="L218">
            <v>595653</v>
          </cell>
          <cell r="M218">
            <v>7500</v>
          </cell>
          <cell r="N218">
            <v>6276</v>
          </cell>
          <cell r="P218">
            <v>218883</v>
          </cell>
          <cell r="R218">
            <v>319449</v>
          </cell>
          <cell r="W218">
            <v>435770</v>
          </cell>
          <cell r="AA218">
            <v>76684</v>
          </cell>
          <cell r="AD218">
            <v>116158</v>
          </cell>
          <cell r="AE218">
            <v>19481</v>
          </cell>
          <cell r="AF218">
            <v>306018</v>
          </cell>
          <cell r="AK218">
            <v>17600</v>
          </cell>
          <cell r="AL218">
            <v>4196</v>
          </cell>
        </row>
        <row r="219">
          <cell r="E219">
            <v>3955501</v>
          </cell>
          <cell r="G219">
            <v>594479</v>
          </cell>
          <cell r="K219">
            <v>2491440</v>
          </cell>
          <cell r="L219">
            <v>711230</v>
          </cell>
          <cell r="M219">
            <v>3111</v>
          </cell>
          <cell r="N219">
            <v>4230</v>
          </cell>
          <cell r="P219">
            <v>207384</v>
          </cell>
          <cell r="R219">
            <v>387256</v>
          </cell>
          <cell r="W219">
            <v>468018</v>
          </cell>
          <cell r="AA219">
            <v>77254</v>
          </cell>
          <cell r="AD219">
            <v>288588</v>
          </cell>
          <cell r="AE219">
            <v>7300</v>
          </cell>
          <cell r="AF219">
            <v>562287</v>
          </cell>
          <cell r="AK219">
            <v>34575</v>
          </cell>
          <cell r="AL219">
            <v>17558</v>
          </cell>
        </row>
        <row r="220">
          <cell r="E220">
            <v>5240410</v>
          </cell>
          <cell r="G220">
            <v>549118</v>
          </cell>
          <cell r="K220">
            <v>2693340</v>
          </cell>
          <cell r="L220">
            <v>1454281</v>
          </cell>
          <cell r="M220">
            <v>4200</v>
          </cell>
          <cell r="N220">
            <v>3815</v>
          </cell>
          <cell r="P220">
            <v>207119</v>
          </cell>
          <cell r="R220">
            <v>340832</v>
          </cell>
          <cell r="W220">
            <v>506607</v>
          </cell>
          <cell r="AA220">
            <v>79923</v>
          </cell>
          <cell r="AD220">
            <v>206048</v>
          </cell>
          <cell r="AE220">
            <v>4346</v>
          </cell>
          <cell r="AF220">
            <v>566270</v>
          </cell>
          <cell r="AK220">
            <v>35550</v>
          </cell>
          <cell r="AL220">
            <v>14145</v>
          </cell>
        </row>
        <row r="221">
          <cell r="E221">
            <v>6127269</v>
          </cell>
          <cell r="G221">
            <v>675415</v>
          </cell>
          <cell r="K221">
            <v>1539829</v>
          </cell>
          <cell r="L221">
            <v>3819492</v>
          </cell>
          <cell r="M221">
            <v>7049</v>
          </cell>
          <cell r="N221">
            <v>2488</v>
          </cell>
          <cell r="P221">
            <v>257251</v>
          </cell>
          <cell r="R221">
            <v>414704</v>
          </cell>
          <cell r="W221">
            <v>418708</v>
          </cell>
          <cell r="AA221">
            <v>79676</v>
          </cell>
          <cell r="AD221">
            <v>1136649</v>
          </cell>
          <cell r="AE221">
            <v>12331</v>
          </cell>
          <cell r="AF221">
            <v>884008</v>
          </cell>
          <cell r="AK221">
            <v>34549</v>
          </cell>
          <cell r="AL221">
            <v>20073</v>
          </cell>
        </row>
        <row r="222">
          <cell r="E222">
            <v>6414137</v>
          </cell>
          <cell r="G222">
            <v>700236</v>
          </cell>
          <cell r="K222">
            <v>108647</v>
          </cell>
          <cell r="L222">
            <v>4652981</v>
          </cell>
          <cell r="M222">
            <v>2180</v>
          </cell>
          <cell r="N222">
            <v>3083</v>
          </cell>
          <cell r="P222">
            <v>268399</v>
          </cell>
          <cell r="R222">
            <v>430292</v>
          </cell>
          <cell r="W222">
            <v>517620</v>
          </cell>
          <cell r="AA222">
            <v>149374</v>
          </cell>
          <cell r="AD222">
            <v>910630</v>
          </cell>
          <cell r="AE222">
            <v>11546</v>
          </cell>
          <cell r="AF222">
            <v>851495</v>
          </cell>
          <cell r="AK222">
            <v>25303</v>
          </cell>
          <cell r="AL222">
            <v>13749</v>
          </cell>
        </row>
        <row r="223">
          <cell r="E223">
            <v>4229622</v>
          </cell>
          <cell r="G223">
            <v>859861</v>
          </cell>
          <cell r="K223">
            <v>2040456</v>
          </cell>
          <cell r="L223">
            <v>1356133</v>
          </cell>
          <cell r="M223">
            <v>16091</v>
          </cell>
          <cell r="N223">
            <v>3343</v>
          </cell>
          <cell r="P223">
            <v>335028</v>
          </cell>
          <cell r="R223">
            <v>522388</v>
          </cell>
          <cell r="W223">
            <v>395867</v>
          </cell>
          <cell r="AA223">
            <v>67796</v>
          </cell>
          <cell r="AD223">
            <v>178998</v>
          </cell>
          <cell r="AE223">
            <v>272838</v>
          </cell>
          <cell r="AF223">
            <v>551272</v>
          </cell>
          <cell r="AK223">
            <v>37261</v>
          </cell>
          <cell r="AL223">
            <v>14789</v>
          </cell>
        </row>
        <row r="224">
          <cell r="E224">
            <v>4333855</v>
          </cell>
          <cell r="G224">
            <v>697022</v>
          </cell>
          <cell r="K224">
            <v>2363123</v>
          </cell>
          <cell r="L224">
            <v>996389</v>
          </cell>
          <cell r="M224">
            <v>25851</v>
          </cell>
          <cell r="N224">
            <v>3470</v>
          </cell>
          <cell r="P224">
            <v>252116</v>
          </cell>
          <cell r="R224">
            <v>440262</v>
          </cell>
          <cell r="W224">
            <v>435891</v>
          </cell>
          <cell r="AA224">
            <v>81569</v>
          </cell>
          <cell r="AD224">
            <v>91877</v>
          </cell>
          <cell r="AE224">
            <v>8616</v>
          </cell>
          <cell r="AF224">
            <v>754830</v>
          </cell>
          <cell r="AK224">
            <v>50890</v>
          </cell>
          <cell r="AL224">
            <v>18677</v>
          </cell>
        </row>
        <row r="225">
          <cell r="E225">
            <v>3849420</v>
          </cell>
          <cell r="G225">
            <v>613256</v>
          </cell>
          <cell r="K225">
            <v>2417231</v>
          </cell>
          <cell r="L225">
            <v>495839</v>
          </cell>
          <cell r="M225">
            <v>2459</v>
          </cell>
          <cell r="N225">
            <v>6427</v>
          </cell>
          <cell r="P225">
            <v>233184</v>
          </cell>
          <cell r="R225">
            <v>377246</v>
          </cell>
          <cell r="W225">
            <v>396149</v>
          </cell>
          <cell r="AA225">
            <v>73389</v>
          </cell>
          <cell r="AD225">
            <v>369157</v>
          </cell>
          <cell r="AE225">
            <v>5403</v>
          </cell>
          <cell r="AF225">
            <v>310725</v>
          </cell>
          <cell r="AK225">
            <v>23878</v>
          </cell>
          <cell r="AL225">
            <v>7630</v>
          </cell>
        </row>
        <row r="226">
          <cell r="E226">
            <v>3937374</v>
          </cell>
          <cell r="G226">
            <v>764259</v>
          </cell>
          <cell r="K226">
            <v>2396885</v>
          </cell>
          <cell r="L226">
            <v>420760</v>
          </cell>
          <cell r="M226">
            <v>3775</v>
          </cell>
          <cell r="N226">
            <v>4219</v>
          </cell>
          <cell r="P226">
            <v>315447</v>
          </cell>
          <cell r="R226">
            <v>446691</v>
          </cell>
          <cell r="W226">
            <v>486023</v>
          </cell>
          <cell r="AA226">
            <v>69821</v>
          </cell>
          <cell r="AD226">
            <v>190303</v>
          </cell>
          <cell r="AE226">
            <v>5716</v>
          </cell>
          <cell r="AF226">
            <v>401676</v>
          </cell>
          <cell r="AK226">
            <v>47727</v>
          </cell>
          <cell r="AL226">
            <v>19583</v>
          </cell>
        </row>
        <row r="227">
          <cell r="E227">
            <v>3523191</v>
          </cell>
          <cell r="G227">
            <v>691057</v>
          </cell>
          <cell r="K227">
            <v>2383317</v>
          </cell>
          <cell r="L227">
            <v>438757</v>
          </cell>
          <cell r="M227">
            <v>7472</v>
          </cell>
          <cell r="N227">
            <v>5488</v>
          </cell>
          <cell r="P227">
            <v>270573</v>
          </cell>
          <cell r="R227">
            <v>415554</v>
          </cell>
          <cell r="W227">
            <v>377419</v>
          </cell>
          <cell r="AA227">
            <v>66261</v>
          </cell>
          <cell r="AD227">
            <v>169516</v>
          </cell>
          <cell r="AE227">
            <v>7388</v>
          </cell>
          <cell r="AF227">
            <v>537148</v>
          </cell>
          <cell r="AK227">
            <v>34053</v>
          </cell>
          <cell r="AL227">
            <v>23096</v>
          </cell>
        </row>
        <row r="228">
          <cell r="E228">
            <v>4848366</v>
          </cell>
          <cell r="G228">
            <v>747797</v>
          </cell>
          <cell r="K228">
            <v>2354170</v>
          </cell>
          <cell r="L228">
            <v>1214956</v>
          </cell>
          <cell r="M228">
            <v>5117</v>
          </cell>
          <cell r="N228">
            <v>16758</v>
          </cell>
          <cell r="P228">
            <v>267650</v>
          </cell>
          <cell r="R228">
            <v>463553</v>
          </cell>
          <cell r="W228">
            <v>474882</v>
          </cell>
          <cell r="AA228">
            <v>73923</v>
          </cell>
          <cell r="AD228">
            <v>290734</v>
          </cell>
          <cell r="AE228">
            <v>63589</v>
          </cell>
          <cell r="AF228">
            <v>471600</v>
          </cell>
          <cell r="AK228">
            <v>40183</v>
          </cell>
          <cell r="AL228">
            <v>15363</v>
          </cell>
        </row>
        <row r="229">
          <cell r="E229">
            <v>4733625</v>
          </cell>
          <cell r="G229">
            <v>747808</v>
          </cell>
          <cell r="K229">
            <v>2632660</v>
          </cell>
          <cell r="L229">
            <v>922862</v>
          </cell>
          <cell r="M229">
            <v>1888</v>
          </cell>
          <cell r="N229">
            <v>6655</v>
          </cell>
          <cell r="P229">
            <v>274873</v>
          </cell>
          <cell r="R229">
            <v>467456</v>
          </cell>
          <cell r="W229">
            <v>488502</v>
          </cell>
          <cell r="AA229">
            <v>78341</v>
          </cell>
          <cell r="AD229">
            <v>178061</v>
          </cell>
          <cell r="AE229">
            <v>13032</v>
          </cell>
          <cell r="AF229">
            <v>364625</v>
          </cell>
          <cell r="AK229">
            <v>43085</v>
          </cell>
          <cell r="AL229">
            <v>12085</v>
          </cell>
        </row>
        <row r="230">
          <cell r="E230">
            <v>4067864</v>
          </cell>
          <cell r="G230">
            <v>609818</v>
          </cell>
          <cell r="K230">
            <v>2338942</v>
          </cell>
          <cell r="L230">
            <v>529968</v>
          </cell>
          <cell r="M230">
            <v>4210</v>
          </cell>
          <cell r="N230">
            <v>3382</v>
          </cell>
          <cell r="P230">
            <v>230178</v>
          </cell>
          <cell r="R230">
            <v>377583</v>
          </cell>
          <cell r="W230">
            <v>470661</v>
          </cell>
          <cell r="AA230">
            <v>73265</v>
          </cell>
          <cell r="AD230">
            <v>162553</v>
          </cell>
          <cell r="AE230">
            <v>3360</v>
          </cell>
          <cell r="AF230">
            <v>1084490</v>
          </cell>
          <cell r="AK230">
            <v>44481</v>
          </cell>
          <cell r="AL230">
            <v>17225</v>
          </cell>
        </row>
        <row r="231">
          <cell r="E231">
            <v>4207370</v>
          </cell>
          <cell r="G231">
            <v>562570</v>
          </cell>
          <cell r="K231">
            <v>2510968</v>
          </cell>
          <cell r="L231">
            <v>956828</v>
          </cell>
          <cell r="M231">
            <v>2471</v>
          </cell>
          <cell r="N231">
            <v>2936</v>
          </cell>
          <cell r="P231">
            <v>219024</v>
          </cell>
          <cell r="R231">
            <v>340987</v>
          </cell>
          <cell r="W231">
            <v>432095</v>
          </cell>
          <cell r="AA231">
            <v>72877</v>
          </cell>
          <cell r="AD231">
            <v>328358</v>
          </cell>
          <cell r="AE231">
            <v>4960</v>
          </cell>
          <cell r="AF231">
            <v>341622</v>
          </cell>
          <cell r="AK231">
            <v>29131</v>
          </cell>
          <cell r="AL231">
            <v>11890</v>
          </cell>
        </row>
        <row r="232">
          <cell r="E232">
            <v>3692162</v>
          </cell>
          <cell r="G232">
            <v>695525</v>
          </cell>
          <cell r="K232">
            <v>2176056</v>
          </cell>
          <cell r="L232">
            <v>389914</v>
          </cell>
          <cell r="M232">
            <v>2892</v>
          </cell>
          <cell r="N232">
            <v>26051</v>
          </cell>
          <cell r="P232">
            <v>224842</v>
          </cell>
          <cell r="R232">
            <v>446367</v>
          </cell>
          <cell r="W232">
            <v>432470</v>
          </cell>
          <cell r="AA232">
            <v>76285</v>
          </cell>
          <cell r="AD232">
            <v>152039</v>
          </cell>
          <cell r="AE232">
            <v>4604</v>
          </cell>
          <cell r="AF232">
            <v>362682</v>
          </cell>
          <cell r="AK232">
            <v>34267</v>
          </cell>
          <cell r="AL232">
            <v>11547</v>
          </cell>
        </row>
        <row r="233">
          <cell r="E233">
            <v>3902393</v>
          </cell>
          <cell r="G233">
            <v>733956</v>
          </cell>
          <cell r="K233">
            <v>1736196</v>
          </cell>
          <cell r="L233">
            <v>1273472</v>
          </cell>
          <cell r="M233">
            <v>10675</v>
          </cell>
          <cell r="N233">
            <v>17548</v>
          </cell>
          <cell r="P233">
            <v>284044</v>
          </cell>
          <cell r="R233">
            <v>432530</v>
          </cell>
          <cell r="W233">
            <v>500415</v>
          </cell>
          <cell r="AA233">
            <v>81080</v>
          </cell>
          <cell r="AD233">
            <v>289205</v>
          </cell>
          <cell r="AE233">
            <v>30365</v>
          </cell>
          <cell r="AF233">
            <v>475806</v>
          </cell>
          <cell r="AK233">
            <v>40240</v>
          </cell>
          <cell r="AL233">
            <v>16719</v>
          </cell>
        </row>
        <row r="234">
          <cell r="E234">
            <v>5591408</v>
          </cell>
          <cell r="G234">
            <v>792009</v>
          </cell>
          <cell r="K234">
            <v>88750</v>
          </cell>
          <cell r="L234">
            <v>3583234</v>
          </cell>
          <cell r="M234">
            <v>5901</v>
          </cell>
          <cell r="N234">
            <v>3871</v>
          </cell>
          <cell r="P234">
            <v>282648</v>
          </cell>
          <cell r="R234">
            <v>506223</v>
          </cell>
          <cell r="W234">
            <v>1054514</v>
          </cell>
          <cell r="AA234">
            <v>137253</v>
          </cell>
          <cell r="AD234">
            <v>1592820</v>
          </cell>
          <cell r="AE234">
            <v>6172</v>
          </cell>
          <cell r="AF234">
            <v>521954</v>
          </cell>
          <cell r="AK234">
            <v>48200</v>
          </cell>
          <cell r="AL234">
            <v>15659</v>
          </cell>
        </row>
        <row r="235">
          <cell r="E235">
            <v>4238825</v>
          </cell>
          <cell r="G235">
            <v>868554</v>
          </cell>
          <cell r="K235">
            <v>2334823</v>
          </cell>
          <cell r="L235">
            <v>831745</v>
          </cell>
          <cell r="M235">
            <v>7759</v>
          </cell>
          <cell r="N235">
            <v>6135</v>
          </cell>
          <cell r="P235">
            <v>323746</v>
          </cell>
          <cell r="R235">
            <v>539665</v>
          </cell>
          <cell r="W235">
            <v>378925</v>
          </cell>
          <cell r="AA235">
            <v>67398</v>
          </cell>
          <cell r="AD235">
            <v>133442</v>
          </cell>
          <cell r="AE235">
            <v>37332</v>
          </cell>
          <cell r="AF235">
            <v>759342</v>
          </cell>
          <cell r="AK235">
            <v>38875</v>
          </cell>
          <cell r="AL235">
            <v>16434</v>
          </cell>
        </row>
        <row r="236">
          <cell r="E236">
            <v>4726625</v>
          </cell>
          <cell r="G236">
            <v>903175</v>
          </cell>
          <cell r="K236">
            <v>2317649</v>
          </cell>
          <cell r="L236">
            <v>929420</v>
          </cell>
          <cell r="M236">
            <v>6577</v>
          </cell>
          <cell r="N236">
            <v>3413</v>
          </cell>
          <cell r="P236">
            <v>326615</v>
          </cell>
          <cell r="R236">
            <v>573289</v>
          </cell>
          <cell r="W236">
            <v>707881</v>
          </cell>
          <cell r="AA236">
            <v>70046</v>
          </cell>
          <cell r="AD236">
            <v>140823</v>
          </cell>
          <cell r="AE236">
            <v>10673</v>
          </cell>
          <cell r="AF236">
            <v>816018</v>
          </cell>
          <cell r="AK236">
            <v>41259</v>
          </cell>
          <cell r="AL236">
            <v>30276</v>
          </cell>
        </row>
        <row r="237">
          <cell r="E237">
            <v>4349027</v>
          </cell>
          <cell r="G237">
            <v>820952</v>
          </cell>
          <cell r="K237">
            <v>2416989</v>
          </cell>
          <cell r="L237">
            <v>795490</v>
          </cell>
          <cell r="M237">
            <v>3170</v>
          </cell>
          <cell r="N237">
            <v>7259</v>
          </cell>
          <cell r="P237">
            <v>276946</v>
          </cell>
          <cell r="R237">
            <v>538122</v>
          </cell>
          <cell r="W237">
            <v>488420</v>
          </cell>
          <cell r="AA237">
            <v>76301</v>
          </cell>
          <cell r="AD237">
            <v>296112</v>
          </cell>
          <cell r="AE237">
            <v>8615</v>
          </cell>
          <cell r="AF237">
            <v>584785</v>
          </cell>
          <cell r="AK237">
            <v>38170</v>
          </cell>
          <cell r="AL237">
            <v>20130</v>
          </cell>
        </row>
        <row r="238">
          <cell r="E238">
            <v>4309326</v>
          </cell>
          <cell r="G238">
            <v>933428</v>
          </cell>
          <cell r="K238">
            <v>2478905</v>
          </cell>
          <cell r="L238">
            <v>570358</v>
          </cell>
          <cell r="M238">
            <v>10889</v>
          </cell>
          <cell r="N238">
            <v>3135</v>
          </cell>
          <cell r="P238">
            <v>356261</v>
          </cell>
          <cell r="R238">
            <v>579830</v>
          </cell>
          <cell r="W238">
            <v>929799</v>
          </cell>
          <cell r="AA238">
            <v>69769</v>
          </cell>
          <cell r="AD238">
            <v>272616</v>
          </cell>
          <cell r="AE238">
            <v>4016</v>
          </cell>
          <cell r="AF238">
            <v>963311</v>
          </cell>
          <cell r="AK238">
            <v>30460</v>
          </cell>
          <cell r="AL238">
            <v>11261</v>
          </cell>
        </row>
        <row r="239">
          <cell r="E239">
            <v>3954376</v>
          </cell>
          <cell r="G239">
            <v>1021300</v>
          </cell>
          <cell r="K239">
            <v>2327349</v>
          </cell>
          <cell r="L239">
            <v>577204</v>
          </cell>
          <cell r="M239">
            <v>7240</v>
          </cell>
          <cell r="N239">
            <v>8533</v>
          </cell>
          <cell r="P239">
            <v>381681</v>
          </cell>
          <cell r="R239">
            <v>633306</v>
          </cell>
          <cell r="W239">
            <v>504935</v>
          </cell>
          <cell r="AA239">
            <v>73190</v>
          </cell>
          <cell r="AD239">
            <v>210676</v>
          </cell>
          <cell r="AE239">
            <v>19623</v>
          </cell>
          <cell r="AF239">
            <v>632715</v>
          </cell>
          <cell r="AK239">
            <v>43690</v>
          </cell>
          <cell r="AL239">
            <v>30943</v>
          </cell>
        </row>
        <row r="240">
          <cell r="E240">
            <v>5570454</v>
          </cell>
          <cell r="G240">
            <v>1172146</v>
          </cell>
          <cell r="K240">
            <v>2747455</v>
          </cell>
          <cell r="L240">
            <v>1381542</v>
          </cell>
          <cell r="M240">
            <v>4308</v>
          </cell>
          <cell r="N240">
            <v>8395</v>
          </cell>
          <cell r="P240">
            <v>466236</v>
          </cell>
          <cell r="R240">
            <v>699517</v>
          </cell>
          <cell r="W240">
            <v>595922</v>
          </cell>
          <cell r="AA240">
            <v>79243</v>
          </cell>
          <cell r="AD240">
            <v>390359</v>
          </cell>
          <cell r="AE240">
            <v>8963</v>
          </cell>
          <cell r="AF240">
            <v>507168</v>
          </cell>
          <cell r="AK240">
            <v>36968</v>
          </cell>
          <cell r="AL240">
            <v>18344</v>
          </cell>
        </row>
        <row r="241">
          <cell r="E241">
            <v>4964908</v>
          </cell>
          <cell r="G241">
            <v>1392274</v>
          </cell>
          <cell r="K241">
            <v>2985522</v>
          </cell>
          <cell r="L241">
            <v>909046</v>
          </cell>
          <cell r="M241">
            <v>2976</v>
          </cell>
          <cell r="N241">
            <v>2760</v>
          </cell>
          <cell r="P241">
            <v>498648</v>
          </cell>
          <cell r="R241">
            <v>895215</v>
          </cell>
          <cell r="W241">
            <v>470764</v>
          </cell>
          <cell r="AA241">
            <v>70060</v>
          </cell>
          <cell r="AD241">
            <v>253708</v>
          </cell>
          <cell r="AE241">
            <v>7854</v>
          </cell>
          <cell r="AF241">
            <v>505515</v>
          </cell>
          <cell r="AK241">
            <v>39875</v>
          </cell>
          <cell r="AL241">
            <v>19483</v>
          </cell>
        </row>
        <row r="242">
          <cell r="E242">
            <v>4595552</v>
          </cell>
          <cell r="G242">
            <v>884109</v>
          </cell>
          <cell r="K242">
            <v>2384118</v>
          </cell>
          <cell r="L242">
            <v>450290</v>
          </cell>
          <cell r="M242">
            <v>1915</v>
          </cell>
          <cell r="N242">
            <v>1538</v>
          </cell>
          <cell r="P242">
            <v>371064</v>
          </cell>
          <cell r="R242">
            <v>511601</v>
          </cell>
          <cell r="W242">
            <v>562069</v>
          </cell>
          <cell r="AA242">
            <v>78411</v>
          </cell>
          <cell r="AD242">
            <v>157863</v>
          </cell>
          <cell r="AE242">
            <v>8836</v>
          </cell>
          <cell r="AF242">
            <v>276694</v>
          </cell>
          <cell r="AK242">
            <v>24438</v>
          </cell>
          <cell r="AL242">
            <v>18597</v>
          </cell>
        </row>
        <row r="243">
          <cell r="E243">
            <v>4001269</v>
          </cell>
          <cell r="G243">
            <v>809034</v>
          </cell>
          <cell r="K243">
            <v>2382826</v>
          </cell>
          <cell r="L243">
            <v>692911</v>
          </cell>
          <cell r="M243">
            <v>4388</v>
          </cell>
          <cell r="N243">
            <v>1329</v>
          </cell>
          <cell r="P243">
            <v>361006</v>
          </cell>
          <cell r="R243">
            <v>449890</v>
          </cell>
          <cell r="W243">
            <v>368434</v>
          </cell>
          <cell r="AA243">
            <v>90557</v>
          </cell>
          <cell r="AD243">
            <v>341755</v>
          </cell>
          <cell r="AE243">
            <v>8787</v>
          </cell>
          <cell r="AF243">
            <v>374530</v>
          </cell>
          <cell r="AK243">
            <v>27919</v>
          </cell>
          <cell r="AL243">
            <v>13812</v>
          </cell>
        </row>
        <row r="244">
          <cell r="E244">
            <v>4652108</v>
          </cell>
          <cell r="G244">
            <v>848588</v>
          </cell>
          <cell r="K244">
            <v>2382682</v>
          </cell>
          <cell r="L244">
            <v>822261</v>
          </cell>
          <cell r="M244">
            <v>3623</v>
          </cell>
          <cell r="N244">
            <v>2233</v>
          </cell>
          <cell r="P244">
            <v>331432</v>
          </cell>
          <cell r="R244">
            <v>518034</v>
          </cell>
          <cell r="W244">
            <v>447594</v>
          </cell>
          <cell r="AA244">
            <v>82810</v>
          </cell>
          <cell r="AD244">
            <v>227575</v>
          </cell>
          <cell r="AE244">
            <v>5978</v>
          </cell>
          <cell r="AF244">
            <v>428925</v>
          </cell>
          <cell r="AK244">
            <v>51209</v>
          </cell>
          <cell r="AL244">
            <v>25905</v>
          </cell>
        </row>
        <row r="245">
          <cell r="E245">
            <v>4076166</v>
          </cell>
          <cell r="G245">
            <v>951005</v>
          </cell>
          <cell r="K245">
            <v>2047965</v>
          </cell>
          <cell r="L245">
            <v>881597</v>
          </cell>
          <cell r="M245">
            <v>4379</v>
          </cell>
          <cell r="N245">
            <v>3869</v>
          </cell>
          <cell r="P245">
            <v>396244</v>
          </cell>
          <cell r="R245">
            <v>555032</v>
          </cell>
          <cell r="W245">
            <v>461651</v>
          </cell>
          <cell r="AA245">
            <v>88711</v>
          </cell>
          <cell r="AD245">
            <v>391610</v>
          </cell>
          <cell r="AE245">
            <v>13793</v>
          </cell>
          <cell r="AF245">
            <v>860349</v>
          </cell>
          <cell r="AK245">
            <v>116226</v>
          </cell>
          <cell r="AL245">
            <v>30952</v>
          </cell>
        </row>
        <row r="246">
          <cell r="E246">
            <v>6273212</v>
          </cell>
          <cell r="G246">
            <v>1002620</v>
          </cell>
          <cell r="K246">
            <v>70057</v>
          </cell>
          <cell r="L246">
            <v>3945127</v>
          </cell>
          <cell r="M246">
            <v>3863</v>
          </cell>
          <cell r="N246">
            <v>2160</v>
          </cell>
          <cell r="P246">
            <v>401767</v>
          </cell>
          <cell r="R246">
            <v>603857</v>
          </cell>
          <cell r="W246">
            <v>735622</v>
          </cell>
          <cell r="AA246">
            <v>146403</v>
          </cell>
          <cell r="AD246">
            <v>1285090</v>
          </cell>
          <cell r="AE246">
            <v>9464</v>
          </cell>
          <cell r="AF246">
            <v>657246</v>
          </cell>
          <cell r="AK246">
            <v>45662</v>
          </cell>
          <cell r="AL246">
            <v>14921</v>
          </cell>
        </row>
        <row r="247">
          <cell r="E247">
            <v>4779367</v>
          </cell>
          <cell r="G247">
            <v>1002948</v>
          </cell>
          <cell r="K247">
            <v>2290188</v>
          </cell>
          <cell r="L247">
            <v>1321785</v>
          </cell>
          <cell r="M247">
            <v>4920</v>
          </cell>
          <cell r="N247">
            <v>1985</v>
          </cell>
          <cell r="P247">
            <v>399409</v>
          </cell>
          <cell r="R247">
            <v>602289</v>
          </cell>
          <cell r="W247">
            <v>379392</v>
          </cell>
          <cell r="AA247">
            <v>67906</v>
          </cell>
          <cell r="AD247">
            <v>213351</v>
          </cell>
          <cell r="AE247">
            <v>7731</v>
          </cell>
          <cell r="AF247">
            <v>533912</v>
          </cell>
          <cell r="AK247">
            <v>44009</v>
          </cell>
          <cell r="AL247">
            <v>21983</v>
          </cell>
        </row>
        <row r="248">
          <cell r="E248">
            <v>5053667</v>
          </cell>
          <cell r="G248">
            <v>984273</v>
          </cell>
          <cell r="K248">
            <v>2639208</v>
          </cell>
          <cell r="L248">
            <v>790155</v>
          </cell>
          <cell r="M248">
            <v>8325</v>
          </cell>
          <cell r="N248">
            <v>2285</v>
          </cell>
          <cell r="P248">
            <v>396416</v>
          </cell>
          <cell r="R248">
            <v>586160</v>
          </cell>
          <cell r="W248">
            <v>462482</v>
          </cell>
          <cell r="AA248">
            <v>68626</v>
          </cell>
          <cell r="AD248">
            <v>158825</v>
          </cell>
          <cell r="AE248">
            <v>4506</v>
          </cell>
          <cell r="AF248">
            <v>786482</v>
          </cell>
          <cell r="AK248">
            <v>36806</v>
          </cell>
          <cell r="AL248">
            <v>16750</v>
          </cell>
        </row>
        <row r="249">
          <cell r="E249">
            <v>4131236</v>
          </cell>
          <cell r="G249">
            <v>897222</v>
          </cell>
          <cell r="K249">
            <v>2544742</v>
          </cell>
          <cell r="L249">
            <v>666717</v>
          </cell>
          <cell r="M249">
            <v>18867</v>
          </cell>
          <cell r="N249">
            <v>1483</v>
          </cell>
          <cell r="P249">
            <v>395002</v>
          </cell>
          <cell r="R249">
            <v>503246</v>
          </cell>
          <cell r="W249">
            <v>511081</v>
          </cell>
          <cell r="AA249">
            <v>69224</v>
          </cell>
          <cell r="AD249">
            <v>392826</v>
          </cell>
          <cell r="AE249">
            <v>3746</v>
          </cell>
          <cell r="AF249">
            <v>432643</v>
          </cell>
          <cell r="AK249">
            <v>39837</v>
          </cell>
          <cell r="AL249">
            <v>22528</v>
          </cell>
        </row>
        <row r="250">
          <cell r="E250">
            <v>5883193</v>
          </cell>
          <cell r="G250">
            <v>1016526</v>
          </cell>
          <cell r="K250">
            <v>3034539</v>
          </cell>
          <cell r="L250">
            <v>1347889</v>
          </cell>
          <cell r="M250">
            <v>4343</v>
          </cell>
          <cell r="N250">
            <v>2168</v>
          </cell>
          <cell r="P250">
            <v>383634</v>
          </cell>
          <cell r="R250">
            <v>638121</v>
          </cell>
          <cell r="W250">
            <v>773041</v>
          </cell>
          <cell r="AA250">
            <v>79644</v>
          </cell>
          <cell r="AD250">
            <v>187246</v>
          </cell>
          <cell r="AE250">
            <v>21987</v>
          </cell>
          <cell r="AF250">
            <v>1822822</v>
          </cell>
          <cell r="AK250">
            <v>2770</v>
          </cell>
          <cell r="AL250">
            <v>2297</v>
          </cell>
        </row>
        <row r="251">
          <cell r="E251">
            <v>4478656</v>
          </cell>
          <cell r="G251">
            <v>1172224</v>
          </cell>
          <cell r="K251">
            <v>2519068</v>
          </cell>
          <cell r="L251">
            <v>647534</v>
          </cell>
          <cell r="M251">
            <v>14638</v>
          </cell>
          <cell r="N251">
            <v>2478</v>
          </cell>
          <cell r="P251">
            <v>481357</v>
          </cell>
          <cell r="R251">
            <v>691807</v>
          </cell>
          <cell r="W251">
            <v>545034</v>
          </cell>
          <cell r="AA251">
            <v>74516</v>
          </cell>
          <cell r="AD251">
            <v>303609</v>
          </cell>
          <cell r="AE251">
            <v>9741</v>
          </cell>
          <cell r="AF251">
            <v>325475</v>
          </cell>
          <cell r="AK251">
            <v>21419</v>
          </cell>
          <cell r="AL251">
            <v>9495</v>
          </cell>
        </row>
        <row r="252">
          <cell r="E252">
            <v>5451111</v>
          </cell>
          <cell r="G252">
            <v>957645</v>
          </cell>
          <cell r="K252">
            <v>2937183</v>
          </cell>
          <cell r="L252">
            <v>871439</v>
          </cell>
          <cell r="M252">
            <v>2978</v>
          </cell>
          <cell r="N252">
            <v>3773</v>
          </cell>
          <cell r="P252">
            <v>345787</v>
          </cell>
          <cell r="R252">
            <v>610438</v>
          </cell>
          <cell r="W252">
            <v>548889</v>
          </cell>
          <cell r="AA252">
            <v>81906</v>
          </cell>
          <cell r="AD252">
            <v>410334</v>
          </cell>
          <cell r="AE252">
            <v>16987</v>
          </cell>
          <cell r="AF252">
            <v>474239</v>
          </cell>
          <cell r="AK252">
            <v>145630</v>
          </cell>
          <cell r="AL252">
            <v>39522</v>
          </cell>
        </row>
        <row r="253">
          <cell r="E253">
            <v>4339280</v>
          </cell>
          <cell r="G253">
            <v>1155859</v>
          </cell>
          <cell r="K253">
            <v>2686297</v>
          </cell>
          <cell r="L253">
            <v>607373</v>
          </cell>
          <cell r="M253">
            <v>5013</v>
          </cell>
          <cell r="N253">
            <v>1159</v>
          </cell>
          <cell r="P253">
            <v>480347</v>
          </cell>
          <cell r="R253">
            <v>676238</v>
          </cell>
          <cell r="W253">
            <v>475447</v>
          </cell>
          <cell r="AA253">
            <v>71218</v>
          </cell>
          <cell r="AD253">
            <v>131104</v>
          </cell>
          <cell r="AE253">
            <v>8734</v>
          </cell>
          <cell r="AF253">
            <v>361020</v>
          </cell>
          <cell r="AK253">
            <v>72756</v>
          </cell>
          <cell r="AL253">
            <v>43132</v>
          </cell>
        </row>
        <row r="254">
          <cell r="E254">
            <v>5265483</v>
          </cell>
          <cell r="G254">
            <v>1011437</v>
          </cell>
          <cell r="K254">
            <v>2625414</v>
          </cell>
          <cell r="L254">
            <v>976511</v>
          </cell>
          <cell r="M254">
            <v>4492</v>
          </cell>
          <cell r="N254">
            <v>1052</v>
          </cell>
          <cell r="P254">
            <v>376380</v>
          </cell>
          <cell r="R254">
            <v>640277</v>
          </cell>
          <cell r="W254">
            <v>505364</v>
          </cell>
          <cell r="AA254">
            <v>82811</v>
          </cell>
          <cell r="AD254">
            <v>298916</v>
          </cell>
          <cell r="AE254">
            <v>8058</v>
          </cell>
          <cell r="AF254">
            <v>553376</v>
          </cell>
          <cell r="AK254">
            <v>62805</v>
          </cell>
          <cell r="AL254">
            <v>35233</v>
          </cell>
        </row>
        <row r="255">
          <cell r="E255">
            <v>4159363</v>
          </cell>
          <cell r="G255">
            <v>617781</v>
          </cell>
          <cell r="K255">
            <v>2501662</v>
          </cell>
          <cell r="L255">
            <v>600038</v>
          </cell>
          <cell r="M255">
            <v>5153</v>
          </cell>
          <cell r="N255">
            <v>725</v>
          </cell>
          <cell r="P255">
            <v>225293</v>
          </cell>
          <cell r="R255">
            <v>394665</v>
          </cell>
          <cell r="W255">
            <v>620000</v>
          </cell>
          <cell r="AA255">
            <v>86000</v>
          </cell>
          <cell r="AD255">
            <v>129017</v>
          </cell>
          <cell r="AE255">
            <v>6797</v>
          </cell>
          <cell r="AF255">
            <v>219840</v>
          </cell>
          <cell r="AK255">
            <v>24823</v>
          </cell>
          <cell r="AL255">
            <v>16969</v>
          </cell>
        </row>
        <row r="256">
          <cell r="E256">
            <v>4385506</v>
          </cell>
          <cell r="G256">
            <v>976743</v>
          </cell>
          <cell r="K256">
            <v>2578166</v>
          </cell>
          <cell r="L256">
            <v>596680</v>
          </cell>
          <cell r="M256">
            <v>22806</v>
          </cell>
          <cell r="N256">
            <v>1149</v>
          </cell>
          <cell r="P256">
            <v>410816</v>
          </cell>
          <cell r="R256">
            <v>566875</v>
          </cell>
          <cell r="W256">
            <v>257786</v>
          </cell>
          <cell r="AA256">
            <v>81894</v>
          </cell>
          <cell r="AD256">
            <v>457264</v>
          </cell>
          <cell r="AE256">
            <v>12138</v>
          </cell>
          <cell r="AF256">
            <v>434477</v>
          </cell>
          <cell r="AK256">
            <v>26552</v>
          </cell>
          <cell r="AL256">
            <v>18984</v>
          </cell>
        </row>
        <row r="257">
          <cell r="E257">
            <v>5180037</v>
          </cell>
          <cell r="G257">
            <v>753762</v>
          </cell>
          <cell r="K257">
            <v>2467171</v>
          </cell>
          <cell r="L257">
            <v>1464456</v>
          </cell>
          <cell r="M257">
            <v>21496</v>
          </cell>
          <cell r="N257">
            <v>2326</v>
          </cell>
          <cell r="P257">
            <v>376989</v>
          </cell>
          <cell r="R257">
            <v>378834</v>
          </cell>
          <cell r="W257">
            <v>547811</v>
          </cell>
          <cell r="AA257">
            <v>83537</v>
          </cell>
          <cell r="AD257">
            <v>347414</v>
          </cell>
          <cell r="AE257">
            <v>8032</v>
          </cell>
          <cell r="AF257">
            <v>707857</v>
          </cell>
          <cell r="AK257">
            <v>40173</v>
          </cell>
          <cell r="AL257">
            <v>30246</v>
          </cell>
        </row>
        <row r="258">
          <cell r="E258">
            <v>8068333</v>
          </cell>
          <cell r="G258">
            <v>1180312</v>
          </cell>
          <cell r="K258">
            <v>224643</v>
          </cell>
          <cell r="L258">
            <v>4992885</v>
          </cell>
          <cell r="M258">
            <v>19583</v>
          </cell>
          <cell r="N258">
            <v>1288</v>
          </cell>
          <cell r="P258">
            <v>518555</v>
          </cell>
          <cell r="R258">
            <v>662687</v>
          </cell>
          <cell r="W258">
            <v>787002</v>
          </cell>
          <cell r="AA258">
            <v>160687</v>
          </cell>
          <cell r="AD258">
            <v>548441</v>
          </cell>
          <cell r="AE258">
            <v>6249</v>
          </cell>
          <cell r="AF258">
            <v>511002</v>
          </cell>
          <cell r="AK258">
            <v>37293</v>
          </cell>
          <cell r="AL258">
            <v>24962</v>
          </cell>
        </row>
        <row r="259">
          <cell r="E259">
            <v>5222888</v>
          </cell>
          <cell r="G259">
            <v>1082997</v>
          </cell>
          <cell r="K259">
            <v>2507997</v>
          </cell>
          <cell r="L259">
            <v>1348399</v>
          </cell>
          <cell r="M259">
            <v>9184</v>
          </cell>
          <cell r="N259">
            <v>1072</v>
          </cell>
          <cell r="P259">
            <v>431581</v>
          </cell>
          <cell r="R259">
            <v>651542</v>
          </cell>
          <cell r="W259">
            <v>474703</v>
          </cell>
          <cell r="AA259">
            <v>73628</v>
          </cell>
          <cell r="AD259">
            <v>473104</v>
          </cell>
          <cell r="AE259">
            <v>12806</v>
          </cell>
          <cell r="AF259">
            <v>616214</v>
          </cell>
          <cell r="AK259">
            <v>39472</v>
          </cell>
          <cell r="AL259">
            <v>41002</v>
          </cell>
        </row>
        <row r="260">
          <cell r="E260">
            <v>5475812</v>
          </cell>
          <cell r="G260">
            <v>1150734</v>
          </cell>
          <cell r="K260">
            <v>2707566</v>
          </cell>
          <cell r="L260">
            <v>1134712</v>
          </cell>
          <cell r="M260">
            <v>3637</v>
          </cell>
          <cell r="N260">
            <v>1095</v>
          </cell>
          <cell r="P260">
            <v>492630</v>
          </cell>
          <cell r="R260">
            <v>659272</v>
          </cell>
          <cell r="W260">
            <v>493359</v>
          </cell>
          <cell r="AA260">
            <v>72332</v>
          </cell>
          <cell r="AD260">
            <v>401496</v>
          </cell>
          <cell r="AE260">
            <v>9177</v>
          </cell>
          <cell r="AF260">
            <v>1235684</v>
          </cell>
          <cell r="AK260">
            <v>57117</v>
          </cell>
          <cell r="AL260">
            <v>38165</v>
          </cell>
        </row>
        <row r="261">
          <cell r="E261">
            <v>4669591</v>
          </cell>
          <cell r="G261">
            <v>749771</v>
          </cell>
          <cell r="K261">
            <v>2934673</v>
          </cell>
          <cell r="L261">
            <v>780919</v>
          </cell>
          <cell r="M261">
            <v>8737</v>
          </cell>
          <cell r="N261">
            <v>916</v>
          </cell>
          <cell r="P261">
            <v>296625</v>
          </cell>
          <cell r="R261">
            <v>454035</v>
          </cell>
          <cell r="W261">
            <v>573859</v>
          </cell>
          <cell r="AA261">
            <v>79072</v>
          </cell>
          <cell r="AD261">
            <v>639854</v>
          </cell>
          <cell r="AE261">
            <v>33447</v>
          </cell>
          <cell r="AF261">
            <v>730930</v>
          </cell>
          <cell r="AK261">
            <v>40597</v>
          </cell>
          <cell r="AL261">
            <v>21453</v>
          </cell>
        </row>
        <row r="262">
          <cell r="E262">
            <v>5344550</v>
          </cell>
          <cell r="G262">
            <v>993618</v>
          </cell>
          <cell r="K262">
            <v>2840993</v>
          </cell>
          <cell r="L262">
            <v>1035506</v>
          </cell>
          <cell r="M262">
            <v>6239</v>
          </cell>
          <cell r="N262">
            <v>2745</v>
          </cell>
          <cell r="P262">
            <v>431036</v>
          </cell>
          <cell r="R262">
            <v>566228</v>
          </cell>
          <cell r="W262">
            <v>581195</v>
          </cell>
          <cell r="AA262">
            <v>78996</v>
          </cell>
          <cell r="AD262">
            <v>407586</v>
          </cell>
          <cell r="AE262">
            <v>5720</v>
          </cell>
          <cell r="AF262">
            <v>446805</v>
          </cell>
          <cell r="AK262">
            <v>37024</v>
          </cell>
          <cell r="AL262">
            <v>24485</v>
          </cell>
        </row>
        <row r="263">
          <cell r="E263">
            <v>5161206</v>
          </cell>
          <cell r="G263">
            <v>1044234</v>
          </cell>
          <cell r="K263">
            <v>2897745</v>
          </cell>
          <cell r="L263">
            <v>1012183</v>
          </cell>
          <cell r="M263">
            <v>13176</v>
          </cell>
          <cell r="N263">
            <v>2572</v>
          </cell>
          <cell r="P263">
            <v>479717</v>
          </cell>
          <cell r="R263">
            <v>565145</v>
          </cell>
          <cell r="W263">
            <v>612826</v>
          </cell>
          <cell r="AA263">
            <v>75210</v>
          </cell>
          <cell r="AD263">
            <v>638478</v>
          </cell>
          <cell r="AE263">
            <v>37162</v>
          </cell>
          <cell r="AF263">
            <v>538549</v>
          </cell>
          <cell r="AK263">
            <v>43602</v>
          </cell>
          <cell r="AL263">
            <v>28512</v>
          </cell>
        </row>
        <row r="264">
          <cell r="E264">
            <v>5896679</v>
          </cell>
          <cell r="G264">
            <v>1056980</v>
          </cell>
          <cell r="K264">
            <v>3085069</v>
          </cell>
          <cell r="L264">
            <v>1147329</v>
          </cell>
          <cell r="M264">
            <v>261201</v>
          </cell>
          <cell r="N264">
            <v>2364</v>
          </cell>
          <cell r="P264">
            <v>457668</v>
          </cell>
          <cell r="R264">
            <v>599568</v>
          </cell>
          <cell r="W264">
            <v>611255</v>
          </cell>
          <cell r="AA264">
            <v>84656</v>
          </cell>
          <cell r="AD264">
            <v>992541</v>
          </cell>
          <cell r="AE264">
            <v>12462</v>
          </cell>
          <cell r="AF264">
            <v>705747</v>
          </cell>
          <cell r="AK264">
            <v>65493</v>
          </cell>
          <cell r="AL264">
            <v>35285</v>
          </cell>
        </row>
        <row r="265">
          <cell r="E265">
            <v>7167485</v>
          </cell>
          <cell r="G265">
            <v>1124070</v>
          </cell>
          <cell r="K265">
            <v>2866411</v>
          </cell>
          <cell r="L265">
            <v>1366384</v>
          </cell>
          <cell r="M265">
            <v>6240</v>
          </cell>
          <cell r="N265">
            <v>3538</v>
          </cell>
          <cell r="P265">
            <v>473395</v>
          </cell>
          <cell r="R265">
            <v>649743</v>
          </cell>
          <cell r="W265">
            <v>594037</v>
          </cell>
          <cell r="AA265">
            <v>79899</v>
          </cell>
          <cell r="AD265">
            <v>1175722</v>
          </cell>
          <cell r="AE265">
            <v>19592</v>
          </cell>
          <cell r="AF265">
            <v>654403</v>
          </cell>
          <cell r="AK265">
            <v>46725</v>
          </cell>
          <cell r="AL265">
            <v>41493</v>
          </cell>
        </row>
        <row r="266">
          <cell r="E266">
            <v>5845957</v>
          </cell>
          <cell r="G266">
            <v>927543</v>
          </cell>
          <cell r="K266">
            <v>2921374</v>
          </cell>
          <cell r="L266">
            <v>826410</v>
          </cell>
          <cell r="M266">
            <v>11035</v>
          </cell>
          <cell r="N266">
            <v>1005</v>
          </cell>
          <cell r="P266">
            <v>383946</v>
          </cell>
          <cell r="R266">
            <v>544639</v>
          </cell>
          <cell r="W266">
            <v>886940</v>
          </cell>
          <cell r="AA266">
            <v>101172</v>
          </cell>
          <cell r="AD266">
            <v>3520936</v>
          </cell>
          <cell r="AE266">
            <v>12691</v>
          </cell>
          <cell r="AF266">
            <v>394109</v>
          </cell>
          <cell r="AK266">
            <v>33592</v>
          </cell>
          <cell r="AL266">
            <v>22049</v>
          </cell>
        </row>
        <row r="267">
          <cell r="E267">
            <v>5624148</v>
          </cell>
          <cell r="G267">
            <v>866589</v>
          </cell>
          <cell r="K267">
            <v>3099346</v>
          </cell>
          <cell r="L267">
            <v>957678</v>
          </cell>
          <cell r="M267">
            <v>15157</v>
          </cell>
          <cell r="N267">
            <v>1564</v>
          </cell>
          <cell r="P267">
            <v>334980</v>
          </cell>
          <cell r="R267">
            <v>533387</v>
          </cell>
          <cell r="W267">
            <v>614580</v>
          </cell>
          <cell r="AA267">
            <v>88408</v>
          </cell>
          <cell r="AD267">
            <v>6517527</v>
          </cell>
          <cell r="AE267">
            <v>28426</v>
          </cell>
          <cell r="AF267">
            <v>403417</v>
          </cell>
          <cell r="AK267">
            <v>23395</v>
          </cell>
          <cell r="AL267">
            <v>14108</v>
          </cell>
        </row>
        <row r="268">
          <cell r="E268">
            <v>5068676</v>
          </cell>
          <cell r="G268">
            <v>1016884</v>
          </cell>
          <cell r="K268">
            <v>2881043</v>
          </cell>
          <cell r="L268">
            <v>1007429</v>
          </cell>
          <cell r="M268">
            <v>272991</v>
          </cell>
          <cell r="N268">
            <v>1788</v>
          </cell>
          <cell r="P268">
            <v>459682</v>
          </cell>
          <cell r="R268">
            <v>557828</v>
          </cell>
          <cell r="W268">
            <v>642294</v>
          </cell>
          <cell r="AA268">
            <v>81254</v>
          </cell>
          <cell r="AD268">
            <v>101745</v>
          </cell>
          <cell r="AE268">
            <v>13939</v>
          </cell>
          <cell r="AF268">
            <v>464017</v>
          </cell>
          <cell r="AK268">
            <v>60778</v>
          </cell>
          <cell r="AL268">
            <v>36780</v>
          </cell>
        </row>
        <row r="269">
          <cell r="E269">
            <v>4648664</v>
          </cell>
          <cell r="G269">
            <v>976668</v>
          </cell>
          <cell r="K269">
            <v>2051394</v>
          </cell>
          <cell r="L269">
            <v>947896</v>
          </cell>
          <cell r="M269">
            <v>33288</v>
          </cell>
          <cell r="N269">
            <v>2044</v>
          </cell>
          <cell r="P269">
            <v>410422</v>
          </cell>
          <cell r="R269">
            <v>570171</v>
          </cell>
          <cell r="W269">
            <v>669365</v>
          </cell>
          <cell r="AA269">
            <v>88861</v>
          </cell>
          <cell r="AD269">
            <v>153554</v>
          </cell>
          <cell r="AE269">
            <v>12979</v>
          </cell>
          <cell r="AF269">
            <v>628476</v>
          </cell>
          <cell r="AK269">
            <v>48134</v>
          </cell>
          <cell r="AL269">
            <v>30529</v>
          </cell>
        </row>
        <row r="270">
          <cell r="E270">
            <v>8464050</v>
          </cell>
          <cell r="G270">
            <v>1022880</v>
          </cell>
          <cell r="K270">
            <v>106676</v>
          </cell>
          <cell r="L270">
            <v>5347921</v>
          </cell>
          <cell r="M270">
            <v>7165</v>
          </cell>
          <cell r="N270">
            <v>1452</v>
          </cell>
          <cell r="P270">
            <v>365388</v>
          </cell>
          <cell r="R270">
            <v>658818</v>
          </cell>
          <cell r="W270">
            <v>1094937</v>
          </cell>
          <cell r="AA270">
            <v>153592</v>
          </cell>
          <cell r="AD270">
            <v>562007</v>
          </cell>
          <cell r="AE270">
            <v>6371</v>
          </cell>
          <cell r="AF270">
            <v>944434</v>
          </cell>
          <cell r="AK270">
            <v>54015</v>
          </cell>
          <cell r="AL270">
            <v>34641</v>
          </cell>
        </row>
        <row r="271">
          <cell r="E271">
            <v>5622723</v>
          </cell>
          <cell r="G271">
            <v>1028478</v>
          </cell>
          <cell r="K271">
            <v>2570955</v>
          </cell>
          <cell r="L271">
            <v>1771751</v>
          </cell>
          <cell r="M271">
            <v>92404</v>
          </cell>
          <cell r="N271">
            <v>5311</v>
          </cell>
          <cell r="P271">
            <v>451953</v>
          </cell>
          <cell r="R271">
            <v>574828</v>
          </cell>
          <cell r="W271">
            <v>638458</v>
          </cell>
          <cell r="AA271">
            <v>71048</v>
          </cell>
          <cell r="AD271">
            <v>115069</v>
          </cell>
          <cell r="AE271">
            <v>8561</v>
          </cell>
          <cell r="AF271">
            <v>955264</v>
          </cell>
          <cell r="AK271">
            <v>36006</v>
          </cell>
          <cell r="AL271">
            <v>29617</v>
          </cell>
        </row>
        <row r="272">
          <cell r="E272">
            <v>6030293</v>
          </cell>
          <cell r="G272">
            <v>1174428</v>
          </cell>
          <cell r="K272">
            <v>2946170</v>
          </cell>
          <cell r="L272">
            <v>1442774</v>
          </cell>
          <cell r="M272">
            <v>62715</v>
          </cell>
          <cell r="N272">
            <v>1096</v>
          </cell>
          <cell r="P272">
            <v>519921</v>
          </cell>
          <cell r="R272">
            <v>653929</v>
          </cell>
          <cell r="W272">
            <v>627200</v>
          </cell>
          <cell r="AA272">
            <v>71660</v>
          </cell>
          <cell r="AD272">
            <v>137275</v>
          </cell>
          <cell r="AE272">
            <v>15240</v>
          </cell>
          <cell r="AF272">
            <v>724546</v>
          </cell>
          <cell r="AK272">
            <v>44988</v>
          </cell>
          <cell r="AL272">
            <v>24892</v>
          </cell>
        </row>
        <row r="273">
          <cell r="E273">
            <v>5424412</v>
          </cell>
          <cell r="G273">
            <v>881331</v>
          </cell>
          <cell r="K273">
            <v>3240893</v>
          </cell>
          <cell r="L273">
            <v>1128436</v>
          </cell>
          <cell r="M273">
            <v>4804</v>
          </cell>
          <cell r="N273">
            <v>1382</v>
          </cell>
          <cell r="P273">
            <v>366810</v>
          </cell>
          <cell r="R273">
            <v>516053</v>
          </cell>
          <cell r="W273">
            <v>632310</v>
          </cell>
          <cell r="AA273">
            <v>79602</v>
          </cell>
          <cell r="AD273">
            <v>107126</v>
          </cell>
          <cell r="AE273">
            <v>56219</v>
          </cell>
          <cell r="AF273">
            <v>703329</v>
          </cell>
          <cell r="AK273">
            <v>31763</v>
          </cell>
          <cell r="AL273">
            <v>21778</v>
          </cell>
        </row>
        <row r="274">
          <cell r="E274">
            <v>5102359</v>
          </cell>
          <cell r="G274">
            <v>1106237</v>
          </cell>
          <cell r="K274">
            <v>2764498</v>
          </cell>
          <cell r="L274">
            <v>712360</v>
          </cell>
          <cell r="M274">
            <v>6405</v>
          </cell>
          <cell r="N274">
            <v>691</v>
          </cell>
          <cell r="P274">
            <v>510811</v>
          </cell>
          <cell r="R274">
            <v>599663</v>
          </cell>
          <cell r="W274">
            <v>649256</v>
          </cell>
          <cell r="AA274">
            <v>76962</v>
          </cell>
          <cell r="AD274">
            <v>146719</v>
          </cell>
          <cell r="AE274">
            <v>29524</v>
          </cell>
          <cell r="AF274">
            <v>1572579</v>
          </cell>
          <cell r="AK274">
            <v>37003</v>
          </cell>
          <cell r="AL274">
            <v>21863</v>
          </cell>
        </row>
        <row r="275">
          <cell r="E275">
            <v>5317108</v>
          </cell>
          <cell r="G275">
            <v>1051333</v>
          </cell>
          <cell r="K275">
            <v>2917411</v>
          </cell>
          <cell r="L275">
            <v>1339761</v>
          </cell>
          <cell r="M275">
            <v>7361</v>
          </cell>
          <cell r="N275">
            <v>1321</v>
          </cell>
          <cell r="P275">
            <v>492092</v>
          </cell>
          <cell r="R275">
            <v>559808</v>
          </cell>
          <cell r="W275">
            <v>712769</v>
          </cell>
          <cell r="AA275">
            <v>74224</v>
          </cell>
          <cell r="AD275">
            <v>357481</v>
          </cell>
          <cell r="AE275">
            <v>171569</v>
          </cell>
          <cell r="AF275">
            <v>574879</v>
          </cell>
          <cell r="AK275">
            <v>47151</v>
          </cell>
          <cell r="AL275">
            <v>33519</v>
          </cell>
        </row>
        <row r="276">
          <cell r="E276">
            <v>5847306</v>
          </cell>
          <cell r="G276">
            <v>1110766</v>
          </cell>
          <cell r="K276">
            <v>3041364</v>
          </cell>
          <cell r="L276">
            <v>973839</v>
          </cell>
          <cell r="M276">
            <v>19682</v>
          </cell>
          <cell r="N276">
            <v>1867</v>
          </cell>
          <cell r="P276">
            <v>432610</v>
          </cell>
          <cell r="R276">
            <v>679570</v>
          </cell>
          <cell r="W276">
            <v>897319</v>
          </cell>
          <cell r="AA276">
            <v>79874</v>
          </cell>
          <cell r="AD276">
            <v>196397</v>
          </cell>
          <cell r="AE276">
            <v>17324</v>
          </cell>
          <cell r="AF276">
            <v>748035</v>
          </cell>
          <cell r="AK276">
            <v>35672</v>
          </cell>
          <cell r="AL276">
            <v>26954</v>
          </cell>
        </row>
        <row r="277">
          <cell r="E277">
            <v>5625748</v>
          </cell>
          <cell r="G277">
            <v>1091491</v>
          </cell>
          <cell r="K277">
            <v>3139647</v>
          </cell>
          <cell r="L277">
            <v>1231601</v>
          </cell>
          <cell r="M277">
            <v>6597</v>
          </cell>
          <cell r="N277">
            <v>4194</v>
          </cell>
          <cell r="P277">
            <v>429016</v>
          </cell>
          <cell r="R277">
            <v>661942</v>
          </cell>
          <cell r="W277">
            <v>632361</v>
          </cell>
          <cell r="AA277">
            <v>79524</v>
          </cell>
          <cell r="AD277">
            <v>357902</v>
          </cell>
          <cell r="AE277">
            <v>20512</v>
          </cell>
          <cell r="AF277">
            <v>1031320</v>
          </cell>
          <cell r="AK277">
            <v>40534</v>
          </cell>
          <cell r="AL277">
            <v>33170</v>
          </cell>
        </row>
        <row r="278">
          <cell r="E278">
            <v>4492793</v>
          </cell>
          <cell r="G278">
            <v>699485</v>
          </cell>
          <cell r="K278">
            <v>2585699</v>
          </cell>
          <cell r="L278">
            <v>567916</v>
          </cell>
          <cell r="M278">
            <v>2233</v>
          </cell>
          <cell r="N278">
            <v>951</v>
          </cell>
          <cell r="P278">
            <v>287218</v>
          </cell>
          <cell r="R278">
            <v>412248</v>
          </cell>
          <cell r="W278">
            <v>548500</v>
          </cell>
          <cell r="AA278">
            <v>65142</v>
          </cell>
          <cell r="AD278">
            <v>132938</v>
          </cell>
          <cell r="AE278">
            <v>3938</v>
          </cell>
          <cell r="AF278">
            <v>591248</v>
          </cell>
          <cell r="AK278">
            <v>19848</v>
          </cell>
          <cell r="AL278">
            <v>14312</v>
          </cell>
        </row>
        <row r="279">
          <cell r="E279">
            <v>5364265</v>
          </cell>
          <cell r="G279">
            <v>1075160</v>
          </cell>
          <cell r="K279">
            <v>3263032</v>
          </cell>
          <cell r="L279">
            <v>754846</v>
          </cell>
          <cell r="M279">
            <v>11238</v>
          </cell>
          <cell r="N279">
            <v>1531</v>
          </cell>
          <cell r="P279">
            <v>493405</v>
          </cell>
          <cell r="R279">
            <v>582796</v>
          </cell>
          <cell r="W279">
            <v>562173</v>
          </cell>
          <cell r="AA279">
            <v>86495</v>
          </cell>
          <cell r="AD279">
            <v>181529</v>
          </cell>
          <cell r="AE279">
            <v>14245</v>
          </cell>
          <cell r="AF279">
            <v>621943</v>
          </cell>
          <cell r="AK279">
            <v>53143</v>
          </cell>
          <cell r="AL279">
            <v>32410</v>
          </cell>
        </row>
        <row r="280">
          <cell r="E280">
            <v>5602471</v>
          </cell>
          <cell r="G280">
            <v>871154</v>
          </cell>
          <cell r="K280">
            <v>3230147</v>
          </cell>
          <cell r="L280">
            <v>702833</v>
          </cell>
          <cell r="M280">
            <v>11835</v>
          </cell>
          <cell r="N280">
            <v>2483</v>
          </cell>
          <cell r="P280">
            <v>345566</v>
          </cell>
          <cell r="R280">
            <v>525966</v>
          </cell>
          <cell r="W280">
            <v>626556</v>
          </cell>
          <cell r="AA280">
            <v>83555</v>
          </cell>
          <cell r="AD280">
            <v>244439</v>
          </cell>
          <cell r="AE280">
            <v>139621</v>
          </cell>
          <cell r="AF280">
            <v>769848</v>
          </cell>
          <cell r="AK280">
            <v>52409</v>
          </cell>
          <cell r="AL280">
            <v>27924</v>
          </cell>
        </row>
        <row r="281">
          <cell r="E281">
            <v>5735020</v>
          </cell>
          <cell r="G281">
            <v>1061195</v>
          </cell>
          <cell r="K281">
            <v>2356115</v>
          </cell>
          <cell r="L281">
            <v>1682665</v>
          </cell>
          <cell r="M281">
            <v>10518</v>
          </cell>
          <cell r="N281">
            <v>5008</v>
          </cell>
          <cell r="P281">
            <v>482709</v>
          </cell>
          <cell r="R281">
            <v>577122</v>
          </cell>
          <cell r="W281">
            <v>647426</v>
          </cell>
          <cell r="AA281">
            <v>78864</v>
          </cell>
          <cell r="AD281">
            <v>499057</v>
          </cell>
          <cell r="AE281">
            <v>10917</v>
          </cell>
          <cell r="AF281">
            <v>606978</v>
          </cell>
          <cell r="AK281">
            <v>44312</v>
          </cell>
          <cell r="AL281">
            <v>36187</v>
          </cell>
        </row>
        <row r="282">
          <cell r="E282">
            <v>8203425</v>
          </cell>
          <cell r="G282">
            <v>1165392</v>
          </cell>
          <cell r="K282">
            <v>520841</v>
          </cell>
          <cell r="L282">
            <v>4871787</v>
          </cell>
          <cell r="M282">
            <v>21139</v>
          </cell>
          <cell r="N282">
            <v>2742</v>
          </cell>
          <cell r="P282">
            <v>481900</v>
          </cell>
          <cell r="R282">
            <v>682221</v>
          </cell>
          <cell r="W282">
            <v>1010221</v>
          </cell>
          <cell r="AA282">
            <v>163463</v>
          </cell>
          <cell r="AD282">
            <v>1025310</v>
          </cell>
          <cell r="AE282">
            <v>25397</v>
          </cell>
          <cell r="AF282">
            <v>1407650</v>
          </cell>
          <cell r="AK282">
            <v>38248</v>
          </cell>
          <cell r="AL282">
            <v>30638</v>
          </cell>
        </row>
        <row r="283">
          <cell r="E283">
            <v>6019359</v>
          </cell>
          <cell r="G283">
            <v>1006428</v>
          </cell>
          <cell r="K283">
            <v>2942760</v>
          </cell>
          <cell r="L283">
            <v>1639298</v>
          </cell>
          <cell r="M283">
            <v>49972</v>
          </cell>
          <cell r="N283">
            <v>1888</v>
          </cell>
          <cell r="P283">
            <v>411662</v>
          </cell>
          <cell r="R283">
            <v>594210</v>
          </cell>
          <cell r="W283">
            <v>664661</v>
          </cell>
          <cell r="AA283">
            <v>69498</v>
          </cell>
          <cell r="AD283">
            <v>194521</v>
          </cell>
          <cell r="AE283">
            <v>8431</v>
          </cell>
          <cell r="AF283">
            <v>2126446</v>
          </cell>
          <cell r="AK283">
            <v>78879</v>
          </cell>
          <cell r="AL283">
            <v>30080</v>
          </cell>
        </row>
        <row r="284">
          <cell r="E284">
            <v>6262260</v>
          </cell>
          <cell r="G284">
            <v>1014237</v>
          </cell>
          <cell r="K284">
            <v>3289401</v>
          </cell>
          <cell r="L284">
            <v>1271633</v>
          </cell>
          <cell r="M284">
            <v>6476</v>
          </cell>
          <cell r="N284">
            <v>2801</v>
          </cell>
          <cell r="P284">
            <v>432476</v>
          </cell>
          <cell r="R284">
            <v>585607</v>
          </cell>
          <cell r="W284">
            <v>615476</v>
          </cell>
          <cell r="AA284">
            <v>76675</v>
          </cell>
          <cell r="AD284">
            <v>193078</v>
          </cell>
          <cell r="AE284">
            <v>11823</v>
          </cell>
          <cell r="AF284">
            <v>984459</v>
          </cell>
          <cell r="AK284">
            <v>44263</v>
          </cell>
          <cell r="AL284">
            <v>28726</v>
          </cell>
        </row>
        <row r="285">
          <cell r="E285">
            <v>5503090</v>
          </cell>
          <cell r="G285">
            <v>855019</v>
          </cell>
          <cell r="K285">
            <v>3163394</v>
          </cell>
          <cell r="L285">
            <v>913699</v>
          </cell>
          <cell r="M285">
            <v>7940</v>
          </cell>
          <cell r="N285">
            <v>2004</v>
          </cell>
          <cell r="P285">
            <v>361665</v>
          </cell>
          <cell r="R285">
            <v>492724</v>
          </cell>
          <cell r="W285">
            <v>633351</v>
          </cell>
          <cell r="AA285">
            <v>73545</v>
          </cell>
          <cell r="AD285">
            <v>188498</v>
          </cell>
          <cell r="AE285">
            <v>6875</v>
          </cell>
          <cell r="AF285">
            <v>831921</v>
          </cell>
          <cell r="AK285">
            <v>32680</v>
          </cell>
          <cell r="AL285">
            <v>30539</v>
          </cell>
        </row>
        <row r="286">
          <cell r="E286">
            <v>5849557</v>
          </cell>
          <cell r="G286">
            <v>1154114</v>
          </cell>
          <cell r="K286">
            <v>3388837</v>
          </cell>
          <cell r="L286">
            <v>782533</v>
          </cell>
          <cell r="M286">
            <v>13555</v>
          </cell>
          <cell r="N286">
            <v>3703</v>
          </cell>
          <cell r="P286">
            <v>430695</v>
          </cell>
          <cell r="R286">
            <v>721010</v>
          </cell>
          <cell r="W286">
            <v>827708</v>
          </cell>
          <cell r="AA286">
            <v>79988</v>
          </cell>
          <cell r="AD286">
            <v>220172</v>
          </cell>
          <cell r="AE286">
            <v>10240</v>
          </cell>
          <cell r="AF286">
            <v>695260</v>
          </cell>
          <cell r="AK286">
            <v>44048</v>
          </cell>
          <cell r="AL286">
            <v>24665</v>
          </cell>
        </row>
        <row r="287">
          <cell r="E287">
            <v>4924171</v>
          </cell>
          <cell r="G287">
            <v>996349</v>
          </cell>
          <cell r="K287">
            <v>3137784</v>
          </cell>
          <cell r="L287">
            <v>622011</v>
          </cell>
          <cell r="M287">
            <v>5157</v>
          </cell>
          <cell r="N287">
            <v>663</v>
          </cell>
          <cell r="P287">
            <v>398243</v>
          </cell>
          <cell r="R287">
            <v>599821</v>
          </cell>
          <cell r="W287">
            <v>779931</v>
          </cell>
          <cell r="AA287">
            <v>71918</v>
          </cell>
          <cell r="AD287">
            <v>219190</v>
          </cell>
          <cell r="AE287">
            <v>4884</v>
          </cell>
          <cell r="AF287">
            <v>581155</v>
          </cell>
          <cell r="AK287">
            <v>42167</v>
          </cell>
          <cell r="AL287">
            <v>35027</v>
          </cell>
        </row>
        <row r="288">
          <cell r="E288">
            <v>6194140</v>
          </cell>
          <cell r="G288">
            <v>1048794</v>
          </cell>
          <cell r="K288">
            <v>3152432</v>
          </cell>
          <cell r="L288">
            <v>1082443</v>
          </cell>
          <cell r="M288">
            <v>8158</v>
          </cell>
          <cell r="N288">
            <v>4096</v>
          </cell>
          <cell r="P288">
            <v>420846</v>
          </cell>
          <cell r="R288">
            <v>627589</v>
          </cell>
          <cell r="W288">
            <v>733443</v>
          </cell>
          <cell r="AA288">
            <v>86268</v>
          </cell>
          <cell r="AD288">
            <v>320265</v>
          </cell>
          <cell r="AE288">
            <v>18849</v>
          </cell>
          <cell r="AF288">
            <v>709949</v>
          </cell>
          <cell r="AK288">
            <v>35851</v>
          </cell>
          <cell r="AL288">
            <v>26963</v>
          </cell>
        </row>
        <row r="289">
          <cell r="E289">
            <v>5479103</v>
          </cell>
          <cell r="G289">
            <v>1037264</v>
          </cell>
          <cell r="K289">
            <v>3471654</v>
          </cell>
          <cell r="L289">
            <v>747864</v>
          </cell>
          <cell r="M289">
            <v>27572</v>
          </cell>
          <cell r="N289">
            <v>1153</v>
          </cell>
          <cell r="P289">
            <v>401269</v>
          </cell>
          <cell r="R289">
            <v>638437</v>
          </cell>
          <cell r="W289">
            <v>734187</v>
          </cell>
          <cell r="AA289">
            <v>84766</v>
          </cell>
          <cell r="AD289">
            <v>252451</v>
          </cell>
          <cell r="AE289">
            <v>15696</v>
          </cell>
          <cell r="AF289">
            <v>534102</v>
          </cell>
          <cell r="AK289">
            <v>42333</v>
          </cell>
          <cell r="AL289">
            <v>30991</v>
          </cell>
        </row>
        <row r="290">
          <cell r="E290">
            <v>5538741</v>
          </cell>
          <cell r="G290">
            <v>1022363</v>
          </cell>
          <cell r="K290">
            <v>3395593</v>
          </cell>
          <cell r="L290">
            <v>592533</v>
          </cell>
          <cell r="M290">
            <v>59432</v>
          </cell>
          <cell r="N290">
            <v>1194</v>
          </cell>
          <cell r="P290">
            <v>458171</v>
          </cell>
          <cell r="R290">
            <v>568797</v>
          </cell>
          <cell r="W290">
            <v>755825</v>
          </cell>
          <cell r="AA290">
            <v>82299</v>
          </cell>
          <cell r="AD290">
            <v>291572</v>
          </cell>
          <cell r="AE290">
            <v>12341</v>
          </cell>
          <cell r="AF290">
            <v>472997</v>
          </cell>
          <cell r="AK290">
            <v>28284</v>
          </cell>
          <cell r="AL290">
            <v>17007</v>
          </cell>
        </row>
        <row r="291">
          <cell r="E291">
            <v>4415777</v>
          </cell>
          <cell r="G291">
            <v>790876</v>
          </cell>
          <cell r="K291">
            <v>2481365</v>
          </cell>
          <cell r="L291">
            <v>797881</v>
          </cell>
          <cell r="M291">
            <v>10538</v>
          </cell>
          <cell r="N291">
            <v>600</v>
          </cell>
          <cell r="P291">
            <v>317594</v>
          </cell>
          <cell r="R291">
            <v>474961</v>
          </cell>
          <cell r="W291">
            <v>661986</v>
          </cell>
          <cell r="AA291">
            <v>53674</v>
          </cell>
          <cell r="AD291">
            <v>222319</v>
          </cell>
          <cell r="AE291">
            <v>6586</v>
          </cell>
          <cell r="AF291">
            <v>417750</v>
          </cell>
          <cell r="AK291">
            <v>28784</v>
          </cell>
          <cell r="AL291">
            <v>23689</v>
          </cell>
        </row>
        <row r="292">
          <cell r="E292">
            <v>6798480</v>
          </cell>
          <cell r="G292">
            <v>1070590</v>
          </cell>
          <cell r="K292">
            <v>3960465</v>
          </cell>
          <cell r="L292">
            <v>677550</v>
          </cell>
          <cell r="M292">
            <v>8477</v>
          </cell>
          <cell r="N292">
            <v>1457</v>
          </cell>
          <cell r="P292">
            <v>428131</v>
          </cell>
          <cell r="R292">
            <v>641653</v>
          </cell>
          <cell r="W292">
            <v>628855</v>
          </cell>
          <cell r="AA292">
            <v>100218</v>
          </cell>
          <cell r="AD292">
            <v>224662</v>
          </cell>
          <cell r="AE292">
            <v>9156</v>
          </cell>
          <cell r="AF292">
            <v>837352</v>
          </cell>
          <cell r="AK292">
            <v>62327</v>
          </cell>
          <cell r="AL292">
            <v>26987</v>
          </cell>
        </row>
        <row r="293">
          <cell r="E293">
            <v>6351254</v>
          </cell>
          <cell r="G293">
            <v>1153116</v>
          </cell>
          <cell r="K293">
            <v>2227599</v>
          </cell>
          <cell r="L293">
            <v>1884957</v>
          </cell>
          <cell r="M293">
            <v>10263</v>
          </cell>
          <cell r="N293">
            <v>3454</v>
          </cell>
          <cell r="P293">
            <v>504374</v>
          </cell>
          <cell r="R293">
            <v>647502</v>
          </cell>
          <cell r="W293">
            <v>973235</v>
          </cell>
          <cell r="AA293">
            <v>78843</v>
          </cell>
          <cell r="AD293">
            <v>557319</v>
          </cell>
          <cell r="AE293">
            <v>17545</v>
          </cell>
          <cell r="AF293">
            <v>1191895</v>
          </cell>
          <cell r="AK293">
            <v>75439</v>
          </cell>
          <cell r="AL293">
            <v>29075</v>
          </cell>
        </row>
        <row r="294">
          <cell r="E294">
            <v>8540321</v>
          </cell>
          <cell r="G294">
            <v>1295130</v>
          </cell>
          <cell r="K294">
            <v>91482</v>
          </cell>
          <cell r="L294">
            <v>4519901</v>
          </cell>
          <cell r="M294">
            <v>17673</v>
          </cell>
          <cell r="N294">
            <v>1183</v>
          </cell>
          <cell r="P294">
            <v>513903</v>
          </cell>
          <cell r="R294">
            <v>784424</v>
          </cell>
          <cell r="W294">
            <v>1356584</v>
          </cell>
          <cell r="AA294">
            <v>180963</v>
          </cell>
          <cell r="AD294">
            <v>1070401</v>
          </cell>
          <cell r="AE294">
            <v>16536</v>
          </cell>
          <cell r="AF294">
            <v>1252588</v>
          </cell>
          <cell r="AK294">
            <v>41808</v>
          </cell>
          <cell r="AL294">
            <v>30465</v>
          </cell>
        </row>
        <row r="295">
          <cell r="E295">
            <v>5823460</v>
          </cell>
          <cell r="G295">
            <v>1475196</v>
          </cell>
          <cell r="K295">
            <v>3013061</v>
          </cell>
          <cell r="L295">
            <v>1291778</v>
          </cell>
          <cell r="M295">
            <v>8699</v>
          </cell>
          <cell r="N295">
            <v>773</v>
          </cell>
          <cell r="P295">
            <v>596823</v>
          </cell>
          <cell r="R295">
            <v>882306</v>
          </cell>
          <cell r="W295">
            <v>741978</v>
          </cell>
          <cell r="AA295">
            <v>73564</v>
          </cell>
          <cell r="AD295">
            <v>223285</v>
          </cell>
          <cell r="AE295">
            <v>35015</v>
          </cell>
          <cell r="AF295">
            <v>1612173</v>
          </cell>
          <cell r="AK295">
            <v>44606</v>
          </cell>
          <cell r="AL295">
            <v>29370</v>
          </cell>
        </row>
        <row r="296">
          <cell r="E296">
            <v>5127201</v>
          </cell>
          <cell r="G296">
            <v>1032862</v>
          </cell>
          <cell r="K296">
            <v>2806446</v>
          </cell>
          <cell r="L296">
            <v>779811</v>
          </cell>
          <cell r="M296">
            <v>17046</v>
          </cell>
          <cell r="N296">
            <v>2439</v>
          </cell>
          <cell r="P296">
            <v>370615</v>
          </cell>
          <cell r="R296">
            <v>664825</v>
          </cell>
          <cell r="W296">
            <v>759139</v>
          </cell>
          <cell r="AA296">
            <v>73680</v>
          </cell>
          <cell r="AD296">
            <v>297960</v>
          </cell>
          <cell r="AE296">
            <v>17573</v>
          </cell>
          <cell r="AF296">
            <v>2763482</v>
          </cell>
          <cell r="AK296">
            <v>35114</v>
          </cell>
          <cell r="AL296">
            <v>22012</v>
          </cell>
        </row>
        <row r="297">
          <cell r="E297">
            <v>3980477</v>
          </cell>
          <cell r="G297">
            <v>676196</v>
          </cell>
          <cell r="K297">
            <v>2450540</v>
          </cell>
          <cell r="L297">
            <v>767947</v>
          </cell>
          <cell r="M297">
            <v>17805</v>
          </cell>
          <cell r="N297">
            <v>447</v>
          </cell>
          <cell r="P297">
            <v>269591</v>
          </cell>
          <cell r="R297">
            <v>411245</v>
          </cell>
          <cell r="W297">
            <v>797487</v>
          </cell>
          <cell r="AA297">
            <v>62902</v>
          </cell>
          <cell r="AD297">
            <v>104488</v>
          </cell>
          <cell r="AE297">
            <v>14906</v>
          </cell>
          <cell r="AF297">
            <v>977757</v>
          </cell>
          <cell r="AK297">
            <v>41274</v>
          </cell>
          <cell r="AL297">
            <v>20528</v>
          </cell>
        </row>
        <row r="298">
          <cell r="E298">
            <v>4580607</v>
          </cell>
          <cell r="G298">
            <v>820048</v>
          </cell>
          <cell r="K298">
            <v>2451979</v>
          </cell>
          <cell r="L298">
            <v>554670</v>
          </cell>
          <cell r="M298">
            <v>24133</v>
          </cell>
          <cell r="N298">
            <v>357</v>
          </cell>
          <cell r="P298">
            <v>319857</v>
          </cell>
          <cell r="R298">
            <v>507712</v>
          </cell>
          <cell r="W298">
            <v>686675</v>
          </cell>
          <cell r="AA298">
            <v>67208</v>
          </cell>
          <cell r="AD298">
            <v>345195</v>
          </cell>
          <cell r="AE298">
            <v>18814</v>
          </cell>
          <cell r="AF298">
            <v>773003</v>
          </cell>
          <cell r="AK298">
            <v>35157</v>
          </cell>
          <cell r="AL298">
            <v>28427</v>
          </cell>
        </row>
        <row r="299">
          <cell r="E299">
            <v>5470235</v>
          </cell>
          <cell r="G299">
            <v>735579</v>
          </cell>
          <cell r="K299">
            <v>2872341</v>
          </cell>
          <cell r="L299">
            <v>1141550</v>
          </cell>
          <cell r="M299">
            <v>9129</v>
          </cell>
          <cell r="N299">
            <v>797</v>
          </cell>
          <cell r="P299">
            <v>337090</v>
          </cell>
          <cell r="R299">
            <v>400822</v>
          </cell>
          <cell r="W299">
            <v>680488</v>
          </cell>
          <cell r="AA299">
            <v>61397</v>
          </cell>
          <cell r="AD299">
            <v>160668</v>
          </cell>
          <cell r="AE299">
            <v>13971</v>
          </cell>
          <cell r="AF299">
            <v>623411</v>
          </cell>
          <cell r="AK299">
            <v>40274</v>
          </cell>
          <cell r="AL299">
            <v>23897</v>
          </cell>
        </row>
        <row r="300">
          <cell r="E300">
            <v>6012776</v>
          </cell>
          <cell r="G300">
            <v>1027045</v>
          </cell>
          <cell r="K300">
            <v>2930621</v>
          </cell>
          <cell r="L300">
            <v>1210535</v>
          </cell>
          <cell r="M300">
            <v>14363</v>
          </cell>
          <cell r="N300">
            <v>1257</v>
          </cell>
          <cell r="P300">
            <v>474847</v>
          </cell>
          <cell r="R300">
            <v>555453</v>
          </cell>
          <cell r="W300">
            <v>657691</v>
          </cell>
          <cell r="AA300">
            <v>59079</v>
          </cell>
          <cell r="AD300">
            <v>230392</v>
          </cell>
          <cell r="AE300">
            <v>54283</v>
          </cell>
          <cell r="AF300">
            <v>739651</v>
          </cell>
          <cell r="AK300">
            <v>35460</v>
          </cell>
          <cell r="AL300">
            <v>27994</v>
          </cell>
        </row>
        <row r="301">
          <cell r="E301">
            <v>5508710</v>
          </cell>
          <cell r="G301">
            <v>1159325</v>
          </cell>
          <cell r="K301">
            <v>3042126</v>
          </cell>
          <cell r="L301">
            <v>987036</v>
          </cell>
          <cell r="M301">
            <v>8729</v>
          </cell>
          <cell r="N301">
            <v>1750</v>
          </cell>
          <cell r="P301">
            <v>478366</v>
          </cell>
          <cell r="R301">
            <v>684061</v>
          </cell>
          <cell r="W301">
            <v>661467</v>
          </cell>
          <cell r="AA301">
            <v>51506</v>
          </cell>
          <cell r="AD301">
            <v>261635</v>
          </cell>
          <cell r="AE301">
            <v>11133</v>
          </cell>
          <cell r="AF301">
            <v>560239</v>
          </cell>
          <cell r="AK301">
            <v>56955</v>
          </cell>
          <cell r="AL301">
            <v>41357</v>
          </cell>
        </row>
        <row r="302">
          <cell r="E302">
            <v>5922506</v>
          </cell>
          <cell r="G302">
            <v>817019</v>
          </cell>
          <cell r="K302">
            <v>3029746</v>
          </cell>
          <cell r="L302">
            <v>940036</v>
          </cell>
          <cell r="M302">
            <v>11392</v>
          </cell>
          <cell r="N302">
            <v>2348</v>
          </cell>
          <cell r="P302">
            <v>319024</v>
          </cell>
          <cell r="R302">
            <v>499556</v>
          </cell>
          <cell r="W302">
            <v>762288</v>
          </cell>
          <cell r="AA302">
            <v>65477</v>
          </cell>
          <cell r="AD302">
            <v>253156</v>
          </cell>
          <cell r="AE302">
            <v>10184</v>
          </cell>
          <cell r="AF302">
            <v>474290</v>
          </cell>
          <cell r="AK302">
            <v>27090</v>
          </cell>
          <cell r="AL302">
            <v>23280</v>
          </cell>
        </row>
        <row r="303">
          <cell r="E303">
            <v>5174091</v>
          </cell>
          <cell r="G303">
            <v>874237</v>
          </cell>
          <cell r="K303">
            <v>3153397</v>
          </cell>
          <cell r="L303">
            <v>813779</v>
          </cell>
          <cell r="M303">
            <v>58261</v>
          </cell>
          <cell r="N303">
            <v>159</v>
          </cell>
          <cell r="P303">
            <v>357804</v>
          </cell>
          <cell r="R303">
            <v>521199</v>
          </cell>
          <cell r="W303">
            <v>643330</v>
          </cell>
          <cell r="AA303">
            <v>61256</v>
          </cell>
          <cell r="AD303">
            <v>214371</v>
          </cell>
          <cell r="AE303">
            <v>25216</v>
          </cell>
          <cell r="AF303">
            <v>602238</v>
          </cell>
          <cell r="AK303">
            <v>22192</v>
          </cell>
          <cell r="AL303">
            <v>15408</v>
          </cell>
        </row>
        <row r="304">
          <cell r="E304">
            <v>6424100</v>
          </cell>
          <cell r="G304">
            <v>1086901</v>
          </cell>
          <cell r="K304">
            <v>3930351</v>
          </cell>
          <cell r="L304">
            <v>793300</v>
          </cell>
          <cell r="M304">
            <v>10939</v>
          </cell>
          <cell r="N304">
            <v>599</v>
          </cell>
          <cell r="P304">
            <v>440176</v>
          </cell>
          <cell r="R304">
            <v>652098</v>
          </cell>
          <cell r="W304">
            <v>719122</v>
          </cell>
          <cell r="AA304">
            <v>59425</v>
          </cell>
          <cell r="AD304">
            <v>209547</v>
          </cell>
          <cell r="AE304">
            <v>13035</v>
          </cell>
          <cell r="AF304">
            <v>597966</v>
          </cell>
          <cell r="AK304">
            <v>50956</v>
          </cell>
          <cell r="AL304">
            <v>24460</v>
          </cell>
        </row>
        <row r="305">
          <cell r="E305">
            <v>5523793</v>
          </cell>
          <cell r="G305">
            <v>1243802</v>
          </cell>
          <cell r="K305">
            <v>2600951</v>
          </cell>
          <cell r="L305">
            <v>1079665</v>
          </cell>
          <cell r="M305">
            <v>19412</v>
          </cell>
          <cell r="N305">
            <v>2224</v>
          </cell>
          <cell r="P305">
            <v>541092</v>
          </cell>
          <cell r="R305">
            <v>704902</v>
          </cell>
          <cell r="W305">
            <v>674330</v>
          </cell>
          <cell r="AA305">
            <v>56784</v>
          </cell>
          <cell r="AD305">
            <v>673963</v>
          </cell>
          <cell r="AE305">
            <v>14575</v>
          </cell>
          <cell r="AF305">
            <v>624183</v>
          </cell>
          <cell r="AK305">
            <v>58380</v>
          </cell>
          <cell r="AL305">
            <v>30147</v>
          </cell>
        </row>
        <row r="306">
          <cell r="E306">
            <v>10467619</v>
          </cell>
          <cell r="G306">
            <v>1131256</v>
          </cell>
          <cell r="K306">
            <v>194484</v>
          </cell>
          <cell r="L306">
            <v>6503454</v>
          </cell>
          <cell r="M306">
            <v>29542</v>
          </cell>
          <cell r="N306">
            <v>532</v>
          </cell>
          <cell r="P306">
            <v>450983</v>
          </cell>
          <cell r="R306">
            <v>685773</v>
          </cell>
          <cell r="W306">
            <v>1112234</v>
          </cell>
          <cell r="AA306">
            <v>112402</v>
          </cell>
          <cell r="AD306">
            <v>1054725</v>
          </cell>
          <cell r="AE306">
            <v>164513</v>
          </cell>
          <cell r="AF306">
            <v>979977</v>
          </cell>
          <cell r="AK306">
            <v>43037</v>
          </cell>
          <cell r="AL306">
            <v>43717</v>
          </cell>
        </row>
        <row r="307">
          <cell r="E307">
            <v>6422802</v>
          </cell>
          <cell r="G307">
            <v>1277279</v>
          </cell>
          <cell r="K307">
            <v>2994805</v>
          </cell>
          <cell r="L307">
            <v>1878868</v>
          </cell>
          <cell r="M307">
            <v>13564</v>
          </cell>
          <cell r="N307">
            <v>434</v>
          </cell>
          <cell r="P307">
            <v>447763</v>
          </cell>
          <cell r="R307">
            <v>832545</v>
          </cell>
          <cell r="W307">
            <v>667550</v>
          </cell>
          <cell r="AA307">
            <v>51335</v>
          </cell>
          <cell r="AD307">
            <v>307204</v>
          </cell>
          <cell r="AE307">
            <v>30824</v>
          </cell>
          <cell r="AF307">
            <v>1447695</v>
          </cell>
          <cell r="AK307">
            <v>32987</v>
          </cell>
          <cell r="AL307">
            <v>27776</v>
          </cell>
        </row>
        <row r="308">
          <cell r="E308">
            <v>6474615</v>
          </cell>
          <cell r="G308">
            <v>1439374</v>
          </cell>
          <cell r="K308">
            <v>3138052</v>
          </cell>
          <cell r="L308">
            <v>1130591</v>
          </cell>
          <cell r="M308">
            <v>11847</v>
          </cell>
          <cell r="N308">
            <v>501</v>
          </cell>
          <cell r="P308">
            <v>494254</v>
          </cell>
          <cell r="R308">
            <v>947545</v>
          </cell>
          <cell r="W308">
            <v>709213</v>
          </cell>
          <cell r="AA308">
            <v>53657</v>
          </cell>
          <cell r="AD308">
            <v>302946</v>
          </cell>
          <cell r="AE308">
            <v>18964</v>
          </cell>
          <cell r="AF308">
            <v>830276</v>
          </cell>
          <cell r="AK308">
            <v>29385</v>
          </cell>
          <cell r="AL308">
            <v>33289</v>
          </cell>
        </row>
        <row r="309">
          <cell r="E309">
            <v>6169573</v>
          </cell>
          <cell r="G309">
            <v>1621912</v>
          </cell>
          <cell r="K309">
            <v>3470876</v>
          </cell>
          <cell r="L309">
            <v>1103797</v>
          </cell>
          <cell r="M309">
            <v>54741</v>
          </cell>
          <cell r="N309">
            <v>261</v>
          </cell>
          <cell r="P309">
            <v>704314</v>
          </cell>
          <cell r="R309">
            <v>926939</v>
          </cell>
          <cell r="W309">
            <v>931400</v>
          </cell>
          <cell r="AA309">
            <v>54464</v>
          </cell>
          <cell r="AD309">
            <v>249660</v>
          </cell>
          <cell r="AE309">
            <v>17981</v>
          </cell>
          <cell r="AF309">
            <v>747522</v>
          </cell>
          <cell r="AK309">
            <v>44334</v>
          </cell>
          <cell r="AL309">
            <v>27118</v>
          </cell>
        </row>
        <row r="310">
          <cell r="E310">
            <v>6388927</v>
          </cell>
          <cell r="G310">
            <v>1458241</v>
          </cell>
          <cell r="K310">
            <v>3458954</v>
          </cell>
          <cell r="L310">
            <v>883060</v>
          </cell>
          <cell r="M310">
            <v>27219</v>
          </cell>
          <cell r="N310">
            <v>931</v>
          </cell>
          <cell r="P310">
            <v>562748</v>
          </cell>
          <cell r="R310">
            <v>899233</v>
          </cell>
          <cell r="W310">
            <v>986923</v>
          </cell>
          <cell r="AA310">
            <v>59681</v>
          </cell>
          <cell r="AD310">
            <v>410839</v>
          </cell>
          <cell r="AE310">
            <v>17506</v>
          </cell>
          <cell r="AF310">
            <v>820292</v>
          </cell>
          <cell r="AK310">
            <v>31542</v>
          </cell>
          <cell r="AL310">
            <v>23884</v>
          </cell>
        </row>
        <row r="311">
          <cell r="E311">
            <v>7106211</v>
          </cell>
          <cell r="G311">
            <v>1786762</v>
          </cell>
          <cell r="K311">
            <v>3778661</v>
          </cell>
          <cell r="L311">
            <v>1062739</v>
          </cell>
          <cell r="M311">
            <v>60845</v>
          </cell>
          <cell r="N311">
            <v>2274</v>
          </cell>
          <cell r="P311">
            <v>731146</v>
          </cell>
          <cell r="R311">
            <v>1058694</v>
          </cell>
          <cell r="W311">
            <v>842584</v>
          </cell>
          <cell r="AA311">
            <v>58395</v>
          </cell>
          <cell r="AD311">
            <v>441441</v>
          </cell>
          <cell r="AE311">
            <v>254927</v>
          </cell>
          <cell r="AF311">
            <v>1155336</v>
          </cell>
          <cell r="AK311">
            <v>36129</v>
          </cell>
          <cell r="AL311">
            <v>71118</v>
          </cell>
        </row>
        <row r="312">
          <cell r="E312">
            <v>8524222</v>
          </cell>
          <cell r="G312">
            <v>1908569</v>
          </cell>
          <cell r="K312">
            <v>3998216</v>
          </cell>
          <cell r="L312">
            <v>1564011</v>
          </cell>
          <cell r="M312">
            <v>22638</v>
          </cell>
          <cell r="N312">
            <v>939</v>
          </cell>
          <cell r="P312">
            <v>873298</v>
          </cell>
          <cell r="R312">
            <v>1039148</v>
          </cell>
          <cell r="W312">
            <v>886380</v>
          </cell>
          <cell r="AA312">
            <v>65061</v>
          </cell>
          <cell r="AD312">
            <v>491764</v>
          </cell>
          <cell r="AE312">
            <v>39362</v>
          </cell>
          <cell r="AF312">
            <v>699165</v>
          </cell>
          <cell r="AK312">
            <v>43691</v>
          </cell>
          <cell r="AL312">
            <v>28593</v>
          </cell>
        </row>
        <row r="313">
          <cell r="E313">
            <v>7197561</v>
          </cell>
          <cell r="G313">
            <v>2187327</v>
          </cell>
          <cell r="K313">
            <v>4050072</v>
          </cell>
          <cell r="L313">
            <v>1167501</v>
          </cell>
          <cell r="M313">
            <v>54986</v>
          </cell>
          <cell r="N313">
            <v>1081</v>
          </cell>
          <cell r="P313">
            <v>831924</v>
          </cell>
          <cell r="R313">
            <v>1358508</v>
          </cell>
          <cell r="W313">
            <v>1265458</v>
          </cell>
          <cell r="AA313">
            <v>63758</v>
          </cell>
          <cell r="AD313">
            <v>464647</v>
          </cell>
          <cell r="AE313">
            <v>16928</v>
          </cell>
          <cell r="AF313">
            <v>621303</v>
          </cell>
          <cell r="AK313">
            <v>56522</v>
          </cell>
          <cell r="AL313">
            <v>43661</v>
          </cell>
        </row>
        <row r="314">
          <cell r="E314">
            <v>6408297</v>
          </cell>
          <cell r="G314">
            <v>1576616</v>
          </cell>
          <cell r="K314">
            <v>3662414</v>
          </cell>
          <cell r="L314">
            <v>1018643</v>
          </cell>
          <cell r="M314">
            <v>27443</v>
          </cell>
          <cell r="N314">
            <v>656</v>
          </cell>
          <cell r="P314">
            <v>549623</v>
          </cell>
          <cell r="R314">
            <v>1029230</v>
          </cell>
          <cell r="W314">
            <v>942979</v>
          </cell>
          <cell r="AA314">
            <v>62770</v>
          </cell>
          <cell r="AD314">
            <v>356183</v>
          </cell>
          <cell r="AE314">
            <v>20627</v>
          </cell>
          <cell r="AF314">
            <v>279860</v>
          </cell>
          <cell r="AK314">
            <v>18747</v>
          </cell>
          <cell r="AL314">
            <v>19408</v>
          </cell>
        </row>
        <row r="315">
          <cell r="E315">
            <v>7170564</v>
          </cell>
          <cell r="G315">
            <v>2452047</v>
          </cell>
          <cell r="K315">
            <v>4335630</v>
          </cell>
          <cell r="L315">
            <v>791524</v>
          </cell>
          <cell r="M315">
            <v>27345</v>
          </cell>
          <cell r="N315">
            <v>7660</v>
          </cell>
          <cell r="P315">
            <v>1003571</v>
          </cell>
          <cell r="R315">
            <v>1445654</v>
          </cell>
          <cell r="W315">
            <v>710269</v>
          </cell>
          <cell r="AA315">
            <v>60820</v>
          </cell>
          <cell r="AD315">
            <v>389973</v>
          </cell>
          <cell r="AE315">
            <v>18764</v>
          </cell>
          <cell r="AF315">
            <v>653936</v>
          </cell>
          <cell r="AK315">
            <v>32314</v>
          </cell>
          <cell r="AL315">
            <v>22319</v>
          </cell>
        </row>
        <row r="316">
          <cell r="E316">
            <v>8936939</v>
          </cell>
          <cell r="G316">
            <v>2365057</v>
          </cell>
          <cell r="K316">
            <v>4448163</v>
          </cell>
          <cell r="L316">
            <v>1861316</v>
          </cell>
          <cell r="M316">
            <v>21083</v>
          </cell>
          <cell r="N316">
            <v>1256</v>
          </cell>
          <cell r="P316">
            <v>944218</v>
          </cell>
          <cell r="R316">
            <v>1426958</v>
          </cell>
          <cell r="W316">
            <v>1120975</v>
          </cell>
          <cell r="AA316">
            <v>65896</v>
          </cell>
          <cell r="AD316">
            <v>497955</v>
          </cell>
          <cell r="AE316">
            <v>20177</v>
          </cell>
          <cell r="AF316">
            <v>594918</v>
          </cell>
          <cell r="AK316">
            <v>66882</v>
          </cell>
          <cell r="AL316">
            <v>30616</v>
          </cell>
        </row>
        <row r="317">
          <cell r="E317">
            <v>7941857</v>
          </cell>
          <cell r="G317">
            <v>2514460</v>
          </cell>
          <cell r="K317">
            <v>4161174</v>
          </cell>
          <cell r="L317">
            <v>1353565</v>
          </cell>
          <cell r="M317">
            <v>21205</v>
          </cell>
          <cell r="N317">
            <v>7475</v>
          </cell>
          <cell r="P317">
            <v>1079156</v>
          </cell>
          <cell r="R317">
            <v>1438785</v>
          </cell>
          <cell r="W317">
            <v>987055</v>
          </cell>
          <cell r="AA317">
            <v>66318</v>
          </cell>
          <cell r="AD317">
            <v>1294242</v>
          </cell>
          <cell r="AE317">
            <v>19636</v>
          </cell>
          <cell r="AF317">
            <v>630222</v>
          </cell>
          <cell r="AK317">
            <v>59895</v>
          </cell>
          <cell r="AL317">
            <v>36925</v>
          </cell>
        </row>
        <row r="318">
          <cell r="E318">
            <v>15591274</v>
          </cell>
          <cell r="G318">
            <v>2531641</v>
          </cell>
          <cell r="K318">
            <v>129014</v>
          </cell>
          <cell r="L318">
            <v>11227330</v>
          </cell>
          <cell r="M318">
            <v>42067</v>
          </cell>
          <cell r="N318">
            <v>2621</v>
          </cell>
          <cell r="P318">
            <v>1040907</v>
          </cell>
          <cell r="R318">
            <v>1493996</v>
          </cell>
          <cell r="W318">
            <v>2034158</v>
          </cell>
          <cell r="AA318">
            <v>141139</v>
          </cell>
          <cell r="AD318">
            <v>1752287</v>
          </cell>
          <cell r="AE318">
            <v>76074</v>
          </cell>
          <cell r="AF318">
            <v>1178166</v>
          </cell>
          <cell r="AK318">
            <v>56120</v>
          </cell>
          <cell r="AL318">
            <v>36648</v>
          </cell>
        </row>
        <row r="319">
          <cell r="E319">
            <v>9522011</v>
          </cell>
          <cell r="G319">
            <v>2197694</v>
          </cell>
          <cell r="K319">
            <v>4123523</v>
          </cell>
          <cell r="L319">
            <v>3152065</v>
          </cell>
          <cell r="M319">
            <v>31445</v>
          </cell>
          <cell r="N319">
            <v>1071</v>
          </cell>
          <cell r="P319">
            <v>944163</v>
          </cell>
          <cell r="R319">
            <v>1262461</v>
          </cell>
          <cell r="W319">
            <v>698886</v>
          </cell>
          <cell r="AA319">
            <v>54898</v>
          </cell>
          <cell r="AD319">
            <v>426579</v>
          </cell>
          <cell r="AE319">
            <v>20147</v>
          </cell>
          <cell r="AF319">
            <v>1182774</v>
          </cell>
          <cell r="AK319">
            <v>42479</v>
          </cell>
          <cell r="AL319">
            <v>24522</v>
          </cell>
        </row>
        <row r="320">
          <cell r="E320">
            <v>8591023</v>
          </cell>
          <cell r="G320">
            <v>2579876</v>
          </cell>
          <cell r="K320">
            <v>4275519</v>
          </cell>
          <cell r="L320">
            <v>1766362</v>
          </cell>
          <cell r="M320">
            <v>44844</v>
          </cell>
          <cell r="N320">
            <v>2925</v>
          </cell>
          <cell r="P320">
            <v>1119751</v>
          </cell>
          <cell r="R320">
            <v>1462700</v>
          </cell>
          <cell r="W320">
            <v>914658</v>
          </cell>
          <cell r="AA320">
            <v>57316</v>
          </cell>
          <cell r="AD320">
            <v>464662</v>
          </cell>
          <cell r="AE320">
            <v>180354</v>
          </cell>
          <cell r="AF320">
            <v>1075300</v>
          </cell>
          <cell r="AK320">
            <v>33643</v>
          </cell>
          <cell r="AL320">
            <v>31018</v>
          </cell>
        </row>
        <row r="321">
          <cell r="E321">
            <v>8173492</v>
          </cell>
          <cell r="G321">
            <v>1931780</v>
          </cell>
          <cell r="K321">
            <v>4646805</v>
          </cell>
          <cell r="L321">
            <v>1465016</v>
          </cell>
          <cell r="M321">
            <v>27673</v>
          </cell>
          <cell r="N321">
            <v>2729</v>
          </cell>
          <cell r="P321">
            <v>979060</v>
          </cell>
          <cell r="R321">
            <v>955942</v>
          </cell>
          <cell r="W321">
            <v>1010670</v>
          </cell>
          <cell r="AA321">
            <v>63151</v>
          </cell>
          <cell r="AD321">
            <v>457053</v>
          </cell>
          <cell r="AE321">
            <v>17888</v>
          </cell>
          <cell r="AF321">
            <v>696078</v>
          </cell>
          <cell r="AK321">
            <v>37385</v>
          </cell>
          <cell r="AL321">
            <v>22405</v>
          </cell>
        </row>
        <row r="322">
          <cell r="E322">
            <v>8849967</v>
          </cell>
          <cell r="G322">
            <v>2737852</v>
          </cell>
          <cell r="K322">
            <v>4883547</v>
          </cell>
          <cell r="L322">
            <v>1468767</v>
          </cell>
          <cell r="M322">
            <v>16668</v>
          </cell>
          <cell r="N322">
            <v>1040</v>
          </cell>
          <cell r="P322">
            <v>995056</v>
          </cell>
          <cell r="R322">
            <v>1746796</v>
          </cell>
          <cell r="W322">
            <v>990741</v>
          </cell>
          <cell r="AA322">
            <v>66317</v>
          </cell>
          <cell r="AD322">
            <v>476314</v>
          </cell>
          <cell r="AE322">
            <v>27631</v>
          </cell>
          <cell r="AF322">
            <v>865917</v>
          </cell>
          <cell r="AK322">
            <v>55242</v>
          </cell>
          <cell r="AL322">
            <v>36433</v>
          </cell>
        </row>
        <row r="323">
          <cell r="E323">
            <v>8679657</v>
          </cell>
          <cell r="G323">
            <v>2556905</v>
          </cell>
          <cell r="K323">
            <v>4544426</v>
          </cell>
          <cell r="L323">
            <v>1754215</v>
          </cell>
          <cell r="M323">
            <v>19109</v>
          </cell>
          <cell r="N323">
            <v>1519</v>
          </cell>
          <cell r="P323">
            <v>1188675</v>
          </cell>
          <cell r="R323">
            <v>1376817</v>
          </cell>
          <cell r="W323">
            <v>806304</v>
          </cell>
          <cell r="AA323">
            <v>58941</v>
          </cell>
          <cell r="AD323">
            <v>550393</v>
          </cell>
          <cell r="AE323">
            <v>16232</v>
          </cell>
          <cell r="AF323">
            <v>663161</v>
          </cell>
          <cell r="AK323">
            <v>55775</v>
          </cell>
          <cell r="AL323">
            <v>35984</v>
          </cell>
        </row>
        <row r="324">
          <cell r="E324">
            <v>9341739</v>
          </cell>
          <cell r="G324">
            <v>2234551</v>
          </cell>
          <cell r="K324">
            <v>4809511</v>
          </cell>
          <cell r="L324">
            <v>1514166</v>
          </cell>
          <cell r="M324">
            <v>30163</v>
          </cell>
          <cell r="N324">
            <v>10729</v>
          </cell>
          <cell r="P324">
            <v>909360</v>
          </cell>
          <cell r="R324">
            <v>1319363</v>
          </cell>
          <cell r="W324">
            <v>926382</v>
          </cell>
          <cell r="AA324">
            <v>74823</v>
          </cell>
          <cell r="AD324">
            <v>525156</v>
          </cell>
          <cell r="AE324">
            <v>29573</v>
          </cell>
          <cell r="AF324">
            <v>656786</v>
          </cell>
          <cell r="AK324">
            <v>40955</v>
          </cell>
          <cell r="AL324">
            <v>22932</v>
          </cell>
        </row>
        <row r="325">
          <cell r="E325">
            <v>9105467</v>
          </cell>
          <cell r="G325">
            <v>2270444</v>
          </cell>
          <cell r="K325">
            <v>4747589</v>
          </cell>
          <cell r="L325">
            <v>1517760</v>
          </cell>
          <cell r="M325">
            <v>39024</v>
          </cell>
          <cell r="N325">
            <v>1600</v>
          </cell>
          <cell r="P325">
            <v>1002808</v>
          </cell>
          <cell r="R325">
            <v>1273515</v>
          </cell>
          <cell r="W325">
            <v>947201</v>
          </cell>
          <cell r="AA325">
            <v>71577</v>
          </cell>
          <cell r="AD325">
            <v>519057</v>
          </cell>
          <cell r="AE325">
            <v>22432</v>
          </cell>
          <cell r="AF325">
            <v>644484</v>
          </cell>
          <cell r="AK325">
            <v>57997</v>
          </cell>
          <cell r="AL325">
            <v>44798</v>
          </cell>
        </row>
        <row r="326">
          <cell r="E326">
            <v>8309948</v>
          </cell>
          <cell r="G326">
            <v>1863208</v>
          </cell>
          <cell r="K326">
            <v>4604888</v>
          </cell>
          <cell r="L326">
            <v>1202519</v>
          </cell>
          <cell r="M326">
            <v>14110</v>
          </cell>
          <cell r="N326">
            <v>1066</v>
          </cell>
          <cell r="P326">
            <v>769430</v>
          </cell>
          <cell r="R326">
            <v>1104356</v>
          </cell>
          <cell r="W326">
            <v>863570</v>
          </cell>
          <cell r="AA326">
            <v>66616</v>
          </cell>
          <cell r="AD326">
            <v>543144</v>
          </cell>
          <cell r="AE326">
            <v>37193</v>
          </cell>
          <cell r="AF326">
            <v>385716</v>
          </cell>
          <cell r="AK326">
            <v>46300</v>
          </cell>
          <cell r="AL326">
            <v>36472</v>
          </cell>
        </row>
        <row r="327">
          <cell r="E327">
            <v>8256197</v>
          </cell>
          <cell r="G327">
            <v>1605250</v>
          </cell>
          <cell r="K327">
            <v>5013192</v>
          </cell>
          <cell r="L327">
            <v>1684970</v>
          </cell>
          <cell r="M327">
            <v>20176</v>
          </cell>
          <cell r="N327">
            <v>509</v>
          </cell>
          <cell r="P327">
            <v>717451</v>
          </cell>
          <cell r="R327">
            <v>896758</v>
          </cell>
          <cell r="W327">
            <v>670748</v>
          </cell>
          <cell r="AA327">
            <v>71313</v>
          </cell>
          <cell r="AD327">
            <v>781717</v>
          </cell>
          <cell r="AE327">
            <v>18414</v>
          </cell>
          <cell r="AF327">
            <v>388720</v>
          </cell>
          <cell r="AK327">
            <v>29393</v>
          </cell>
          <cell r="AL327">
            <v>17941</v>
          </cell>
        </row>
        <row r="328">
          <cell r="E328">
            <v>8740807</v>
          </cell>
          <cell r="G328">
            <v>2121347</v>
          </cell>
          <cell r="K328">
            <v>4760638</v>
          </cell>
          <cell r="L328">
            <v>1325908</v>
          </cell>
          <cell r="M328">
            <v>25867</v>
          </cell>
          <cell r="N328">
            <v>1815</v>
          </cell>
          <cell r="P328">
            <v>995347</v>
          </cell>
          <cell r="R328">
            <v>1129325</v>
          </cell>
          <cell r="W328">
            <v>728768</v>
          </cell>
          <cell r="AA328">
            <v>80759</v>
          </cell>
          <cell r="AD328">
            <v>479323</v>
          </cell>
          <cell r="AE328">
            <v>24822</v>
          </cell>
          <cell r="AF328">
            <v>752829</v>
          </cell>
          <cell r="AK328">
            <v>48245</v>
          </cell>
          <cell r="AL328">
            <v>34952</v>
          </cell>
        </row>
        <row r="329">
          <cell r="E329">
            <v>7483835</v>
          </cell>
          <cell r="G329">
            <v>1705296</v>
          </cell>
          <cell r="K329">
            <v>3358660</v>
          </cell>
          <cell r="L329">
            <v>2012103</v>
          </cell>
          <cell r="M329">
            <v>426356</v>
          </cell>
          <cell r="N329">
            <v>2549</v>
          </cell>
          <cell r="P329">
            <v>847172</v>
          </cell>
          <cell r="R329">
            <v>860747</v>
          </cell>
          <cell r="W329">
            <v>1218828</v>
          </cell>
          <cell r="AA329">
            <v>88232</v>
          </cell>
          <cell r="AD329">
            <v>864398</v>
          </cell>
          <cell r="AE329">
            <v>26714</v>
          </cell>
          <cell r="AF329">
            <v>751636</v>
          </cell>
          <cell r="AK329">
            <v>84545</v>
          </cell>
          <cell r="AL329">
            <v>45990</v>
          </cell>
        </row>
        <row r="330">
          <cell r="E330">
            <v>15113003</v>
          </cell>
          <cell r="G330">
            <v>1849827</v>
          </cell>
          <cell r="K330">
            <v>194369</v>
          </cell>
          <cell r="L330">
            <v>10984418</v>
          </cell>
          <cell r="M330">
            <v>27516</v>
          </cell>
          <cell r="N330">
            <v>2959</v>
          </cell>
          <cell r="P330">
            <v>823051</v>
          </cell>
          <cell r="R330">
            <v>1028755</v>
          </cell>
          <cell r="W330">
            <v>1433992</v>
          </cell>
          <cell r="AA330">
            <v>182784</v>
          </cell>
          <cell r="AD330">
            <v>1800748</v>
          </cell>
          <cell r="AE330">
            <v>54153</v>
          </cell>
          <cell r="AF330">
            <v>1568762</v>
          </cell>
          <cell r="AK330">
            <v>50622</v>
          </cell>
          <cell r="AL330">
            <v>32563</v>
          </cell>
        </row>
        <row r="331">
          <cell r="E331">
            <v>8963137</v>
          </cell>
          <cell r="G331">
            <v>1953443</v>
          </cell>
          <cell r="K331">
            <v>4255284</v>
          </cell>
          <cell r="L331">
            <v>2561752</v>
          </cell>
          <cell r="M331">
            <v>45682</v>
          </cell>
          <cell r="N331">
            <v>2194</v>
          </cell>
          <cell r="P331">
            <v>719227</v>
          </cell>
          <cell r="R331">
            <v>1239301</v>
          </cell>
          <cell r="W331">
            <v>854555</v>
          </cell>
          <cell r="AA331">
            <v>60061</v>
          </cell>
          <cell r="AD331">
            <v>402157</v>
          </cell>
          <cell r="AE331">
            <v>21841</v>
          </cell>
          <cell r="AF331">
            <v>943266</v>
          </cell>
          <cell r="AK331">
            <v>56727</v>
          </cell>
          <cell r="AL331">
            <v>54748</v>
          </cell>
        </row>
        <row r="332">
          <cell r="E332">
            <v>9048275</v>
          </cell>
          <cell r="G332">
            <v>1630700</v>
          </cell>
          <cell r="K332">
            <v>4707755</v>
          </cell>
          <cell r="L332">
            <v>1736162</v>
          </cell>
          <cell r="M332">
            <v>82587</v>
          </cell>
          <cell r="N332">
            <v>682</v>
          </cell>
          <cell r="P332">
            <v>674872</v>
          </cell>
          <cell r="R332">
            <v>962089</v>
          </cell>
          <cell r="W332">
            <v>868841</v>
          </cell>
          <cell r="AA332">
            <v>71584</v>
          </cell>
          <cell r="AD332">
            <v>427636</v>
          </cell>
          <cell r="AE332">
            <v>34085</v>
          </cell>
          <cell r="AF332">
            <v>1144726</v>
          </cell>
          <cell r="AK332">
            <v>62848</v>
          </cell>
          <cell r="AL332">
            <v>45815</v>
          </cell>
        </row>
        <row r="333">
          <cell r="E333">
            <v>7807375</v>
          </cell>
          <cell r="G333">
            <v>1087317</v>
          </cell>
          <cell r="K333">
            <v>5166366</v>
          </cell>
          <cell r="L333">
            <v>874992</v>
          </cell>
          <cell r="M333">
            <v>16293</v>
          </cell>
          <cell r="N333">
            <v>664</v>
          </cell>
          <cell r="P333">
            <v>465117</v>
          </cell>
          <cell r="R333">
            <v>626432</v>
          </cell>
          <cell r="W333">
            <v>967825</v>
          </cell>
          <cell r="AA333">
            <v>71022</v>
          </cell>
          <cell r="AD333">
            <v>380435</v>
          </cell>
          <cell r="AE333">
            <v>25439</v>
          </cell>
          <cell r="AF333">
            <v>935620</v>
          </cell>
          <cell r="AK333">
            <v>50860</v>
          </cell>
          <cell r="AL333">
            <v>33807</v>
          </cell>
        </row>
        <row r="334">
          <cell r="E334">
            <v>8660481</v>
          </cell>
          <cell r="G334">
            <v>1466859</v>
          </cell>
          <cell r="K334">
            <v>4935030</v>
          </cell>
          <cell r="L334">
            <v>1117146</v>
          </cell>
          <cell r="M334">
            <v>139001</v>
          </cell>
          <cell r="N334">
            <v>1116</v>
          </cell>
          <cell r="P334">
            <v>637318</v>
          </cell>
          <cell r="R334">
            <v>833125</v>
          </cell>
          <cell r="W334">
            <v>880169</v>
          </cell>
          <cell r="AA334">
            <v>70291</v>
          </cell>
          <cell r="AD334">
            <v>1025759</v>
          </cell>
          <cell r="AE334">
            <v>21818</v>
          </cell>
          <cell r="AF334">
            <v>1340228</v>
          </cell>
          <cell r="AK334">
            <v>59976</v>
          </cell>
          <cell r="AL334">
            <v>61791</v>
          </cell>
        </row>
        <row r="335">
          <cell r="E335">
            <v>8059163</v>
          </cell>
          <cell r="G335">
            <v>1238060</v>
          </cell>
          <cell r="K335">
            <v>4953706</v>
          </cell>
          <cell r="L335">
            <v>1161307</v>
          </cell>
          <cell r="M335">
            <v>34569</v>
          </cell>
          <cell r="N335">
            <v>5597</v>
          </cell>
          <cell r="P335">
            <v>583108</v>
          </cell>
          <cell r="R335">
            <v>659568</v>
          </cell>
          <cell r="W335">
            <v>1064405</v>
          </cell>
          <cell r="AA335">
            <v>62554</v>
          </cell>
          <cell r="AD335">
            <v>526625</v>
          </cell>
          <cell r="AE335">
            <v>16971</v>
          </cell>
          <cell r="AF335">
            <v>902006</v>
          </cell>
          <cell r="AK335">
            <v>59492</v>
          </cell>
          <cell r="AL335">
            <v>54292</v>
          </cell>
        </row>
        <row r="336">
          <cell r="E336">
            <v>8943886</v>
          </cell>
          <cell r="G336">
            <v>1297374</v>
          </cell>
          <cell r="K336">
            <v>5051722</v>
          </cell>
          <cell r="L336">
            <v>1248479</v>
          </cell>
          <cell r="M336">
            <v>14220</v>
          </cell>
          <cell r="N336">
            <v>6261</v>
          </cell>
          <cell r="P336">
            <v>555003</v>
          </cell>
          <cell r="R336">
            <v>742964</v>
          </cell>
          <cell r="W336">
            <v>1002487</v>
          </cell>
          <cell r="AA336">
            <v>80344</v>
          </cell>
          <cell r="AD336">
            <v>478989</v>
          </cell>
          <cell r="AE336">
            <v>24777</v>
          </cell>
          <cell r="AF336">
            <v>1044882</v>
          </cell>
          <cell r="AK336">
            <v>89049</v>
          </cell>
          <cell r="AL336">
            <v>54677</v>
          </cell>
        </row>
        <row r="337">
          <cell r="E337">
            <v>8049252</v>
          </cell>
          <cell r="G337">
            <v>1276564</v>
          </cell>
          <cell r="K337">
            <v>4894188</v>
          </cell>
          <cell r="L337">
            <v>966133</v>
          </cell>
          <cell r="M337">
            <v>14149</v>
          </cell>
          <cell r="N337">
            <v>631</v>
          </cell>
          <cell r="P337">
            <v>505765</v>
          </cell>
          <cell r="R337">
            <v>777130</v>
          </cell>
          <cell r="W337">
            <v>846684</v>
          </cell>
          <cell r="AA337">
            <v>78234</v>
          </cell>
          <cell r="AD337">
            <v>544661</v>
          </cell>
          <cell r="AE337">
            <v>22636</v>
          </cell>
          <cell r="AF337">
            <v>885314</v>
          </cell>
          <cell r="AK337">
            <v>77429</v>
          </cell>
          <cell r="AL337">
            <v>41250</v>
          </cell>
        </row>
        <row r="338">
          <cell r="E338">
            <v>7902978</v>
          </cell>
          <cell r="G338">
            <v>998363</v>
          </cell>
          <cell r="K338">
            <v>4664712</v>
          </cell>
          <cell r="L338">
            <v>902483</v>
          </cell>
          <cell r="M338">
            <v>14404</v>
          </cell>
          <cell r="N338">
            <v>416</v>
          </cell>
          <cell r="P338">
            <v>378114</v>
          </cell>
          <cell r="R338">
            <v>625730</v>
          </cell>
          <cell r="W338">
            <v>1328066</v>
          </cell>
          <cell r="AA338">
            <v>79036</v>
          </cell>
          <cell r="AD338">
            <v>401522</v>
          </cell>
          <cell r="AE338">
            <v>16513</v>
          </cell>
          <cell r="AF338">
            <v>689349</v>
          </cell>
          <cell r="AK338">
            <v>49746</v>
          </cell>
          <cell r="AL338">
            <v>33101</v>
          </cell>
        </row>
        <row r="339">
          <cell r="E339">
            <v>6569939</v>
          </cell>
          <cell r="G339">
            <v>1140675</v>
          </cell>
          <cell r="K339">
            <v>4407866</v>
          </cell>
          <cell r="L339">
            <v>594090</v>
          </cell>
          <cell r="M339">
            <v>30495</v>
          </cell>
          <cell r="N339">
            <v>656</v>
          </cell>
          <cell r="P339">
            <v>506935</v>
          </cell>
          <cell r="R339">
            <v>641813</v>
          </cell>
          <cell r="W339">
            <v>785182</v>
          </cell>
          <cell r="AA339">
            <v>69775</v>
          </cell>
          <cell r="AD339">
            <v>538901</v>
          </cell>
          <cell r="AE339">
            <v>37710</v>
          </cell>
          <cell r="AF339">
            <v>1290498</v>
          </cell>
          <cell r="AK339">
            <v>65433</v>
          </cell>
          <cell r="AL339">
            <v>32702</v>
          </cell>
        </row>
        <row r="340">
          <cell r="E340">
            <v>6673722</v>
          </cell>
          <cell r="G340">
            <v>920769</v>
          </cell>
          <cell r="K340">
            <v>4114309</v>
          </cell>
          <cell r="L340">
            <v>603796</v>
          </cell>
          <cell r="M340">
            <v>27556</v>
          </cell>
          <cell r="N340">
            <v>1150</v>
          </cell>
          <cell r="P340">
            <v>358116</v>
          </cell>
          <cell r="R340">
            <v>568918</v>
          </cell>
          <cell r="W340">
            <v>1122623</v>
          </cell>
          <cell r="AA340">
            <v>78998</v>
          </cell>
          <cell r="AD340">
            <v>440997</v>
          </cell>
          <cell r="AE340">
            <v>17203</v>
          </cell>
          <cell r="AF340">
            <v>914958</v>
          </cell>
          <cell r="AK340">
            <v>60970</v>
          </cell>
          <cell r="AL340">
            <v>44445</v>
          </cell>
        </row>
        <row r="341">
          <cell r="E341">
            <v>7269444</v>
          </cell>
          <cell r="G341">
            <v>834029</v>
          </cell>
          <cell r="K341">
            <v>3395907</v>
          </cell>
          <cell r="L341">
            <v>1989492</v>
          </cell>
          <cell r="M341">
            <v>23484</v>
          </cell>
          <cell r="N341">
            <v>1593</v>
          </cell>
          <cell r="P341">
            <v>336232</v>
          </cell>
          <cell r="R341">
            <v>501205</v>
          </cell>
          <cell r="W341">
            <v>884031</v>
          </cell>
          <cell r="AA341">
            <v>76509</v>
          </cell>
          <cell r="AD341">
            <v>793379</v>
          </cell>
          <cell r="AE341">
            <v>34067</v>
          </cell>
          <cell r="AF341">
            <v>744526</v>
          </cell>
          <cell r="AK341">
            <v>48722</v>
          </cell>
          <cell r="AL341">
            <v>48929</v>
          </cell>
        </row>
        <row r="342">
          <cell r="E342">
            <v>14420468</v>
          </cell>
          <cell r="G342">
            <v>1378118</v>
          </cell>
          <cell r="K342">
            <v>408546</v>
          </cell>
          <cell r="L342">
            <v>10364371</v>
          </cell>
          <cell r="M342">
            <v>59393</v>
          </cell>
          <cell r="N342">
            <v>2545</v>
          </cell>
          <cell r="P342">
            <v>640472</v>
          </cell>
          <cell r="R342">
            <v>740239</v>
          </cell>
          <cell r="W342">
            <v>1242252</v>
          </cell>
          <cell r="AA342">
            <v>167069</v>
          </cell>
          <cell r="AD342">
            <v>1494267</v>
          </cell>
          <cell r="AE342">
            <v>52175</v>
          </cell>
          <cell r="AF342">
            <v>1233617</v>
          </cell>
          <cell r="AK342">
            <v>45431</v>
          </cell>
          <cell r="AL342">
            <v>42671</v>
          </cell>
        </row>
        <row r="343">
          <cell r="E343">
            <v>8971095</v>
          </cell>
          <cell r="G343">
            <v>1316586</v>
          </cell>
          <cell r="K343">
            <v>4589345</v>
          </cell>
          <cell r="L343">
            <v>2133577</v>
          </cell>
          <cell r="M343">
            <v>40222</v>
          </cell>
          <cell r="N343">
            <v>866</v>
          </cell>
          <cell r="P343">
            <v>458005</v>
          </cell>
          <cell r="R343">
            <v>863156</v>
          </cell>
          <cell r="W343">
            <v>888512</v>
          </cell>
          <cell r="AA343">
            <v>65545</v>
          </cell>
          <cell r="AD343">
            <v>432524</v>
          </cell>
          <cell r="AE343">
            <v>24760</v>
          </cell>
          <cell r="AF343">
            <v>1454577</v>
          </cell>
          <cell r="AK343">
            <v>80625</v>
          </cell>
          <cell r="AL343">
            <v>54224</v>
          </cell>
        </row>
        <row r="344">
          <cell r="E344">
            <v>9580517</v>
          </cell>
          <cell r="G344">
            <v>1303246</v>
          </cell>
          <cell r="K344">
            <v>4901184</v>
          </cell>
          <cell r="L344">
            <v>2089590</v>
          </cell>
          <cell r="M344">
            <v>38836</v>
          </cell>
          <cell r="N344">
            <v>1284</v>
          </cell>
          <cell r="P344">
            <v>539385</v>
          </cell>
          <cell r="R344">
            <v>766451</v>
          </cell>
          <cell r="W344">
            <v>895312</v>
          </cell>
          <cell r="AA344">
            <v>66362</v>
          </cell>
          <cell r="AD344">
            <v>509363</v>
          </cell>
          <cell r="AE344">
            <v>36310</v>
          </cell>
          <cell r="AF344">
            <v>1377604</v>
          </cell>
          <cell r="AK344">
            <v>62654</v>
          </cell>
          <cell r="AL344">
            <v>36029</v>
          </cell>
        </row>
        <row r="345">
          <cell r="E345">
            <v>8345888</v>
          </cell>
          <cell r="G345">
            <v>1143120</v>
          </cell>
          <cell r="K345">
            <v>5273000</v>
          </cell>
          <cell r="L345">
            <v>1185737</v>
          </cell>
          <cell r="M345">
            <v>55820</v>
          </cell>
          <cell r="N345">
            <v>853</v>
          </cell>
          <cell r="P345">
            <v>376593</v>
          </cell>
          <cell r="R345">
            <v>768653</v>
          </cell>
          <cell r="W345">
            <v>908567</v>
          </cell>
          <cell r="AA345">
            <v>70137</v>
          </cell>
          <cell r="AD345">
            <v>527471</v>
          </cell>
          <cell r="AE345">
            <v>8824</v>
          </cell>
          <cell r="AF345">
            <v>964630</v>
          </cell>
          <cell r="AK345">
            <v>29365</v>
          </cell>
          <cell r="AL345">
            <v>41110</v>
          </cell>
        </row>
        <row r="346">
          <cell r="E346">
            <v>9462109</v>
          </cell>
          <cell r="G346">
            <v>1482902</v>
          </cell>
          <cell r="K346">
            <v>5015204</v>
          </cell>
          <cell r="L346">
            <v>1122945</v>
          </cell>
          <cell r="M346">
            <v>79006</v>
          </cell>
          <cell r="N346">
            <v>719</v>
          </cell>
          <cell r="P346">
            <v>559351</v>
          </cell>
          <cell r="R346">
            <v>928000</v>
          </cell>
          <cell r="W346">
            <v>1681530</v>
          </cell>
          <cell r="AA346">
            <v>69526</v>
          </cell>
          <cell r="AD346">
            <v>678702</v>
          </cell>
          <cell r="AE346">
            <v>46724</v>
          </cell>
          <cell r="AF346">
            <v>1401586</v>
          </cell>
          <cell r="AK346">
            <v>46033</v>
          </cell>
          <cell r="AL346">
            <v>40858</v>
          </cell>
        </row>
        <row r="347">
          <cell r="E347">
            <v>8356895</v>
          </cell>
          <cell r="G347">
            <v>1335212</v>
          </cell>
          <cell r="K347">
            <v>5182406</v>
          </cell>
          <cell r="L347">
            <v>1009733</v>
          </cell>
          <cell r="M347">
            <v>39523</v>
          </cell>
          <cell r="N347">
            <v>1383</v>
          </cell>
          <cell r="P347">
            <v>463559</v>
          </cell>
          <cell r="R347">
            <v>881539</v>
          </cell>
          <cell r="W347">
            <v>1296988</v>
          </cell>
          <cell r="AA347">
            <v>65570</v>
          </cell>
          <cell r="AD347">
            <v>523270</v>
          </cell>
          <cell r="AE347">
            <v>14475</v>
          </cell>
          <cell r="AF347">
            <v>1317536</v>
          </cell>
          <cell r="AK347">
            <v>40397</v>
          </cell>
          <cell r="AL347">
            <v>40921</v>
          </cell>
        </row>
        <row r="348">
          <cell r="E348">
            <v>9924942</v>
          </cell>
          <cell r="G348">
            <v>1606821</v>
          </cell>
          <cell r="K348">
            <v>5404810</v>
          </cell>
          <cell r="L348">
            <v>1682662</v>
          </cell>
          <cell r="M348">
            <v>51864</v>
          </cell>
          <cell r="N348">
            <v>1867</v>
          </cell>
          <cell r="P348">
            <v>576376</v>
          </cell>
          <cell r="R348">
            <v>1035680</v>
          </cell>
          <cell r="W348">
            <v>1028582</v>
          </cell>
          <cell r="AA348">
            <v>73475</v>
          </cell>
          <cell r="AD348">
            <v>600130</v>
          </cell>
          <cell r="AE348">
            <v>34027</v>
          </cell>
          <cell r="AF348">
            <v>2150779</v>
          </cell>
          <cell r="AK348">
            <v>134732</v>
          </cell>
          <cell r="AL348">
            <v>27679</v>
          </cell>
        </row>
        <row r="349">
          <cell r="E349">
            <v>8881980</v>
          </cell>
          <cell r="G349">
            <v>1464178</v>
          </cell>
          <cell r="K349">
            <v>5950153</v>
          </cell>
          <cell r="L349">
            <v>982061</v>
          </cell>
          <cell r="M349">
            <v>23306</v>
          </cell>
          <cell r="N349">
            <v>1173</v>
          </cell>
          <cell r="P349">
            <v>505891</v>
          </cell>
          <cell r="R349">
            <v>965787</v>
          </cell>
          <cell r="W349">
            <v>1045465</v>
          </cell>
          <cell r="AA349">
            <v>68491</v>
          </cell>
          <cell r="AD349">
            <v>480431</v>
          </cell>
          <cell r="AE349">
            <v>142675</v>
          </cell>
          <cell r="AF349">
            <v>1008054</v>
          </cell>
          <cell r="AK349">
            <v>79462</v>
          </cell>
          <cell r="AL349">
            <v>44205</v>
          </cell>
        </row>
        <row r="350">
          <cell r="E350">
            <v>9223729</v>
          </cell>
          <cell r="G350">
            <v>1478648</v>
          </cell>
          <cell r="K350">
            <v>5696288</v>
          </cell>
          <cell r="L350">
            <v>982619</v>
          </cell>
          <cell r="M350">
            <v>34096</v>
          </cell>
          <cell r="N350">
            <v>945</v>
          </cell>
          <cell r="P350">
            <v>535850</v>
          </cell>
          <cell r="R350">
            <v>948202</v>
          </cell>
          <cell r="W350">
            <v>1139673</v>
          </cell>
          <cell r="AA350">
            <v>73949</v>
          </cell>
          <cell r="AD350">
            <v>403200</v>
          </cell>
          <cell r="AE350">
            <v>65201</v>
          </cell>
          <cell r="AF350">
            <v>930836</v>
          </cell>
          <cell r="AK350">
            <v>59013</v>
          </cell>
          <cell r="AL350">
            <v>33060</v>
          </cell>
        </row>
        <row r="351">
          <cell r="E351">
            <v>8651707</v>
          </cell>
          <cell r="G351">
            <v>1275300</v>
          </cell>
          <cell r="K351">
            <v>5711302</v>
          </cell>
          <cell r="L351">
            <v>1082246</v>
          </cell>
          <cell r="M351">
            <v>10445</v>
          </cell>
          <cell r="N351">
            <v>861</v>
          </cell>
          <cell r="P351">
            <v>465174</v>
          </cell>
          <cell r="R351">
            <v>812934</v>
          </cell>
          <cell r="W351">
            <v>941802</v>
          </cell>
          <cell r="AA351">
            <v>76910</v>
          </cell>
          <cell r="AD351">
            <v>646700</v>
          </cell>
          <cell r="AE351">
            <v>57400</v>
          </cell>
          <cell r="AF351">
            <v>653961</v>
          </cell>
          <cell r="AK351">
            <v>36035</v>
          </cell>
          <cell r="AL351">
            <v>30540</v>
          </cell>
        </row>
        <row r="352">
          <cell r="E352">
            <v>9350523</v>
          </cell>
          <cell r="G352">
            <v>1578441</v>
          </cell>
          <cell r="K352">
            <v>5745659</v>
          </cell>
          <cell r="L352">
            <v>1152690</v>
          </cell>
          <cell r="M352">
            <v>47439</v>
          </cell>
          <cell r="N352">
            <v>1725</v>
          </cell>
          <cell r="P352">
            <v>511691</v>
          </cell>
          <cell r="R352">
            <v>1069951</v>
          </cell>
          <cell r="W352">
            <v>1226461</v>
          </cell>
          <cell r="AA352">
            <v>75819</v>
          </cell>
          <cell r="AD352">
            <v>631954</v>
          </cell>
          <cell r="AE352">
            <v>26476</v>
          </cell>
          <cell r="AF352">
            <v>800437</v>
          </cell>
          <cell r="AK352">
            <v>54116</v>
          </cell>
          <cell r="AL352">
            <v>47704</v>
          </cell>
        </row>
        <row r="353">
          <cell r="E353">
            <v>8884254</v>
          </cell>
          <cell r="G353">
            <v>1493267</v>
          </cell>
          <cell r="K353">
            <v>3957342</v>
          </cell>
          <cell r="L353">
            <v>1638644</v>
          </cell>
          <cell r="M353">
            <v>23961</v>
          </cell>
          <cell r="N353">
            <v>11689</v>
          </cell>
          <cell r="P353">
            <v>524749</v>
          </cell>
          <cell r="R353">
            <v>961136</v>
          </cell>
          <cell r="W353">
            <v>1440230</v>
          </cell>
          <cell r="AA353">
            <v>74085</v>
          </cell>
          <cell r="AD353">
            <v>1732455</v>
          </cell>
          <cell r="AE353">
            <v>40451</v>
          </cell>
          <cell r="AF353">
            <v>1008726</v>
          </cell>
          <cell r="AK353">
            <v>52383</v>
          </cell>
          <cell r="AL353">
            <v>44149</v>
          </cell>
        </row>
        <row r="354">
          <cell r="E354">
            <v>18925524</v>
          </cell>
          <cell r="G354">
            <v>1858078</v>
          </cell>
          <cell r="K354">
            <v>143947</v>
          </cell>
          <cell r="L354">
            <v>13346483</v>
          </cell>
          <cell r="M354">
            <v>48446</v>
          </cell>
          <cell r="N354">
            <v>975</v>
          </cell>
          <cell r="P354">
            <v>696010</v>
          </cell>
          <cell r="R354">
            <v>1166750</v>
          </cell>
          <cell r="W354">
            <v>2679560</v>
          </cell>
          <cell r="AA354">
            <v>164217</v>
          </cell>
          <cell r="AD354">
            <v>8251756</v>
          </cell>
          <cell r="AE354">
            <v>232575</v>
          </cell>
          <cell r="AF354">
            <v>1534989</v>
          </cell>
          <cell r="AK354">
            <v>64714</v>
          </cell>
          <cell r="AL354">
            <v>43691</v>
          </cell>
        </row>
        <row r="355">
          <cell r="E355">
            <v>11416656</v>
          </cell>
          <cell r="G355">
            <v>2128562</v>
          </cell>
          <cell r="K355">
            <v>5611330</v>
          </cell>
          <cell r="L355">
            <v>3385405</v>
          </cell>
          <cell r="M355">
            <v>124425</v>
          </cell>
          <cell r="N355">
            <v>705</v>
          </cell>
          <cell r="P355">
            <v>821617</v>
          </cell>
          <cell r="R355">
            <v>1313088</v>
          </cell>
          <cell r="W355">
            <v>1143008</v>
          </cell>
          <cell r="AA355">
            <v>69040</v>
          </cell>
          <cell r="AD355">
            <v>283276</v>
          </cell>
          <cell r="AE355">
            <v>388074</v>
          </cell>
          <cell r="AF355">
            <v>1624158</v>
          </cell>
          <cell r="AK355">
            <v>61882</v>
          </cell>
          <cell r="AL355">
            <v>42977</v>
          </cell>
        </row>
        <row r="356">
          <cell r="E356">
            <v>10970388</v>
          </cell>
          <cell r="G356">
            <v>1754009</v>
          </cell>
          <cell r="K356">
            <v>6560699</v>
          </cell>
          <cell r="L356">
            <v>1584520</v>
          </cell>
          <cell r="M356">
            <v>25247</v>
          </cell>
          <cell r="N356">
            <v>514</v>
          </cell>
          <cell r="P356">
            <v>702504</v>
          </cell>
          <cell r="R356">
            <v>1059773</v>
          </cell>
          <cell r="W356">
            <v>1470596</v>
          </cell>
          <cell r="AA356">
            <v>69986</v>
          </cell>
          <cell r="AD356">
            <v>263867</v>
          </cell>
          <cell r="AE356">
            <v>44417</v>
          </cell>
          <cell r="AF356">
            <v>2167639</v>
          </cell>
          <cell r="AK356">
            <v>73482</v>
          </cell>
          <cell r="AL356">
            <v>43468</v>
          </cell>
        </row>
        <row r="357">
          <cell r="E357">
            <v>9222039</v>
          </cell>
          <cell r="G357">
            <v>1661148</v>
          </cell>
          <cell r="K357">
            <v>6064521</v>
          </cell>
          <cell r="L357">
            <v>1399580</v>
          </cell>
          <cell r="M357">
            <v>14445</v>
          </cell>
          <cell r="N357">
            <v>774</v>
          </cell>
          <cell r="P357">
            <v>668519</v>
          </cell>
          <cell r="R357">
            <v>997441</v>
          </cell>
          <cell r="W357">
            <v>1675980</v>
          </cell>
          <cell r="AA357">
            <v>74079</v>
          </cell>
          <cell r="AD357">
            <v>350890</v>
          </cell>
          <cell r="AE357">
            <v>29642</v>
          </cell>
          <cell r="AF357">
            <v>1126780</v>
          </cell>
          <cell r="AK357">
            <v>60656</v>
          </cell>
          <cell r="AL357">
            <v>53981</v>
          </cell>
        </row>
        <row r="358">
          <cell r="E358">
            <v>10139435</v>
          </cell>
          <cell r="G358">
            <v>1915685</v>
          </cell>
          <cell r="K358">
            <v>6379241</v>
          </cell>
          <cell r="L358">
            <v>1098425</v>
          </cell>
          <cell r="M358">
            <v>10950</v>
          </cell>
          <cell r="N358">
            <v>673</v>
          </cell>
          <cell r="P358">
            <v>793689</v>
          </cell>
          <cell r="R358">
            <v>1126717</v>
          </cell>
          <cell r="W358">
            <v>1189677</v>
          </cell>
          <cell r="AA358">
            <v>73796</v>
          </cell>
          <cell r="AD358">
            <v>705985</v>
          </cell>
          <cell r="AE358">
            <v>32015</v>
          </cell>
          <cell r="AF358">
            <v>1388536</v>
          </cell>
          <cell r="AK358">
            <v>64743</v>
          </cell>
          <cell r="AL358">
            <v>36756</v>
          </cell>
        </row>
        <row r="359">
          <cell r="E359">
            <v>8815376</v>
          </cell>
          <cell r="G359">
            <v>1415216</v>
          </cell>
          <cell r="K359">
            <v>5857338</v>
          </cell>
          <cell r="L359">
            <v>1136952</v>
          </cell>
          <cell r="M359">
            <v>11903</v>
          </cell>
          <cell r="N359">
            <v>354</v>
          </cell>
          <cell r="P359">
            <v>485118</v>
          </cell>
          <cell r="R359">
            <v>936797</v>
          </cell>
          <cell r="W359">
            <v>1130549</v>
          </cell>
          <cell r="AA359">
            <v>72614</v>
          </cell>
          <cell r="AD359">
            <v>410654</v>
          </cell>
          <cell r="AE359">
            <v>342692</v>
          </cell>
          <cell r="AF359">
            <v>1099127</v>
          </cell>
          <cell r="AK359">
            <v>73447</v>
          </cell>
          <cell r="AL359">
            <v>40816</v>
          </cell>
        </row>
        <row r="360">
          <cell r="E360">
            <v>11567970</v>
          </cell>
          <cell r="G360">
            <v>1922465</v>
          </cell>
          <cell r="K360">
            <v>7036316</v>
          </cell>
          <cell r="L360">
            <v>1490056</v>
          </cell>
          <cell r="M360">
            <v>41319</v>
          </cell>
          <cell r="N360">
            <v>1786</v>
          </cell>
          <cell r="P360">
            <v>873753</v>
          </cell>
          <cell r="R360">
            <v>1050895</v>
          </cell>
          <cell r="W360">
            <v>1397091</v>
          </cell>
          <cell r="AA360">
            <v>78695</v>
          </cell>
          <cell r="AD360">
            <v>701321</v>
          </cell>
          <cell r="AE360">
            <v>23282</v>
          </cell>
          <cell r="AF360">
            <v>976095</v>
          </cell>
          <cell r="AK360">
            <v>61074</v>
          </cell>
          <cell r="AL360">
            <v>44523</v>
          </cell>
        </row>
        <row r="361">
          <cell r="E361">
            <v>10395176</v>
          </cell>
          <cell r="G361">
            <v>1933789</v>
          </cell>
          <cell r="K361">
            <v>6597034</v>
          </cell>
          <cell r="L361">
            <v>1524617</v>
          </cell>
          <cell r="M361">
            <v>14671</v>
          </cell>
          <cell r="N361">
            <v>1431</v>
          </cell>
          <cell r="P361">
            <v>629858</v>
          </cell>
          <cell r="R361">
            <v>1306780</v>
          </cell>
          <cell r="W361">
            <v>1480459</v>
          </cell>
          <cell r="AA361">
            <v>73478</v>
          </cell>
          <cell r="AD361">
            <v>675024</v>
          </cell>
          <cell r="AE361">
            <v>22809</v>
          </cell>
          <cell r="AF361">
            <v>663110</v>
          </cell>
          <cell r="AK361">
            <v>102926</v>
          </cell>
          <cell r="AL361">
            <v>41716</v>
          </cell>
        </row>
        <row r="362">
          <cell r="E362">
            <v>10935961</v>
          </cell>
          <cell r="G362">
            <v>1669972</v>
          </cell>
          <cell r="K362">
            <v>6494693</v>
          </cell>
          <cell r="L362">
            <v>1234428</v>
          </cell>
          <cell r="M362">
            <v>21076</v>
          </cell>
          <cell r="N362">
            <v>1209</v>
          </cell>
          <cell r="P362">
            <v>634719</v>
          </cell>
          <cell r="R362">
            <v>1038796</v>
          </cell>
          <cell r="W362">
            <v>1314396</v>
          </cell>
          <cell r="AA362">
            <v>71210</v>
          </cell>
          <cell r="AD362">
            <v>529134</v>
          </cell>
          <cell r="AE362">
            <v>22552</v>
          </cell>
          <cell r="AF362">
            <v>616974</v>
          </cell>
          <cell r="AK362">
            <v>57091</v>
          </cell>
          <cell r="AL362">
            <v>37743</v>
          </cell>
        </row>
        <row r="363">
          <cell r="E363">
            <v>8871711.2219999991</v>
          </cell>
          <cell r="G363">
            <v>1335369</v>
          </cell>
          <cell r="K363">
            <v>6525458.2220000001</v>
          </cell>
          <cell r="L363">
            <v>692147</v>
          </cell>
          <cell r="M363">
            <v>16941</v>
          </cell>
          <cell r="N363">
            <v>710</v>
          </cell>
          <cell r="P363">
            <v>482405</v>
          </cell>
          <cell r="R363">
            <v>859140</v>
          </cell>
          <cell r="W363">
            <v>1289996</v>
          </cell>
          <cell r="AA363">
            <v>79000</v>
          </cell>
          <cell r="AD363">
            <v>567856</v>
          </cell>
          <cell r="AE363">
            <v>21698</v>
          </cell>
          <cell r="AF363">
            <v>755544</v>
          </cell>
          <cell r="AK363">
            <v>38300</v>
          </cell>
          <cell r="AL363">
            <v>20711</v>
          </cell>
        </row>
        <row r="364">
          <cell r="E364">
            <v>11520232.056</v>
          </cell>
          <cell r="G364">
            <v>1378498</v>
          </cell>
          <cell r="K364">
            <v>7750340.0559999999</v>
          </cell>
          <cell r="L364">
            <v>919073</v>
          </cell>
          <cell r="M364">
            <v>69592</v>
          </cell>
          <cell r="N364">
            <v>1080</v>
          </cell>
          <cell r="P364">
            <v>547056</v>
          </cell>
          <cell r="R364">
            <v>834656</v>
          </cell>
          <cell r="W364">
            <v>1182422</v>
          </cell>
          <cell r="AA364">
            <v>81035</v>
          </cell>
          <cell r="AD364">
            <v>931551</v>
          </cell>
          <cell r="AE364">
            <v>32990</v>
          </cell>
          <cell r="AF364">
            <v>719435</v>
          </cell>
          <cell r="AK364">
            <v>63723</v>
          </cell>
          <cell r="AL364">
            <v>44052</v>
          </cell>
        </row>
        <row r="365">
          <cell r="E365">
            <v>10374742.222999999</v>
          </cell>
          <cell r="G365">
            <v>1576872</v>
          </cell>
          <cell r="K365">
            <v>4348996.2230000002</v>
          </cell>
          <cell r="L365">
            <v>3457709</v>
          </cell>
          <cell r="M365">
            <v>24775</v>
          </cell>
          <cell r="N365">
            <v>1782</v>
          </cell>
          <cell r="P365">
            <v>656825</v>
          </cell>
          <cell r="R365">
            <v>924101</v>
          </cell>
          <cell r="W365">
            <v>1232693</v>
          </cell>
          <cell r="AA365">
            <v>86461</v>
          </cell>
          <cell r="AD365">
            <v>3780332</v>
          </cell>
          <cell r="AE365">
            <v>271893</v>
          </cell>
          <cell r="AF365">
            <v>2089815</v>
          </cell>
          <cell r="AK365">
            <v>58207</v>
          </cell>
          <cell r="AL365">
            <v>51395</v>
          </cell>
        </row>
        <row r="366">
          <cell r="E366">
            <v>17482892.011</v>
          </cell>
          <cell r="G366">
            <v>1863523</v>
          </cell>
          <cell r="K366">
            <v>429244.011</v>
          </cell>
          <cell r="L366">
            <v>11221324</v>
          </cell>
          <cell r="M366">
            <v>39574</v>
          </cell>
          <cell r="N366">
            <v>1617</v>
          </cell>
          <cell r="P366">
            <v>730825</v>
          </cell>
          <cell r="R366">
            <v>1138118</v>
          </cell>
          <cell r="W366">
            <v>2427712</v>
          </cell>
          <cell r="AA366">
            <v>181221</v>
          </cell>
          <cell r="AD366">
            <v>3135703</v>
          </cell>
          <cell r="AE366">
            <v>260510</v>
          </cell>
          <cell r="AF366">
            <v>1244818</v>
          </cell>
          <cell r="AK366">
            <v>126400</v>
          </cell>
          <cell r="AL366">
            <v>58311</v>
          </cell>
        </row>
        <row r="367">
          <cell r="E367">
            <v>12768187.776000001</v>
          </cell>
          <cell r="G367">
            <v>2183983</v>
          </cell>
          <cell r="K367">
            <v>5727811.7759999996</v>
          </cell>
          <cell r="L367">
            <v>3690337</v>
          </cell>
          <cell r="M367">
            <v>58731</v>
          </cell>
          <cell r="N367">
            <v>2729</v>
          </cell>
          <cell r="P367">
            <v>777969</v>
          </cell>
          <cell r="R367">
            <v>1407911</v>
          </cell>
          <cell r="W367">
            <v>1602846</v>
          </cell>
          <cell r="AA367">
            <v>68373</v>
          </cell>
          <cell r="AD367">
            <v>570601</v>
          </cell>
          <cell r="AE367">
            <v>94965</v>
          </cell>
          <cell r="AF367">
            <v>1571033</v>
          </cell>
          <cell r="AK367">
            <v>58017</v>
          </cell>
          <cell r="AL367">
            <v>52032</v>
          </cell>
        </row>
        <row r="368">
          <cell r="E368">
            <v>11270392.357000001</v>
          </cell>
          <cell r="G368">
            <v>1938982</v>
          </cell>
          <cell r="K368">
            <v>6406525.3569999998</v>
          </cell>
          <cell r="L368">
            <v>2211515</v>
          </cell>
          <cell r="M368">
            <v>20507</v>
          </cell>
          <cell r="N368">
            <v>740</v>
          </cell>
          <cell r="P368">
            <v>743538</v>
          </cell>
          <cell r="R368">
            <v>1201709</v>
          </cell>
          <cell r="W368">
            <v>1829109</v>
          </cell>
          <cell r="AA368">
            <v>68527</v>
          </cell>
          <cell r="AD368">
            <v>3097654</v>
          </cell>
          <cell r="AE368">
            <v>29520</v>
          </cell>
          <cell r="AF368">
            <v>2666444</v>
          </cell>
          <cell r="AK368">
            <v>64771</v>
          </cell>
          <cell r="AL368">
            <v>44970</v>
          </cell>
        </row>
        <row r="369">
          <cell r="E369">
            <v>10389619</v>
          </cell>
          <cell r="G369">
            <v>1209282</v>
          </cell>
          <cell r="K369">
            <v>6448873</v>
          </cell>
          <cell r="L369">
            <v>1595501</v>
          </cell>
          <cell r="M369">
            <v>8053</v>
          </cell>
          <cell r="N369">
            <v>908</v>
          </cell>
          <cell r="P369">
            <v>435343</v>
          </cell>
          <cell r="R369">
            <v>779261</v>
          </cell>
          <cell r="W369">
            <v>1041882</v>
          </cell>
          <cell r="AA369">
            <v>73354</v>
          </cell>
          <cell r="AD369">
            <v>601545</v>
          </cell>
          <cell r="AE369">
            <v>17981</v>
          </cell>
          <cell r="AF369">
            <v>978856</v>
          </cell>
          <cell r="AK369">
            <v>46488</v>
          </cell>
          <cell r="AL369">
            <v>36882</v>
          </cell>
        </row>
      </sheetData>
      <sheetData sheetId="3"/>
      <sheetData sheetId="4"/>
      <sheetData sheetId="5">
        <row r="6">
          <cell r="B6">
            <v>1329.5909999999999</v>
          </cell>
          <cell r="C6">
            <v>2195.7449999999999</v>
          </cell>
          <cell r="D6">
            <v>1105.54</v>
          </cell>
          <cell r="F6">
            <v>92.498999999999995</v>
          </cell>
          <cell r="G6">
            <v>610.50199999999995</v>
          </cell>
          <cell r="I6">
            <v>52.85</v>
          </cell>
          <cell r="K6">
            <v>313.69299999999998</v>
          </cell>
        </row>
        <row r="7">
          <cell r="B7">
            <v>1236.473</v>
          </cell>
          <cell r="C7">
            <v>1653.143</v>
          </cell>
          <cell r="D7">
            <v>890.02599999999995</v>
          </cell>
          <cell r="F7">
            <v>91.480999999999995</v>
          </cell>
          <cell r="G7">
            <v>545.64</v>
          </cell>
          <cell r="I7">
            <v>42.954000000000001</v>
          </cell>
          <cell r="K7">
            <v>295.983</v>
          </cell>
        </row>
        <row r="8">
          <cell r="B8">
            <v>1283.8420000000001</v>
          </cell>
          <cell r="C8">
            <v>2036.886</v>
          </cell>
          <cell r="D8">
            <v>855.70899999999995</v>
          </cell>
          <cell r="F8">
            <v>107.24</v>
          </cell>
          <cell r="G8">
            <v>619.37800000000004</v>
          </cell>
          <cell r="I8">
            <v>65.787999999999997</v>
          </cell>
          <cell r="K8">
            <v>325.78699999999998</v>
          </cell>
        </row>
        <row r="9">
          <cell r="B9">
            <v>1341.1</v>
          </cell>
          <cell r="C9">
            <v>1691.7190000000001</v>
          </cell>
          <cell r="D9">
            <v>701.95600000000002</v>
          </cell>
          <cell r="F9">
            <v>79.756</v>
          </cell>
          <cell r="G9">
            <v>525.15099999999995</v>
          </cell>
          <cell r="I9">
            <v>18.831</v>
          </cell>
          <cell r="K9">
            <v>322.173</v>
          </cell>
        </row>
        <row r="10">
          <cell r="B10">
            <v>1263.646</v>
          </cell>
          <cell r="C10">
            <v>1916.7260000000001</v>
          </cell>
          <cell r="D10">
            <v>800.71699999999998</v>
          </cell>
          <cell r="F10">
            <v>91.894000000000005</v>
          </cell>
          <cell r="G10">
            <v>623.029</v>
          </cell>
          <cell r="I10">
            <v>83.941999999999993</v>
          </cell>
          <cell r="K10">
            <v>359.87299999999999</v>
          </cell>
        </row>
        <row r="11">
          <cell r="B11">
            <v>1250.4110000000001</v>
          </cell>
          <cell r="C11">
            <v>1649.328</v>
          </cell>
          <cell r="D11">
            <v>784.96299999999997</v>
          </cell>
          <cell r="F11">
            <v>87.793999999999997</v>
          </cell>
          <cell r="G11">
            <v>615.83299999999997</v>
          </cell>
          <cell r="I11">
            <v>16.452000000000002</v>
          </cell>
          <cell r="K11">
            <v>334.14699999999999</v>
          </cell>
        </row>
        <row r="12">
          <cell r="B12">
            <v>1298.6110000000001</v>
          </cell>
          <cell r="C12">
            <v>2315.5169999999998</v>
          </cell>
          <cell r="D12">
            <v>872.00199999999995</v>
          </cell>
          <cell r="F12">
            <v>86.295000000000002</v>
          </cell>
          <cell r="G12">
            <v>516.92899999999997</v>
          </cell>
          <cell r="I12">
            <v>101.97499999999999</v>
          </cell>
          <cell r="K12">
            <v>373.17700000000002</v>
          </cell>
        </row>
        <row r="13">
          <cell r="B13">
            <v>1141.921</v>
          </cell>
          <cell r="C13">
            <v>1771.971</v>
          </cell>
          <cell r="D13">
            <v>861.78</v>
          </cell>
          <cell r="F13">
            <v>84.575000000000003</v>
          </cell>
          <cell r="G13">
            <v>530.11</v>
          </cell>
          <cell r="I13">
            <v>50.08</v>
          </cell>
          <cell r="K13">
            <v>379.70699999999999</v>
          </cell>
        </row>
        <row r="14">
          <cell r="B14">
            <v>1148.82</v>
          </cell>
          <cell r="C14">
            <v>2308.7109999999998</v>
          </cell>
          <cell r="D14">
            <v>787.98099999999999</v>
          </cell>
          <cell r="F14">
            <v>83.608999999999995</v>
          </cell>
          <cell r="G14">
            <v>538.35</v>
          </cell>
          <cell r="I14">
            <v>74.216999999999999</v>
          </cell>
          <cell r="K14">
            <v>375.52199999999999</v>
          </cell>
        </row>
        <row r="15">
          <cell r="B15">
            <v>1329.1559999999999</v>
          </cell>
          <cell r="C15">
            <v>1641.973</v>
          </cell>
          <cell r="D15">
            <v>787.48500000000001</v>
          </cell>
          <cell r="F15">
            <v>90.082999999999998</v>
          </cell>
          <cell r="G15">
            <v>622.88199999999995</v>
          </cell>
          <cell r="I15">
            <v>101.374</v>
          </cell>
          <cell r="K15">
            <v>360.59800000000001</v>
          </cell>
        </row>
        <row r="16">
          <cell r="B16">
            <v>1123.8679999999999</v>
          </cell>
          <cell r="C16">
            <v>2166.5189999999998</v>
          </cell>
          <cell r="D16">
            <v>865.37800000000004</v>
          </cell>
          <cell r="F16">
            <v>77.043999999999997</v>
          </cell>
          <cell r="G16">
            <v>534.28099999999995</v>
          </cell>
          <cell r="I16">
            <v>25.338999999999999</v>
          </cell>
          <cell r="K16">
            <v>330.95</v>
          </cell>
        </row>
        <row r="17">
          <cell r="B17">
            <v>1144.7470000000001</v>
          </cell>
          <cell r="C17">
            <v>1631.1949999999999</v>
          </cell>
          <cell r="D17">
            <v>686.16</v>
          </cell>
          <cell r="F17">
            <v>87.998000000000005</v>
          </cell>
          <cell r="G17">
            <v>671.83299999999997</v>
          </cell>
          <cell r="I17">
            <v>84.311000000000007</v>
          </cell>
          <cell r="K17">
            <v>387.34899999999999</v>
          </cell>
        </row>
        <row r="18">
          <cell r="B18">
            <v>1228.191</v>
          </cell>
          <cell r="C18">
            <v>2519.39</v>
          </cell>
          <cell r="D18">
            <v>866.14099999999996</v>
          </cell>
          <cell r="F18">
            <v>99.15</v>
          </cell>
          <cell r="G18">
            <v>512.33900000000006</v>
          </cell>
          <cell r="I18">
            <v>58.695999999999998</v>
          </cell>
          <cell r="K18">
            <v>382.15</v>
          </cell>
        </row>
        <row r="19">
          <cell r="B19">
            <v>1160.5450000000001</v>
          </cell>
          <cell r="C19">
            <v>1826.29</v>
          </cell>
          <cell r="D19">
            <v>800.16600000000005</v>
          </cell>
          <cell r="F19">
            <v>89.703999999999994</v>
          </cell>
          <cell r="G19">
            <v>522.452</v>
          </cell>
          <cell r="I19">
            <v>24.506</v>
          </cell>
          <cell r="K19">
            <v>351.56700000000001</v>
          </cell>
        </row>
        <row r="20">
          <cell r="B20">
            <v>1563.8779999999999</v>
          </cell>
          <cell r="C20">
            <v>2248.8560000000002</v>
          </cell>
          <cell r="D20">
            <v>812.98699999999997</v>
          </cell>
          <cell r="F20">
            <v>118.336</v>
          </cell>
          <cell r="G20">
            <v>660.32299999999998</v>
          </cell>
          <cell r="I20">
            <v>83.503</v>
          </cell>
          <cell r="K20">
            <v>414.79399999999998</v>
          </cell>
        </row>
        <row r="21">
          <cell r="B21">
            <v>1197.154</v>
          </cell>
          <cell r="C21">
            <v>1708.1469999999999</v>
          </cell>
          <cell r="D21">
            <v>622.21699999999998</v>
          </cell>
          <cell r="F21">
            <v>102.905</v>
          </cell>
          <cell r="G21">
            <v>533.34400000000005</v>
          </cell>
          <cell r="I21">
            <v>16.986999999999998</v>
          </cell>
          <cell r="K21">
            <v>392.38499999999999</v>
          </cell>
        </row>
        <row r="22">
          <cell r="B22">
            <v>1285.5260000000001</v>
          </cell>
          <cell r="C22">
            <v>2314.3809999999999</v>
          </cell>
          <cell r="D22">
            <v>989.93899999999996</v>
          </cell>
          <cell r="F22">
            <v>99.962999999999994</v>
          </cell>
          <cell r="G22">
            <v>614.89800000000002</v>
          </cell>
          <cell r="I22">
            <v>68.484999999999999</v>
          </cell>
          <cell r="K22">
            <v>380.90899999999999</v>
          </cell>
        </row>
        <row r="23">
          <cell r="B23">
            <v>1322.623</v>
          </cell>
          <cell r="C23">
            <v>1705.0889999999999</v>
          </cell>
          <cell r="D23">
            <v>778.84799999999996</v>
          </cell>
          <cell r="F23">
            <v>97.984999999999999</v>
          </cell>
          <cell r="G23">
            <v>792.29700000000003</v>
          </cell>
          <cell r="I23">
            <v>50.499000000000002</v>
          </cell>
          <cell r="K23">
            <v>425.8</v>
          </cell>
        </row>
        <row r="24">
          <cell r="B24">
            <v>1312.79</v>
          </cell>
          <cell r="C24">
            <v>2416.6590000000001</v>
          </cell>
          <cell r="D24">
            <v>893.96299999999997</v>
          </cell>
          <cell r="F24">
            <v>88.245999999999995</v>
          </cell>
          <cell r="G24">
            <v>471.47</v>
          </cell>
          <cell r="I24">
            <v>88.861999999999995</v>
          </cell>
          <cell r="K24">
            <v>470.42500000000001</v>
          </cell>
        </row>
        <row r="25">
          <cell r="B25">
            <v>1290.248</v>
          </cell>
          <cell r="C25">
            <v>1970.3610000000001</v>
          </cell>
          <cell r="D25">
            <v>832.11</v>
          </cell>
          <cell r="F25">
            <v>91.991</v>
          </cell>
          <cell r="G25">
            <v>531.49</v>
          </cell>
          <cell r="I25">
            <v>98.727999999999994</v>
          </cell>
          <cell r="K25">
            <v>443.58300000000003</v>
          </cell>
        </row>
        <row r="26">
          <cell r="B26">
            <v>1272.8030000000001</v>
          </cell>
          <cell r="C26">
            <v>2535.0500000000002</v>
          </cell>
          <cell r="D26">
            <v>866.82399999999996</v>
          </cell>
          <cell r="F26">
            <v>101.261</v>
          </cell>
          <cell r="G26">
            <v>547.65200000000004</v>
          </cell>
          <cell r="I26">
            <v>40.978999999999999</v>
          </cell>
          <cell r="K26">
            <v>429.88099999999997</v>
          </cell>
        </row>
        <row r="27">
          <cell r="B27">
            <v>1238.6559999999999</v>
          </cell>
          <cell r="C27">
            <v>1929.3130000000001</v>
          </cell>
          <cell r="D27">
            <v>829.90700000000004</v>
          </cell>
          <cell r="F27">
            <v>80.067999999999998</v>
          </cell>
          <cell r="G27">
            <v>535.5</v>
          </cell>
          <cell r="I27">
            <v>108.58</v>
          </cell>
          <cell r="K27">
            <v>398.63299999999998</v>
          </cell>
        </row>
        <row r="28">
          <cell r="B28">
            <v>1327.454</v>
          </cell>
          <cell r="C28">
            <v>2337.386</v>
          </cell>
          <cell r="D28">
            <v>929.77800000000002</v>
          </cell>
          <cell r="F28">
            <v>91.161000000000001</v>
          </cell>
          <cell r="G28">
            <v>610.91</v>
          </cell>
          <cell r="I28">
            <v>17.326000000000001</v>
          </cell>
          <cell r="K28">
            <v>408.43200000000002</v>
          </cell>
        </row>
        <row r="29">
          <cell r="B29">
            <v>1293.6859999999999</v>
          </cell>
          <cell r="C29">
            <v>1838.0129999999999</v>
          </cell>
          <cell r="D29">
            <v>789.37599999999998</v>
          </cell>
          <cell r="F29">
            <v>99.492000000000004</v>
          </cell>
          <cell r="G29">
            <v>814.88599999999997</v>
          </cell>
          <cell r="I29">
            <v>84.394000000000005</v>
          </cell>
          <cell r="K29">
            <v>460.69</v>
          </cell>
        </row>
        <row r="30">
          <cell r="B30">
            <v>1213.875</v>
          </cell>
          <cell r="C30">
            <v>2700.8519999999999</v>
          </cell>
          <cell r="D30">
            <v>1268.4290000000001</v>
          </cell>
          <cell r="F30">
            <v>83.968000000000004</v>
          </cell>
          <cell r="G30">
            <v>452.19799999999998</v>
          </cell>
          <cell r="I30">
            <v>18.611000000000001</v>
          </cell>
          <cell r="K30">
            <v>403.37900000000002</v>
          </cell>
        </row>
        <row r="31">
          <cell r="B31">
            <v>1264.33</v>
          </cell>
          <cell r="C31">
            <v>1934.1089999999999</v>
          </cell>
          <cell r="D31">
            <v>758.03700000000003</v>
          </cell>
          <cell r="F31">
            <v>89.972999999999999</v>
          </cell>
          <cell r="G31">
            <v>483.56299999999999</v>
          </cell>
          <cell r="I31">
            <v>53.777999999999999</v>
          </cell>
          <cell r="K31">
            <v>380.07600000000002</v>
          </cell>
        </row>
        <row r="32">
          <cell r="B32">
            <v>1592.6790000000001</v>
          </cell>
          <cell r="C32">
            <v>2595.0100000000002</v>
          </cell>
          <cell r="D32">
            <v>948.27200000000005</v>
          </cell>
          <cell r="F32">
            <v>114.55</v>
          </cell>
          <cell r="G32">
            <v>703.91700000000003</v>
          </cell>
          <cell r="I32">
            <v>73.691999999999993</v>
          </cell>
          <cell r="K32">
            <v>453.77699999999999</v>
          </cell>
        </row>
        <row r="33">
          <cell r="B33">
            <v>1485.701</v>
          </cell>
          <cell r="C33">
            <v>1844.7929999999999</v>
          </cell>
          <cell r="D33">
            <v>1000.997</v>
          </cell>
          <cell r="F33">
            <v>98.933999999999997</v>
          </cell>
          <cell r="G33">
            <v>663.71400000000006</v>
          </cell>
          <cell r="I33">
            <v>22.082000000000001</v>
          </cell>
          <cell r="K33">
            <v>419.04599999999999</v>
          </cell>
        </row>
        <row r="34">
          <cell r="B34">
            <v>1327.5260000000001</v>
          </cell>
          <cell r="C34">
            <v>2530.4650000000001</v>
          </cell>
          <cell r="D34">
            <v>934.76</v>
          </cell>
          <cell r="F34">
            <v>86.631</v>
          </cell>
          <cell r="G34">
            <v>510.97399999999999</v>
          </cell>
          <cell r="I34">
            <v>102.846</v>
          </cell>
          <cell r="K34">
            <v>403.685</v>
          </cell>
        </row>
        <row r="35">
          <cell r="B35">
            <v>1414.5</v>
          </cell>
          <cell r="C35">
            <v>1868.3879999999999</v>
          </cell>
          <cell r="D35">
            <v>901.25300000000004</v>
          </cell>
          <cell r="F35">
            <v>94.703999999999994</v>
          </cell>
          <cell r="G35">
            <v>722.60400000000004</v>
          </cell>
          <cell r="I35">
            <v>60.972000000000001</v>
          </cell>
          <cell r="K35">
            <v>467.738</v>
          </cell>
        </row>
        <row r="36">
          <cell r="B36">
            <v>1394.1479999999999</v>
          </cell>
          <cell r="C36">
            <v>2672.1579999999999</v>
          </cell>
          <cell r="D36">
            <v>1024.4349999999999</v>
          </cell>
          <cell r="F36">
            <v>88.603999999999999</v>
          </cell>
          <cell r="G36">
            <v>524.24699999999996</v>
          </cell>
          <cell r="I36">
            <v>65.741</v>
          </cell>
          <cell r="K36">
            <v>461.74400000000003</v>
          </cell>
        </row>
        <row r="37">
          <cell r="B37">
            <v>1381.1949999999999</v>
          </cell>
          <cell r="C37">
            <v>2057.8440000000001</v>
          </cell>
          <cell r="D37">
            <v>892.71</v>
          </cell>
          <cell r="F37">
            <v>109.208</v>
          </cell>
          <cell r="G37">
            <v>666.68299999999999</v>
          </cell>
          <cell r="I37">
            <v>70.546999999999997</v>
          </cell>
          <cell r="K37">
            <v>491.91500000000002</v>
          </cell>
        </row>
        <row r="38">
          <cell r="B38">
            <v>1220.4870000000001</v>
          </cell>
          <cell r="C38">
            <v>2708.7930000000001</v>
          </cell>
          <cell r="D38">
            <v>522.43100000000004</v>
          </cell>
          <cell r="F38">
            <v>94.954999999999998</v>
          </cell>
          <cell r="G38">
            <v>601.59699999999998</v>
          </cell>
          <cell r="I38">
            <v>83.798000000000002</v>
          </cell>
          <cell r="K38">
            <v>407.916</v>
          </cell>
        </row>
        <row r="39">
          <cell r="B39">
            <v>1504.047</v>
          </cell>
          <cell r="C39">
            <v>2105.8919999999998</v>
          </cell>
          <cell r="D39">
            <v>1226.385</v>
          </cell>
          <cell r="F39">
            <v>112.16200000000001</v>
          </cell>
          <cell r="G39">
            <v>796.35299999999995</v>
          </cell>
          <cell r="I39">
            <v>71.25</v>
          </cell>
          <cell r="K39">
            <v>446.322</v>
          </cell>
        </row>
        <row r="40">
          <cell r="B40">
            <v>1567.385</v>
          </cell>
          <cell r="C40">
            <v>2518.712</v>
          </cell>
          <cell r="D40">
            <v>1064.4780000000001</v>
          </cell>
          <cell r="F40">
            <v>99.929000000000002</v>
          </cell>
          <cell r="G40">
            <v>534.82399999999996</v>
          </cell>
          <cell r="I40">
            <v>70.2</v>
          </cell>
          <cell r="K40">
            <v>453.87900000000002</v>
          </cell>
        </row>
        <row r="41">
          <cell r="B41">
            <v>1582.51</v>
          </cell>
          <cell r="C41">
            <v>2298.8530000000001</v>
          </cell>
          <cell r="D41">
            <v>1107.9690000000001</v>
          </cell>
          <cell r="F41">
            <v>97.933999999999997</v>
          </cell>
          <cell r="G41">
            <v>654.673</v>
          </cell>
          <cell r="I41">
            <v>60.015000000000001</v>
          </cell>
          <cell r="K41">
            <v>448.64100000000002</v>
          </cell>
        </row>
        <row r="42">
          <cell r="B42">
            <v>1348.308</v>
          </cell>
          <cell r="C42">
            <v>3123.6260000000002</v>
          </cell>
          <cell r="D42">
            <v>1216.1569999999999</v>
          </cell>
          <cell r="F42">
            <v>89.68</v>
          </cell>
          <cell r="G42">
            <v>493.935</v>
          </cell>
          <cell r="I42">
            <v>58.070999999999998</v>
          </cell>
          <cell r="K42">
            <v>463.90800000000002</v>
          </cell>
        </row>
        <row r="43">
          <cell r="B43">
            <v>1440.075</v>
          </cell>
          <cell r="C43">
            <v>2234.3110000000001</v>
          </cell>
          <cell r="D43">
            <v>781.02599999999995</v>
          </cell>
          <cell r="F43">
            <v>119.511</v>
          </cell>
          <cell r="G43">
            <v>669.27800000000002</v>
          </cell>
          <cell r="I43">
            <v>55.246000000000002</v>
          </cell>
          <cell r="K43">
            <v>421.18900000000002</v>
          </cell>
        </row>
        <row r="44">
          <cell r="B44">
            <v>1720.76</v>
          </cell>
          <cell r="C44">
            <v>2684.3739999999998</v>
          </cell>
          <cell r="D44">
            <v>1221.1310000000001</v>
          </cell>
          <cell r="F44">
            <v>125.297</v>
          </cell>
          <cell r="G44">
            <v>807.25300000000004</v>
          </cell>
          <cell r="I44">
            <v>48.298000000000002</v>
          </cell>
          <cell r="K44">
            <v>485.91199999999998</v>
          </cell>
        </row>
        <row r="45">
          <cell r="B45">
            <v>1476.703</v>
          </cell>
          <cell r="C45">
            <v>2270.049</v>
          </cell>
          <cell r="D45">
            <v>1170.8779999999999</v>
          </cell>
          <cell r="F45">
            <v>105.376</v>
          </cell>
          <cell r="G45">
            <v>599.54600000000005</v>
          </cell>
          <cell r="I45">
            <v>68.998000000000005</v>
          </cell>
          <cell r="K45">
            <v>437.447</v>
          </cell>
        </row>
        <row r="46">
          <cell r="B46">
            <v>1490.0160000000001</v>
          </cell>
          <cell r="C46">
            <v>2562.7420000000002</v>
          </cell>
          <cell r="D46">
            <v>1062.8520000000001</v>
          </cell>
          <cell r="F46">
            <v>99.744</v>
          </cell>
          <cell r="G46">
            <v>589.75699999999995</v>
          </cell>
          <cell r="I46">
            <v>61.110999999999997</v>
          </cell>
          <cell r="K46">
            <v>469.80500000000001</v>
          </cell>
        </row>
        <row r="47">
          <cell r="B47">
            <v>1614.1410000000001</v>
          </cell>
          <cell r="C47">
            <v>2180.279</v>
          </cell>
          <cell r="D47">
            <v>1134.0060000000001</v>
          </cell>
          <cell r="F47">
            <v>100.16200000000001</v>
          </cell>
          <cell r="G47">
            <v>702.24199999999996</v>
          </cell>
          <cell r="I47">
            <v>70.671999999999997</v>
          </cell>
          <cell r="K47">
            <v>494.86399999999998</v>
          </cell>
        </row>
        <row r="48">
          <cell r="B48">
            <v>1568.5809999999999</v>
          </cell>
          <cell r="C48">
            <v>2956.0230000000001</v>
          </cell>
          <cell r="D48">
            <v>1177.2449999999999</v>
          </cell>
          <cell r="F48">
            <v>104.048</v>
          </cell>
          <cell r="G48">
            <v>683.84900000000005</v>
          </cell>
          <cell r="I48">
            <v>80.05</v>
          </cell>
          <cell r="K48">
            <v>473.96499999999997</v>
          </cell>
        </row>
        <row r="49">
          <cell r="B49">
            <v>1919.896</v>
          </cell>
          <cell r="C49">
            <v>2366.5259999999998</v>
          </cell>
          <cell r="D49">
            <v>1088.1320000000001</v>
          </cell>
          <cell r="F49">
            <v>134.16300000000001</v>
          </cell>
          <cell r="G49">
            <v>913.72400000000005</v>
          </cell>
          <cell r="I49">
            <v>77.947999999999993</v>
          </cell>
          <cell r="K49">
            <v>542.21400000000006</v>
          </cell>
        </row>
        <row r="50">
          <cell r="B50">
            <v>1458.344383483867</v>
          </cell>
          <cell r="C50">
            <v>3086.5186165161326</v>
          </cell>
          <cell r="D50">
            <v>1217.479</v>
          </cell>
          <cell r="F50">
            <v>124.729</v>
          </cell>
          <cell r="G50">
            <v>697.154</v>
          </cell>
          <cell r="I50">
            <v>90.97</v>
          </cell>
          <cell r="K50">
            <v>439.012</v>
          </cell>
        </row>
        <row r="51">
          <cell r="B51">
            <v>1650.2750000000001</v>
          </cell>
          <cell r="C51">
            <v>2200.9079999999999</v>
          </cell>
          <cell r="D51">
            <v>1113.1880000000001</v>
          </cell>
          <cell r="F51">
            <v>110.49</v>
          </cell>
          <cell r="G51">
            <v>703.83500000000004</v>
          </cell>
          <cell r="I51">
            <v>68.209999999999994</v>
          </cell>
          <cell r="K51">
            <v>502.17</v>
          </cell>
        </row>
        <row r="52">
          <cell r="B52">
            <v>1911.011</v>
          </cell>
          <cell r="C52">
            <v>3066.07</v>
          </cell>
          <cell r="D52">
            <v>1383.2550000000001</v>
          </cell>
          <cell r="F52">
            <v>111.092</v>
          </cell>
          <cell r="G52">
            <v>848.745</v>
          </cell>
          <cell r="I52">
            <v>63.798999999999999</v>
          </cell>
          <cell r="K52">
            <v>481.52600000000001</v>
          </cell>
        </row>
        <row r="53">
          <cell r="B53">
            <v>1838.5630000000001</v>
          </cell>
          <cell r="C53">
            <v>2346.39</v>
          </cell>
          <cell r="D53">
            <v>1358.4649999999999</v>
          </cell>
          <cell r="F53">
            <v>120.75700000000001</v>
          </cell>
          <cell r="G53">
            <v>776.37800000000004</v>
          </cell>
          <cell r="I53">
            <v>61.557000000000002</v>
          </cell>
          <cell r="K53">
            <v>449.31299999999999</v>
          </cell>
        </row>
        <row r="54">
          <cell r="B54">
            <v>1554.6489999999999</v>
          </cell>
          <cell r="C54">
            <v>3359.8040000000001</v>
          </cell>
          <cell r="D54">
            <v>1353.183</v>
          </cell>
          <cell r="F54">
            <v>79.891999999999996</v>
          </cell>
          <cell r="G54">
            <v>651.15300000000002</v>
          </cell>
          <cell r="I54">
            <v>70.573999999999998</v>
          </cell>
          <cell r="K54">
            <v>485.72500000000002</v>
          </cell>
        </row>
        <row r="55">
          <cell r="B55">
            <v>1731.0940000000001</v>
          </cell>
          <cell r="C55">
            <v>2528.5439999999999</v>
          </cell>
          <cell r="D55">
            <v>1453.039</v>
          </cell>
          <cell r="F55">
            <v>109.96899999999999</v>
          </cell>
          <cell r="G55">
            <v>839.01199999999994</v>
          </cell>
          <cell r="I55">
            <v>50.055999999999997</v>
          </cell>
          <cell r="K55">
            <v>450.35599999999999</v>
          </cell>
        </row>
        <row r="56">
          <cell r="B56">
            <v>1925.665</v>
          </cell>
          <cell r="C56">
            <v>3056.9409999999998</v>
          </cell>
          <cell r="D56">
            <v>1296.5350000000001</v>
          </cell>
          <cell r="F56">
            <v>137.68899999999999</v>
          </cell>
          <cell r="G56">
            <v>891.00900000000001</v>
          </cell>
          <cell r="I56">
            <v>49.02</v>
          </cell>
          <cell r="K56">
            <v>418.952</v>
          </cell>
        </row>
        <row r="57">
          <cell r="B57">
            <v>1700.191</v>
          </cell>
          <cell r="C57">
            <v>2325.694</v>
          </cell>
          <cell r="D57">
            <v>1024.357</v>
          </cell>
          <cell r="F57">
            <v>111.282</v>
          </cell>
          <cell r="G57">
            <v>761.41700000000003</v>
          </cell>
          <cell r="I57">
            <v>60.273000000000003</v>
          </cell>
          <cell r="K57">
            <v>443.33199999999999</v>
          </cell>
        </row>
        <row r="58">
          <cell r="B58">
            <v>1904.7190000000001</v>
          </cell>
          <cell r="C58">
            <v>3049.2049999999999</v>
          </cell>
          <cell r="D58">
            <v>1568.8109999999999</v>
          </cell>
          <cell r="F58">
            <v>136.934</v>
          </cell>
          <cell r="G58">
            <v>771.33600000000001</v>
          </cell>
          <cell r="I58">
            <v>61.526000000000003</v>
          </cell>
          <cell r="K58">
            <v>509.57600000000002</v>
          </cell>
        </row>
        <row r="59">
          <cell r="B59">
            <v>1753.66</v>
          </cell>
          <cell r="C59">
            <v>2349.6509999999998</v>
          </cell>
          <cell r="D59">
            <v>1501.9290000000001</v>
          </cell>
          <cell r="F59">
            <v>117.005</v>
          </cell>
          <cell r="G59">
            <v>838.65800000000002</v>
          </cell>
          <cell r="I59">
            <v>71.400999999999996</v>
          </cell>
          <cell r="K59">
            <v>470.10500000000002</v>
          </cell>
        </row>
        <row r="60">
          <cell r="B60">
            <v>1997.7570000000001</v>
          </cell>
          <cell r="C60">
            <v>3180.5450000000001</v>
          </cell>
          <cell r="D60">
            <v>1354.5840000000001</v>
          </cell>
          <cell r="F60">
            <v>120.91500000000001</v>
          </cell>
          <cell r="G60">
            <v>835.34299999999996</v>
          </cell>
          <cell r="I60">
            <v>83.182000000000002</v>
          </cell>
          <cell r="K60">
            <v>534.63099999999997</v>
          </cell>
        </row>
        <row r="61">
          <cell r="B61">
            <v>2001.373</v>
          </cell>
          <cell r="C61">
            <v>2547.4810000000002</v>
          </cell>
          <cell r="D61">
            <v>1468.5419999999999</v>
          </cell>
          <cell r="F61">
            <v>132.179</v>
          </cell>
          <cell r="G61">
            <v>893.61</v>
          </cell>
          <cell r="I61">
            <v>90.403999999999996</v>
          </cell>
          <cell r="K61">
            <v>523.12400000000002</v>
          </cell>
        </row>
        <row r="62">
          <cell r="B62">
            <v>1734.972</v>
          </cell>
          <cell r="C62">
            <v>3306.49</v>
          </cell>
          <cell r="D62">
            <v>1463.579</v>
          </cell>
          <cell r="F62">
            <v>119.41800000000001</v>
          </cell>
          <cell r="G62">
            <v>663.31299999999999</v>
          </cell>
          <cell r="I62">
            <v>62.384</v>
          </cell>
          <cell r="K62">
            <v>482.14699999999999</v>
          </cell>
        </row>
        <row r="63">
          <cell r="B63">
            <v>1945.2470000000001</v>
          </cell>
          <cell r="C63">
            <v>2460.674</v>
          </cell>
          <cell r="D63">
            <v>633.42100000000005</v>
          </cell>
          <cell r="F63">
            <v>119.55800000000001</v>
          </cell>
          <cell r="G63">
            <v>710.65099999999995</v>
          </cell>
          <cell r="I63">
            <v>15.6</v>
          </cell>
          <cell r="K63">
            <v>445.42899999999997</v>
          </cell>
        </row>
        <row r="64">
          <cell r="B64">
            <v>1965.1769999999999</v>
          </cell>
          <cell r="C64">
            <v>3013.0720000000001</v>
          </cell>
          <cell r="D64">
            <v>2371.9050000000002</v>
          </cell>
          <cell r="F64">
            <v>116.32</v>
          </cell>
          <cell r="G64">
            <v>772.125</v>
          </cell>
          <cell r="I64">
            <v>19.396999999999998</v>
          </cell>
          <cell r="K64">
            <v>422.13900000000001</v>
          </cell>
        </row>
        <row r="65">
          <cell r="B65">
            <v>1685.625</v>
          </cell>
          <cell r="C65">
            <v>2371.5329999999999</v>
          </cell>
          <cell r="D65">
            <v>1457.2750000000001</v>
          </cell>
          <cell r="F65">
            <v>119.633</v>
          </cell>
          <cell r="G65">
            <v>781.78099999999995</v>
          </cell>
          <cell r="I65">
            <v>28.677</v>
          </cell>
          <cell r="K65">
            <v>480.15699999999998</v>
          </cell>
        </row>
        <row r="66">
          <cell r="B66">
            <v>1806.6420000000001</v>
          </cell>
          <cell r="C66">
            <v>3527.0360000000001</v>
          </cell>
          <cell r="D66">
            <v>864.80200000000002</v>
          </cell>
          <cell r="F66">
            <v>103.499</v>
          </cell>
          <cell r="G66">
            <v>820.41300000000001</v>
          </cell>
          <cell r="I66">
            <v>21.274000000000001</v>
          </cell>
          <cell r="K66">
            <v>440.86500000000001</v>
          </cell>
        </row>
        <row r="67">
          <cell r="B67">
            <v>1782.095</v>
          </cell>
          <cell r="C67">
            <v>2638.9690000000001</v>
          </cell>
          <cell r="D67">
            <v>1963.4280000000001</v>
          </cell>
          <cell r="F67">
            <v>130.428</v>
          </cell>
          <cell r="G67">
            <v>720.99699999999996</v>
          </cell>
          <cell r="I67">
            <v>24.800999999999998</v>
          </cell>
          <cell r="K67">
            <v>471.404</v>
          </cell>
        </row>
        <row r="68">
          <cell r="B68">
            <v>1877.3779999999999</v>
          </cell>
          <cell r="C68">
            <v>2933.2240000000002</v>
          </cell>
          <cell r="D68">
            <v>1456.04</v>
          </cell>
          <cell r="F68">
            <v>136.87799999999999</v>
          </cell>
          <cell r="G68">
            <v>860.81500000000005</v>
          </cell>
          <cell r="I68">
            <v>21.957999999999998</v>
          </cell>
          <cell r="K68">
            <v>446.50799999999998</v>
          </cell>
        </row>
        <row r="69">
          <cell r="B69">
            <v>1773.3489999999999</v>
          </cell>
          <cell r="C69">
            <v>2478.4430000000002</v>
          </cell>
          <cell r="D69">
            <v>1227.4649999999999</v>
          </cell>
          <cell r="F69">
            <v>121.02800000000001</v>
          </cell>
          <cell r="G69">
            <v>585.22900000000004</v>
          </cell>
          <cell r="I69">
            <v>37.107999999999997</v>
          </cell>
          <cell r="K69">
            <v>404.67099999999999</v>
          </cell>
        </row>
        <row r="70">
          <cell r="B70">
            <v>1741.125</v>
          </cell>
          <cell r="C70">
            <v>3130.4569999999999</v>
          </cell>
          <cell r="D70">
            <v>1494.1980000000001</v>
          </cell>
          <cell r="F70">
            <v>116.592</v>
          </cell>
          <cell r="G70">
            <v>716.23599999999999</v>
          </cell>
          <cell r="I70">
            <v>30.103000000000002</v>
          </cell>
          <cell r="K70">
            <v>467.13600000000002</v>
          </cell>
        </row>
        <row r="71">
          <cell r="B71">
            <v>1492.297</v>
          </cell>
          <cell r="C71">
            <v>2434.5810000000001</v>
          </cell>
          <cell r="D71">
            <v>1142.5530000000001</v>
          </cell>
          <cell r="F71">
            <v>90.396000000000001</v>
          </cell>
          <cell r="G71">
            <v>690.26700000000005</v>
          </cell>
          <cell r="I71">
            <v>34.408999999999999</v>
          </cell>
          <cell r="K71">
            <v>460.89299999999997</v>
          </cell>
        </row>
        <row r="72">
          <cell r="B72">
            <v>1833.0640000000001</v>
          </cell>
          <cell r="C72">
            <v>3253.143</v>
          </cell>
          <cell r="D72">
            <v>1365.1890000000001</v>
          </cell>
          <cell r="F72">
            <v>121.41</v>
          </cell>
          <cell r="G72">
            <v>851.34900000000005</v>
          </cell>
          <cell r="I72">
            <v>37.619999999999997</v>
          </cell>
          <cell r="K72">
            <v>581.89099999999996</v>
          </cell>
        </row>
        <row r="73">
          <cell r="B73">
            <v>1764.7080000000001</v>
          </cell>
          <cell r="C73">
            <v>2523.5279999999998</v>
          </cell>
          <cell r="D73">
            <v>1171.414</v>
          </cell>
          <cell r="F73">
            <v>123.155</v>
          </cell>
          <cell r="G73">
            <v>801.85299999999995</v>
          </cell>
          <cell r="I73">
            <v>34.941000000000003</v>
          </cell>
          <cell r="K73">
            <v>480.00799999999998</v>
          </cell>
        </row>
        <row r="74">
          <cell r="B74">
            <v>1500.501</v>
          </cell>
          <cell r="C74">
            <v>3339.44</v>
          </cell>
          <cell r="D74">
            <v>738.56</v>
          </cell>
          <cell r="F74">
            <v>104.97499999999999</v>
          </cell>
          <cell r="G74">
            <v>618.57600000000002</v>
          </cell>
          <cell r="I74">
            <v>51.49</v>
          </cell>
          <cell r="K74">
            <v>469.97399999999999</v>
          </cell>
        </row>
        <row r="75">
          <cell r="B75">
            <v>1558.741</v>
          </cell>
          <cell r="C75">
            <v>2483.8890000000001</v>
          </cell>
          <cell r="D75">
            <v>1496.5</v>
          </cell>
          <cell r="F75">
            <v>102.191</v>
          </cell>
          <cell r="G75">
            <v>658.58600000000001</v>
          </cell>
          <cell r="I75">
            <v>33.707999999999998</v>
          </cell>
          <cell r="K75">
            <v>478.10700000000003</v>
          </cell>
        </row>
        <row r="76">
          <cell r="B76">
            <v>1582.0889999999999</v>
          </cell>
          <cell r="C76">
            <v>3028.8139999999999</v>
          </cell>
          <cell r="D76">
            <v>1232.8330000000001</v>
          </cell>
          <cell r="F76">
            <v>106.806</v>
          </cell>
          <cell r="G76">
            <v>668.197</v>
          </cell>
          <cell r="I76">
            <v>27.001999999999999</v>
          </cell>
          <cell r="K76">
            <v>478.745</v>
          </cell>
        </row>
        <row r="77">
          <cell r="B77">
            <v>1680.096</v>
          </cell>
          <cell r="C77">
            <v>2577.123</v>
          </cell>
          <cell r="D77">
            <v>1146.8430000000001</v>
          </cell>
          <cell r="F77">
            <v>99.212999999999994</v>
          </cell>
          <cell r="G77">
            <v>826.83799999999997</v>
          </cell>
          <cell r="I77">
            <v>29.97</v>
          </cell>
          <cell r="K77">
            <v>520.74300000000005</v>
          </cell>
        </row>
        <row r="78">
          <cell r="B78">
            <v>1927.6590000000001</v>
          </cell>
          <cell r="C78">
            <v>3464.154</v>
          </cell>
          <cell r="D78">
            <v>1304.896</v>
          </cell>
          <cell r="F78">
            <v>116.922</v>
          </cell>
          <cell r="G78">
            <v>969.70899999999995</v>
          </cell>
          <cell r="I78">
            <v>29.672999999999998</v>
          </cell>
          <cell r="K78">
            <v>488.625</v>
          </cell>
        </row>
        <row r="79">
          <cell r="B79">
            <v>1680.491</v>
          </cell>
          <cell r="C79">
            <v>2619.5700000000002</v>
          </cell>
          <cell r="D79">
            <v>1080.325</v>
          </cell>
          <cell r="F79">
            <v>119.813</v>
          </cell>
          <cell r="G79">
            <v>631.58199999999999</v>
          </cell>
          <cell r="I79">
            <v>27.087</v>
          </cell>
          <cell r="K79">
            <v>447.279</v>
          </cell>
        </row>
        <row r="80">
          <cell r="B80">
            <v>1668.6969999999999</v>
          </cell>
          <cell r="C80">
            <v>3223.4110000000001</v>
          </cell>
          <cell r="D80">
            <v>1176.7570000000001</v>
          </cell>
          <cell r="F80">
            <v>126.44</v>
          </cell>
          <cell r="G80">
            <v>634.93299999999999</v>
          </cell>
          <cell r="I80">
            <v>24.315000000000001</v>
          </cell>
          <cell r="K80">
            <v>490.66899999999998</v>
          </cell>
        </row>
        <row r="81">
          <cell r="B81">
            <v>1753.3230000000001</v>
          </cell>
          <cell r="C81">
            <v>2628.1190000000001</v>
          </cell>
          <cell r="D81">
            <v>1061.011</v>
          </cell>
          <cell r="F81">
            <v>111.458</v>
          </cell>
          <cell r="G81">
            <v>825.39499999999998</v>
          </cell>
          <cell r="I81">
            <v>33.255000000000003</v>
          </cell>
          <cell r="K81">
            <v>439.238</v>
          </cell>
        </row>
        <row r="82">
          <cell r="B82">
            <v>1897.807</v>
          </cell>
          <cell r="C82">
            <v>3002.1260000000002</v>
          </cell>
          <cell r="D82">
            <v>1256.585</v>
          </cell>
          <cell r="F82">
            <v>116.327</v>
          </cell>
          <cell r="G82">
            <v>674.25900000000001</v>
          </cell>
          <cell r="I82">
            <v>31.858000000000001</v>
          </cell>
          <cell r="K82">
            <v>566.36</v>
          </cell>
        </row>
        <row r="83">
          <cell r="B83">
            <v>1918.204</v>
          </cell>
          <cell r="C83">
            <v>2661.2919999999999</v>
          </cell>
          <cell r="D83">
            <v>1363.6959999999999</v>
          </cell>
          <cell r="F83">
            <v>103.973</v>
          </cell>
          <cell r="G83">
            <v>810.87900000000002</v>
          </cell>
          <cell r="I83">
            <v>30.847000000000001</v>
          </cell>
          <cell r="K83">
            <v>584.04300000000001</v>
          </cell>
        </row>
        <row r="84">
          <cell r="B84">
            <v>2022.6310000000001</v>
          </cell>
          <cell r="C84">
            <v>3609.1</v>
          </cell>
          <cell r="D84">
            <v>1324.3630000000001</v>
          </cell>
          <cell r="F84">
            <v>121.517</v>
          </cell>
          <cell r="G84">
            <v>678.90300000000002</v>
          </cell>
          <cell r="I84">
            <v>51.637</v>
          </cell>
          <cell r="K84">
            <v>615.98</v>
          </cell>
        </row>
        <row r="85">
          <cell r="B85">
            <v>1840.09</v>
          </cell>
          <cell r="C85">
            <v>2781.723</v>
          </cell>
          <cell r="D85">
            <v>1310</v>
          </cell>
          <cell r="F85">
            <v>131.41800000000001</v>
          </cell>
          <cell r="G85">
            <v>715.58900000000006</v>
          </cell>
          <cell r="I85">
            <v>41.128999999999998</v>
          </cell>
          <cell r="K85">
            <v>675.36500000000001</v>
          </cell>
        </row>
        <row r="86">
          <cell r="B86">
            <v>1807.712</v>
          </cell>
          <cell r="C86">
            <v>3522.924</v>
          </cell>
          <cell r="D86">
            <v>612.87300000000005</v>
          </cell>
          <cell r="F86">
            <v>125.139</v>
          </cell>
          <cell r="G86">
            <v>649.76800000000003</v>
          </cell>
          <cell r="I86">
            <v>39.212000000000003</v>
          </cell>
          <cell r="K86">
            <v>617.26400000000001</v>
          </cell>
        </row>
        <row r="87">
          <cell r="B87">
            <v>2014.865</v>
          </cell>
          <cell r="C87">
            <v>2496.2919999999999</v>
          </cell>
          <cell r="D87">
            <v>847.57</v>
          </cell>
          <cell r="F87">
            <v>118.893</v>
          </cell>
          <cell r="G87">
            <v>749.11599999999999</v>
          </cell>
          <cell r="I87">
            <v>34.015000000000001</v>
          </cell>
          <cell r="K87">
            <v>622.024</v>
          </cell>
        </row>
        <row r="88">
          <cell r="B88">
            <v>1641.279</v>
          </cell>
          <cell r="C88">
            <v>3343.944</v>
          </cell>
          <cell r="D88">
            <v>2163.0320000000002</v>
          </cell>
          <cell r="F88">
            <v>95.094999999999999</v>
          </cell>
          <cell r="G88">
            <v>663.94899999999996</v>
          </cell>
          <cell r="I88">
            <v>33.542000000000002</v>
          </cell>
          <cell r="K88">
            <v>578.94799999999998</v>
          </cell>
        </row>
        <row r="89">
          <cell r="B89">
            <v>1998.4110000000001</v>
          </cell>
          <cell r="C89">
            <v>2638.873</v>
          </cell>
          <cell r="D89">
            <v>922.62300000000005</v>
          </cell>
          <cell r="F89">
            <v>115.122</v>
          </cell>
          <cell r="G89">
            <v>864.61</v>
          </cell>
          <cell r="I89">
            <v>27.343</v>
          </cell>
          <cell r="K89">
            <v>613.17499999999995</v>
          </cell>
        </row>
        <row r="90">
          <cell r="B90">
            <v>1863</v>
          </cell>
          <cell r="C90">
            <v>3803.8780000000002</v>
          </cell>
          <cell r="D90">
            <v>1901.91</v>
          </cell>
          <cell r="F90">
            <v>98.89</v>
          </cell>
          <cell r="G90">
            <v>614.56799999999998</v>
          </cell>
          <cell r="I90">
            <v>32.170999999999999</v>
          </cell>
          <cell r="K90">
            <v>624.86900000000003</v>
          </cell>
        </row>
        <row r="91">
          <cell r="B91">
            <v>1755.162</v>
          </cell>
          <cell r="C91">
            <v>2788.7759999999998</v>
          </cell>
          <cell r="D91">
            <v>1295.981</v>
          </cell>
          <cell r="F91">
            <v>110.19499999999999</v>
          </cell>
          <cell r="G91">
            <v>611.31700000000001</v>
          </cell>
          <cell r="I91">
            <v>18.995000000000001</v>
          </cell>
          <cell r="K91">
            <v>556.40700000000004</v>
          </cell>
        </row>
        <row r="92">
          <cell r="B92">
            <v>2211.1570000000002</v>
          </cell>
          <cell r="C92">
            <v>3307.1689999999999</v>
          </cell>
          <cell r="D92">
            <v>1275.837</v>
          </cell>
          <cell r="F92">
            <v>116.33799999999999</v>
          </cell>
          <cell r="G92">
            <v>717.54300000000001</v>
          </cell>
          <cell r="I92">
            <v>18.135000000000002</v>
          </cell>
          <cell r="K92">
            <v>608.16399999999999</v>
          </cell>
        </row>
        <row r="93">
          <cell r="B93">
            <v>1805.5170000000001</v>
          </cell>
          <cell r="C93">
            <v>2481.0590000000002</v>
          </cell>
          <cell r="D93">
            <v>1335.144</v>
          </cell>
          <cell r="F93">
            <v>113.548</v>
          </cell>
          <cell r="G93">
            <v>606.88800000000003</v>
          </cell>
          <cell r="I93">
            <v>25.452000000000002</v>
          </cell>
          <cell r="K93">
            <v>528.63199999999995</v>
          </cell>
        </row>
        <row r="94">
          <cell r="B94">
            <v>1734.4169999999999</v>
          </cell>
          <cell r="C94">
            <v>3264.248</v>
          </cell>
          <cell r="D94">
            <v>1239.6890000000001</v>
          </cell>
          <cell r="F94">
            <v>106.5</v>
          </cell>
          <cell r="G94">
            <v>670.89099999999996</v>
          </cell>
          <cell r="I94">
            <v>30.693000000000001</v>
          </cell>
          <cell r="K94">
            <v>621.37400000000002</v>
          </cell>
        </row>
        <row r="95">
          <cell r="B95">
            <v>1926.636</v>
          </cell>
          <cell r="C95">
            <v>2609.7040000000002</v>
          </cell>
          <cell r="D95">
            <v>1299.9739999999999</v>
          </cell>
          <cell r="F95">
            <v>103.322</v>
          </cell>
          <cell r="G95">
            <v>741.81399999999996</v>
          </cell>
          <cell r="I95">
            <v>31.919</v>
          </cell>
          <cell r="K95">
            <v>634.71699999999998</v>
          </cell>
        </row>
        <row r="96">
          <cell r="B96">
            <v>1948.2619999999999</v>
          </cell>
          <cell r="C96">
            <v>3397.7930000000001</v>
          </cell>
          <cell r="D96">
            <v>1303.9870000000001</v>
          </cell>
          <cell r="F96">
            <v>113.893</v>
          </cell>
          <cell r="G96">
            <v>815.02200000000005</v>
          </cell>
          <cell r="I96">
            <v>38.063000000000002</v>
          </cell>
          <cell r="K96">
            <v>648.702</v>
          </cell>
        </row>
        <row r="97">
          <cell r="B97">
            <v>1762.9469999999999</v>
          </cell>
          <cell r="C97">
            <v>2853.2779999999998</v>
          </cell>
          <cell r="D97">
            <v>1233.2249999999999</v>
          </cell>
          <cell r="F97">
            <v>121.54600000000001</v>
          </cell>
          <cell r="G97">
            <v>739.28899999999999</v>
          </cell>
          <cell r="I97">
            <v>38.637</v>
          </cell>
          <cell r="K97">
            <v>638.56299999999999</v>
          </cell>
        </row>
        <row r="98">
          <cell r="B98">
            <v>1913.538</v>
          </cell>
          <cell r="C98">
            <v>3582.0239999999999</v>
          </cell>
          <cell r="D98">
            <v>1241.018</v>
          </cell>
          <cell r="F98">
            <v>144.00700000000001</v>
          </cell>
          <cell r="G98">
            <v>806.55399999999997</v>
          </cell>
          <cell r="I98">
            <v>33.975999999999999</v>
          </cell>
          <cell r="K98">
            <v>617.37900000000002</v>
          </cell>
        </row>
        <row r="99">
          <cell r="B99">
            <v>1844</v>
          </cell>
          <cell r="C99">
            <v>2820</v>
          </cell>
          <cell r="D99">
            <v>854</v>
          </cell>
          <cell r="F99">
            <v>124</v>
          </cell>
          <cell r="G99">
            <v>811</v>
          </cell>
          <cell r="I99">
            <v>35</v>
          </cell>
          <cell r="K99">
            <v>596</v>
          </cell>
        </row>
        <row r="100">
          <cell r="B100">
            <v>1941</v>
          </cell>
          <cell r="C100">
            <v>3219</v>
          </cell>
          <cell r="D100">
            <v>887</v>
          </cell>
          <cell r="F100">
            <v>110</v>
          </cell>
          <cell r="G100">
            <v>739</v>
          </cell>
          <cell r="I100">
            <v>33</v>
          </cell>
          <cell r="K100">
            <v>589</v>
          </cell>
        </row>
        <row r="101">
          <cell r="B101">
            <v>2152</v>
          </cell>
          <cell r="C101">
            <v>2576</v>
          </cell>
          <cell r="D101">
            <v>1707</v>
          </cell>
          <cell r="F101">
            <v>136</v>
          </cell>
          <cell r="G101">
            <v>918</v>
          </cell>
          <cell r="I101">
            <v>35</v>
          </cell>
          <cell r="K101">
            <v>621.85</v>
          </cell>
        </row>
        <row r="102">
          <cell r="B102">
            <v>2053</v>
          </cell>
          <cell r="C102">
            <v>3736</v>
          </cell>
          <cell r="D102">
            <v>1681</v>
          </cell>
          <cell r="F102">
            <v>97</v>
          </cell>
          <cell r="G102">
            <v>863</v>
          </cell>
          <cell r="I102">
            <v>33</v>
          </cell>
          <cell r="K102">
            <v>629</v>
          </cell>
        </row>
        <row r="103">
          <cell r="B103">
            <v>2105</v>
          </cell>
          <cell r="C103">
            <v>2857</v>
          </cell>
          <cell r="D103">
            <v>1355</v>
          </cell>
          <cell r="F103">
            <v>134</v>
          </cell>
          <cell r="G103">
            <v>744</v>
          </cell>
          <cell r="I103">
            <v>33</v>
          </cell>
          <cell r="K103">
            <v>615</v>
          </cell>
        </row>
        <row r="104">
          <cell r="B104">
            <v>2261</v>
          </cell>
          <cell r="C104">
            <v>3355</v>
          </cell>
          <cell r="D104">
            <v>1557</v>
          </cell>
          <cell r="F104">
            <v>149</v>
          </cell>
          <cell r="G104">
            <v>834</v>
          </cell>
          <cell r="I104">
            <v>54</v>
          </cell>
          <cell r="K104">
            <v>711</v>
          </cell>
        </row>
        <row r="105">
          <cell r="B105">
            <v>1893</v>
          </cell>
          <cell r="C105">
            <v>2847</v>
          </cell>
          <cell r="D105">
            <v>1357</v>
          </cell>
          <cell r="F105">
            <v>99</v>
          </cell>
          <cell r="G105">
            <v>429</v>
          </cell>
          <cell r="I105">
            <v>28</v>
          </cell>
          <cell r="K105">
            <v>628</v>
          </cell>
        </row>
        <row r="106">
          <cell r="B106">
            <v>2496</v>
          </cell>
          <cell r="C106">
            <v>3163</v>
          </cell>
          <cell r="D106">
            <v>1338</v>
          </cell>
          <cell r="F106">
            <v>162</v>
          </cell>
          <cell r="G106">
            <v>1187</v>
          </cell>
          <cell r="I106">
            <v>28</v>
          </cell>
          <cell r="K106">
            <v>645</v>
          </cell>
        </row>
        <row r="107">
          <cell r="B107">
            <v>2120</v>
          </cell>
          <cell r="C107">
            <v>2343</v>
          </cell>
          <cell r="D107">
            <v>1715</v>
          </cell>
          <cell r="F107">
            <v>131</v>
          </cell>
          <cell r="G107">
            <v>918</v>
          </cell>
          <cell r="I107">
            <v>31</v>
          </cell>
          <cell r="K107">
            <v>636</v>
          </cell>
        </row>
        <row r="108">
          <cell r="B108">
            <v>1751</v>
          </cell>
          <cell r="C108">
            <v>3462</v>
          </cell>
          <cell r="D108">
            <v>1527</v>
          </cell>
          <cell r="F108">
            <v>89</v>
          </cell>
          <cell r="G108">
            <v>771</v>
          </cell>
          <cell r="I108">
            <v>35</v>
          </cell>
          <cell r="K108">
            <v>720</v>
          </cell>
        </row>
        <row r="109">
          <cell r="B109">
            <v>2580</v>
          </cell>
          <cell r="C109">
            <v>3006</v>
          </cell>
          <cell r="D109">
            <v>1352</v>
          </cell>
          <cell r="F109">
            <v>171</v>
          </cell>
          <cell r="G109">
            <v>1108</v>
          </cell>
          <cell r="I109">
            <v>37</v>
          </cell>
          <cell r="K109">
            <v>679</v>
          </cell>
        </row>
        <row r="110">
          <cell r="B110">
            <v>1958</v>
          </cell>
          <cell r="C110">
            <v>3545</v>
          </cell>
          <cell r="D110">
            <v>1589</v>
          </cell>
          <cell r="F110">
            <v>147</v>
          </cell>
          <cell r="G110">
            <v>603</v>
          </cell>
          <cell r="I110">
            <v>25</v>
          </cell>
          <cell r="K110">
            <v>658</v>
          </cell>
        </row>
        <row r="111">
          <cell r="B111">
            <v>2444</v>
          </cell>
          <cell r="C111">
            <v>2688</v>
          </cell>
          <cell r="D111">
            <v>1476</v>
          </cell>
          <cell r="F111">
            <v>158</v>
          </cell>
          <cell r="G111">
            <v>885</v>
          </cell>
          <cell r="I111">
            <v>22</v>
          </cell>
          <cell r="K111">
            <v>665</v>
          </cell>
        </row>
        <row r="112">
          <cell r="B112">
            <v>2165</v>
          </cell>
          <cell r="C112">
            <v>3164</v>
          </cell>
          <cell r="D112">
            <v>1655</v>
          </cell>
          <cell r="F112">
            <v>137</v>
          </cell>
          <cell r="G112">
            <v>876</v>
          </cell>
          <cell r="I112">
            <v>27</v>
          </cell>
          <cell r="K112">
            <v>637</v>
          </cell>
        </row>
        <row r="113">
          <cell r="B113">
            <v>2327</v>
          </cell>
          <cell r="C113">
            <v>2624</v>
          </cell>
          <cell r="D113">
            <v>1725</v>
          </cell>
          <cell r="F113">
            <v>123.6</v>
          </cell>
          <cell r="G113">
            <v>1054</v>
          </cell>
          <cell r="I113">
            <v>19</v>
          </cell>
          <cell r="K113">
            <v>696</v>
          </cell>
        </row>
        <row r="114">
          <cell r="B114">
            <v>2222</v>
          </cell>
          <cell r="C114">
            <v>3724</v>
          </cell>
          <cell r="D114">
            <v>1526</v>
          </cell>
          <cell r="F114">
            <v>126</v>
          </cell>
          <cell r="G114">
            <v>800</v>
          </cell>
          <cell r="I114">
            <v>23</v>
          </cell>
          <cell r="K114">
            <v>742</v>
          </cell>
        </row>
        <row r="115">
          <cell r="B115">
            <v>2056</v>
          </cell>
          <cell r="C115">
            <v>2761</v>
          </cell>
          <cell r="D115">
            <v>1555</v>
          </cell>
          <cell r="F115">
            <v>134</v>
          </cell>
          <cell r="G115">
            <v>710</v>
          </cell>
          <cell r="I115">
            <v>30</v>
          </cell>
          <cell r="K115">
            <v>730</v>
          </cell>
        </row>
        <row r="116">
          <cell r="B116">
            <v>2433</v>
          </cell>
          <cell r="C116">
            <v>3410</v>
          </cell>
          <cell r="D116">
            <v>1604</v>
          </cell>
          <cell r="F116">
            <v>148</v>
          </cell>
          <cell r="G116">
            <v>784</v>
          </cell>
          <cell r="I116">
            <v>28</v>
          </cell>
          <cell r="K116">
            <v>753</v>
          </cell>
        </row>
        <row r="117">
          <cell r="B117">
            <v>2002</v>
          </cell>
          <cell r="C117">
            <v>2764</v>
          </cell>
          <cell r="D117">
            <v>1598</v>
          </cell>
          <cell r="F117">
            <v>127</v>
          </cell>
          <cell r="G117">
            <v>633</v>
          </cell>
          <cell r="I117">
            <v>32</v>
          </cell>
          <cell r="K117">
            <v>743</v>
          </cell>
        </row>
        <row r="118">
          <cell r="B118">
            <v>2807</v>
          </cell>
          <cell r="C118">
            <v>3597</v>
          </cell>
          <cell r="D118">
            <v>1549</v>
          </cell>
          <cell r="F118">
            <v>184</v>
          </cell>
          <cell r="G118">
            <v>1302</v>
          </cell>
          <cell r="I118">
            <v>32</v>
          </cell>
          <cell r="K118">
            <v>737</v>
          </cell>
        </row>
        <row r="119">
          <cell r="B119">
            <v>2280</v>
          </cell>
          <cell r="C119">
            <v>2611</v>
          </cell>
          <cell r="D119">
            <v>1879</v>
          </cell>
          <cell r="F119">
            <v>136</v>
          </cell>
          <cell r="G119">
            <v>995</v>
          </cell>
          <cell r="I119">
            <v>32</v>
          </cell>
          <cell r="K119">
            <v>790</v>
          </cell>
        </row>
        <row r="120">
          <cell r="B120">
            <v>2446</v>
          </cell>
          <cell r="C120">
            <v>3670</v>
          </cell>
          <cell r="D120">
            <v>1740</v>
          </cell>
          <cell r="F120">
            <v>133</v>
          </cell>
          <cell r="G120">
            <v>996</v>
          </cell>
          <cell r="I120">
            <v>32</v>
          </cell>
          <cell r="K120">
            <v>875</v>
          </cell>
        </row>
        <row r="121">
          <cell r="B121">
            <v>2726</v>
          </cell>
          <cell r="C121">
            <v>2975</v>
          </cell>
          <cell r="D121">
            <v>1851</v>
          </cell>
          <cell r="F121">
            <v>178</v>
          </cell>
          <cell r="G121">
            <v>1132</v>
          </cell>
          <cell r="I121">
            <v>49</v>
          </cell>
          <cell r="K121">
            <v>818</v>
          </cell>
        </row>
        <row r="122">
          <cell r="B122">
            <v>2516</v>
          </cell>
          <cell r="C122">
            <v>3702</v>
          </cell>
          <cell r="D122">
            <v>1825</v>
          </cell>
          <cell r="F122">
            <v>168</v>
          </cell>
          <cell r="G122">
            <v>805</v>
          </cell>
          <cell r="I122">
            <v>22</v>
          </cell>
          <cell r="K122">
            <v>890</v>
          </cell>
        </row>
        <row r="123">
          <cell r="B123">
            <v>2220</v>
          </cell>
          <cell r="C123">
            <v>3080</v>
          </cell>
          <cell r="D123">
            <v>1458</v>
          </cell>
          <cell r="F123">
            <v>120</v>
          </cell>
          <cell r="G123">
            <v>667</v>
          </cell>
          <cell r="I123">
            <v>30</v>
          </cell>
          <cell r="K123">
            <v>878</v>
          </cell>
        </row>
        <row r="124">
          <cell r="B124">
            <v>2352</v>
          </cell>
          <cell r="C124">
            <v>3227</v>
          </cell>
          <cell r="D124">
            <v>1827</v>
          </cell>
          <cell r="F124">
            <v>161</v>
          </cell>
          <cell r="G124">
            <v>915</v>
          </cell>
          <cell r="I124">
            <v>26</v>
          </cell>
          <cell r="K124">
            <v>841</v>
          </cell>
        </row>
        <row r="125">
          <cell r="B125">
            <v>2339</v>
          </cell>
          <cell r="C125">
            <v>2759</v>
          </cell>
          <cell r="D125">
            <v>1819</v>
          </cell>
          <cell r="F125">
            <v>150</v>
          </cell>
          <cell r="G125">
            <v>1056</v>
          </cell>
          <cell r="I125">
            <v>100</v>
          </cell>
          <cell r="K125">
            <v>862</v>
          </cell>
        </row>
        <row r="126">
          <cell r="B126">
            <v>2740</v>
          </cell>
          <cell r="C126">
            <v>4071</v>
          </cell>
          <cell r="D126">
            <v>1897</v>
          </cell>
          <cell r="F126">
            <v>157</v>
          </cell>
          <cell r="G126">
            <v>1146</v>
          </cell>
          <cell r="I126">
            <v>24</v>
          </cell>
          <cell r="K126">
            <v>847</v>
          </cell>
        </row>
        <row r="127">
          <cell r="B127">
            <v>2378</v>
          </cell>
          <cell r="C127">
            <v>3178</v>
          </cell>
          <cell r="D127">
            <v>1890</v>
          </cell>
          <cell r="F127">
            <v>160</v>
          </cell>
          <cell r="G127">
            <v>777</v>
          </cell>
          <cell r="I127">
            <v>28</v>
          </cell>
          <cell r="K127">
            <v>862</v>
          </cell>
        </row>
        <row r="128">
          <cell r="B128">
            <v>2552</v>
          </cell>
          <cell r="C128">
            <v>3685</v>
          </cell>
          <cell r="D128">
            <v>2085</v>
          </cell>
          <cell r="F128">
            <v>155</v>
          </cell>
          <cell r="G128">
            <v>716</v>
          </cell>
          <cell r="I128">
            <v>23</v>
          </cell>
          <cell r="K128">
            <v>913</v>
          </cell>
        </row>
        <row r="129">
          <cell r="B129">
            <v>2420</v>
          </cell>
          <cell r="C129">
            <v>3129</v>
          </cell>
          <cell r="D129">
            <v>1257</v>
          </cell>
          <cell r="F129">
            <v>158</v>
          </cell>
          <cell r="G129">
            <v>741</v>
          </cell>
          <cell r="I129">
            <v>44</v>
          </cell>
          <cell r="K129">
            <v>874</v>
          </cell>
        </row>
        <row r="130">
          <cell r="B130">
            <v>2812</v>
          </cell>
          <cell r="C130">
            <v>3843</v>
          </cell>
          <cell r="D130">
            <v>2388</v>
          </cell>
          <cell r="F130">
            <v>201</v>
          </cell>
          <cell r="G130">
            <v>1160</v>
          </cell>
          <cell r="I130">
            <v>31</v>
          </cell>
          <cell r="K130">
            <v>867</v>
          </cell>
        </row>
        <row r="131">
          <cell r="B131">
            <v>2521</v>
          </cell>
          <cell r="C131">
            <v>2831</v>
          </cell>
          <cell r="D131">
            <v>1965</v>
          </cell>
          <cell r="F131">
            <v>135</v>
          </cell>
          <cell r="G131">
            <v>889</v>
          </cell>
          <cell r="I131">
            <v>27</v>
          </cell>
          <cell r="K131">
            <v>966</v>
          </cell>
        </row>
        <row r="132">
          <cell r="B132">
            <v>2364</v>
          </cell>
          <cell r="C132">
            <v>4026</v>
          </cell>
          <cell r="D132">
            <v>1891</v>
          </cell>
          <cell r="F132">
            <v>153</v>
          </cell>
          <cell r="G132">
            <v>1082</v>
          </cell>
          <cell r="I132">
            <v>44</v>
          </cell>
          <cell r="K132">
            <v>980</v>
          </cell>
        </row>
        <row r="133">
          <cell r="B133">
            <v>2748</v>
          </cell>
          <cell r="C133">
            <v>2817</v>
          </cell>
          <cell r="D133">
            <v>1959</v>
          </cell>
          <cell r="F133">
            <v>196</v>
          </cell>
          <cell r="G133">
            <v>957</v>
          </cell>
          <cell r="I133">
            <v>27</v>
          </cell>
          <cell r="K133">
            <v>954</v>
          </cell>
        </row>
        <row r="134">
          <cell r="B134">
            <v>2131</v>
          </cell>
          <cell r="C134">
            <v>3931</v>
          </cell>
          <cell r="D134">
            <v>1989</v>
          </cell>
          <cell r="F134">
            <v>140</v>
          </cell>
          <cell r="G134">
            <v>822</v>
          </cell>
          <cell r="I134">
            <v>48</v>
          </cell>
          <cell r="K134">
            <v>961</v>
          </cell>
        </row>
        <row r="135">
          <cell r="B135">
            <v>2540</v>
          </cell>
          <cell r="C135">
            <v>3117</v>
          </cell>
          <cell r="D135">
            <v>1661</v>
          </cell>
          <cell r="F135">
            <v>182</v>
          </cell>
          <cell r="G135">
            <v>943</v>
          </cell>
          <cell r="I135">
            <v>40</v>
          </cell>
          <cell r="K135">
            <v>1043</v>
          </cell>
        </row>
        <row r="136">
          <cell r="B136">
            <v>2249</v>
          </cell>
          <cell r="C136">
            <v>3636</v>
          </cell>
          <cell r="D136">
            <v>1912</v>
          </cell>
          <cell r="F136">
            <v>136</v>
          </cell>
          <cell r="G136">
            <v>924</v>
          </cell>
          <cell r="I136">
            <v>33</v>
          </cell>
          <cell r="K136">
            <v>1080</v>
          </cell>
        </row>
        <row r="137">
          <cell r="B137">
            <v>2405</v>
          </cell>
          <cell r="C137">
            <v>3028</v>
          </cell>
          <cell r="D137">
            <v>1809</v>
          </cell>
          <cell r="F137">
            <v>124</v>
          </cell>
          <cell r="G137">
            <v>757</v>
          </cell>
          <cell r="I137">
            <v>27</v>
          </cell>
          <cell r="K137">
            <v>1085</v>
          </cell>
        </row>
        <row r="138">
          <cell r="B138">
            <v>2517</v>
          </cell>
          <cell r="C138">
            <v>4184</v>
          </cell>
          <cell r="D138">
            <v>1804</v>
          </cell>
          <cell r="F138">
            <v>161</v>
          </cell>
          <cell r="G138">
            <v>1247</v>
          </cell>
          <cell r="I138">
            <v>28</v>
          </cell>
          <cell r="K138">
            <v>1032</v>
          </cell>
        </row>
        <row r="139">
          <cell r="B139">
            <v>2356</v>
          </cell>
          <cell r="C139">
            <v>3160</v>
          </cell>
          <cell r="D139">
            <v>1647</v>
          </cell>
          <cell r="F139">
            <v>180</v>
          </cell>
          <cell r="G139">
            <v>1119</v>
          </cell>
          <cell r="I139">
            <v>29</v>
          </cell>
          <cell r="K139">
            <v>835</v>
          </cell>
        </row>
        <row r="140">
          <cell r="B140">
            <v>2446</v>
          </cell>
          <cell r="C140">
            <v>3939</v>
          </cell>
          <cell r="D140">
            <v>1976</v>
          </cell>
          <cell r="F140">
            <v>181</v>
          </cell>
          <cell r="G140">
            <v>858</v>
          </cell>
          <cell r="I140">
            <v>25</v>
          </cell>
          <cell r="K140">
            <v>994</v>
          </cell>
        </row>
        <row r="141">
          <cell r="B141">
            <v>2303</v>
          </cell>
          <cell r="C141">
            <v>3426</v>
          </cell>
          <cell r="D141">
            <v>1665</v>
          </cell>
          <cell r="F141">
            <v>132</v>
          </cell>
          <cell r="G141">
            <v>582</v>
          </cell>
          <cell r="I141">
            <v>40</v>
          </cell>
          <cell r="K141">
            <v>969</v>
          </cell>
        </row>
        <row r="142">
          <cell r="B142">
            <v>2692</v>
          </cell>
          <cell r="C142">
            <v>3798</v>
          </cell>
          <cell r="D142">
            <v>1949</v>
          </cell>
          <cell r="F142">
            <v>193</v>
          </cell>
          <cell r="G142">
            <v>1455</v>
          </cell>
          <cell r="I142">
            <v>40</v>
          </cell>
          <cell r="K142">
            <v>978</v>
          </cell>
        </row>
        <row r="143">
          <cell r="B143">
            <v>2665</v>
          </cell>
          <cell r="C143">
            <v>3091</v>
          </cell>
          <cell r="D143">
            <v>2197</v>
          </cell>
          <cell r="F143">
            <v>187</v>
          </cell>
          <cell r="G143">
            <v>1367</v>
          </cell>
          <cell r="I143">
            <v>29</v>
          </cell>
          <cell r="K143">
            <v>925</v>
          </cell>
        </row>
        <row r="144">
          <cell r="B144">
            <v>3028</v>
          </cell>
          <cell r="C144">
            <v>4298</v>
          </cell>
          <cell r="D144">
            <v>2150</v>
          </cell>
          <cell r="F144">
            <v>207</v>
          </cell>
          <cell r="G144">
            <v>1379</v>
          </cell>
          <cell r="I144">
            <v>9</v>
          </cell>
          <cell r="K144">
            <v>1147</v>
          </cell>
        </row>
        <row r="145">
          <cell r="B145">
            <v>3057</v>
          </cell>
          <cell r="C145">
            <v>3357</v>
          </cell>
          <cell r="D145">
            <v>2114</v>
          </cell>
          <cell r="F145">
            <v>240</v>
          </cell>
          <cell r="G145">
            <v>1252</v>
          </cell>
          <cell r="I145">
            <v>16</v>
          </cell>
          <cell r="K145">
            <v>1217</v>
          </cell>
        </row>
        <row r="146">
          <cell r="B146">
            <v>2381</v>
          </cell>
          <cell r="C146">
            <v>4116</v>
          </cell>
          <cell r="D146">
            <v>1775</v>
          </cell>
          <cell r="F146">
            <v>187</v>
          </cell>
          <cell r="G146">
            <v>851</v>
          </cell>
          <cell r="I146">
            <v>7</v>
          </cell>
          <cell r="K146">
            <v>1126</v>
          </cell>
        </row>
        <row r="147">
          <cell r="B147">
            <v>2940</v>
          </cell>
          <cell r="C147">
            <v>3374</v>
          </cell>
          <cell r="D147">
            <v>2144</v>
          </cell>
          <cell r="F147">
            <v>219</v>
          </cell>
          <cell r="G147">
            <v>1134</v>
          </cell>
          <cell r="I147">
            <v>24</v>
          </cell>
          <cell r="K147">
            <v>1064</v>
          </cell>
        </row>
        <row r="148">
          <cell r="B148">
            <v>2730</v>
          </cell>
          <cell r="C148">
            <v>3940</v>
          </cell>
          <cell r="D148">
            <v>2207</v>
          </cell>
          <cell r="F148">
            <v>166</v>
          </cell>
          <cell r="G148">
            <v>982</v>
          </cell>
          <cell r="I148">
            <v>21</v>
          </cell>
          <cell r="K148">
            <v>1136</v>
          </cell>
        </row>
        <row r="149">
          <cell r="B149">
            <v>2955</v>
          </cell>
          <cell r="C149">
            <v>3313</v>
          </cell>
          <cell r="D149">
            <v>2068</v>
          </cell>
          <cell r="F149">
            <v>168</v>
          </cell>
          <cell r="G149">
            <v>1074</v>
          </cell>
          <cell r="I149">
            <v>19</v>
          </cell>
          <cell r="K149">
            <v>1206</v>
          </cell>
        </row>
        <row r="150">
          <cell r="B150">
            <v>3089</v>
          </cell>
          <cell r="C150">
            <v>4850</v>
          </cell>
          <cell r="D150">
            <v>2523</v>
          </cell>
          <cell r="F150">
            <v>233.6</v>
          </cell>
          <cell r="G150">
            <v>1453.7</v>
          </cell>
          <cell r="I150">
            <v>17</v>
          </cell>
          <cell r="K150">
            <v>1172</v>
          </cell>
        </row>
        <row r="151">
          <cell r="B151">
            <v>2628</v>
          </cell>
          <cell r="C151">
            <v>3442</v>
          </cell>
          <cell r="D151">
            <v>2147</v>
          </cell>
          <cell r="F151">
            <v>210</v>
          </cell>
          <cell r="G151">
            <v>1177</v>
          </cell>
          <cell r="I151">
            <v>23</v>
          </cell>
          <cell r="K151">
            <v>1155</v>
          </cell>
        </row>
        <row r="152">
          <cell r="B152">
            <v>3121</v>
          </cell>
          <cell r="C152">
            <v>4168</v>
          </cell>
          <cell r="D152">
            <v>1780</v>
          </cell>
          <cell r="F152">
            <v>219</v>
          </cell>
          <cell r="G152">
            <v>1221</v>
          </cell>
          <cell r="I152">
            <v>19</v>
          </cell>
          <cell r="K152">
            <v>1220</v>
          </cell>
        </row>
        <row r="153">
          <cell r="B153">
            <v>2813</v>
          </cell>
          <cell r="C153">
            <v>3370</v>
          </cell>
          <cell r="D153">
            <v>2306</v>
          </cell>
          <cell r="F153">
            <v>192</v>
          </cell>
          <cell r="G153">
            <v>1098</v>
          </cell>
          <cell r="I153">
            <v>16</v>
          </cell>
          <cell r="K153">
            <v>1137</v>
          </cell>
        </row>
        <row r="154">
          <cell r="B154">
            <v>2835</v>
          </cell>
          <cell r="C154">
            <v>4521</v>
          </cell>
          <cell r="D154">
            <v>2071</v>
          </cell>
          <cell r="F154">
            <v>181</v>
          </cell>
          <cell r="G154">
            <v>1147</v>
          </cell>
          <cell r="I154">
            <v>20</v>
          </cell>
          <cell r="K154">
            <v>1120</v>
          </cell>
        </row>
        <row r="155">
          <cell r="B155">
            <v>2800</v>
          </cell>
          <cell r="C155">
            <v>3298</v>
          </cell>
          <cell r="D155">
            <v>2088</v>
          </cell>
          <cell r="F155">
            <v>169</v>
          </cell>
          <cell r="G155">
            <v>1261</v>
          </cell>
          <cell r="I155">
            <v>21</v>
          </cell>
          <cell r="K155">
            <v>1292</v>
          </cell>
        </row>
        <row r="156">
          <cell r="B156">
            <v>3044</v>
          </cell>
          <cell r="C156">
            <v>4393</v>
          </cell>
          <cell r="D156">
            <v>2141</v>
          </cell>
          <cell r="F156">
            <v>223</v>
          </cell>
          <cell r="G156">
            <v>1267</v>
          </cell>
          <cell r="I156">
            <v>14</v>
          </cell>
          <cell r="K156">
            <v>1277</v>
          </cell>
        </row>
        <row r="157">
          <cell r="B157">
            <v>3068</v>
          </cell>
          <cell r="C157">
            <v>3661</v>
          </cell>
          <cell r="D157">
            <v>2077</v>
          </cell>
          <cell r="F157">
            <v>198</v>
          </cell>
          <cell r="G157">
            <v>1086</v>
          </cell>
          <cell r="I157">
            <v>29</v>
          </cell>
          <cell r="K157">
            <v>1329</v>
          </cell>
        </row>
        <row r="158">
          <cell r="B158">
            <v>2721</v>
          </cell>
          <cell r="C158">
            <v>4395</v>
          </cell>
          <cell r="D158">
            <v>2163</v>
          </cell>
          <cell r="F158">
            <v>206</v>
          </cell>
          <cell r="G158">
            <v>797</v>
          </cell>
          <cell r="I158">
            <v>22</v>
          </cell>
          <cell r="K158">
            <v>1261</v>
          </cell>
        </row>
        <row r="159">
          <cell r="B159">
            <v>2702</v>
          </cell>
          <cell r="C159">
            <v>3585</v>
          </cell>
          <cell r="D159">
            <v>1731</v>
          </cell>
          <cell r="F159">
            <v>193</v>
          </cell>
          <cell r="G159">
            <v>719</v>
          </cell>
          <cell r="I159">
            <v>17</v>
          </cell>
          <cell r="K159">
            <v>1113</v>
          </cell>
        </row>
        <row r="160">
          <cell r="B160">
            <v>2722</v>
          </cell>
          <cell r="C160">
            <v>4133</v>
          </cell>
          <cell r="D160">
            <v>2371</v>
          </cell>
          <cell r="F160">
            <v>201</v>
          </cell>
          <cell r="G160">
            <v>866</v>
          </cell>
          <cell r="I160">
            <v>18</v>
          </cell>
          <cell r="K160">
            <v>1231</v>
          </cell>
        </row>
        <row r="161">
          <cell r="B161">
            <v>2314</v>
          </cell>
          <cell r="C161">
            <v>3225</v>
          </cell>
          <cell r="D161">
            <v>2204</v>
          </cell>
          <cell r="F161">
            <v>155</v>
          </cell>
          <cell r="G161">
            <v>624</v>
          </cell>
          <cell r="I161">
            <v>17</v>
          </cell>
          <cell r="K161">
            <v>1185</v>
          </cell>
        </row>
        <row r="162">
          <cell r="B162">
            <v>2232</v>
          </cell>
          <cell r="C162">
            <v>4664</v>
          </cell>
          <cell r="D162">
            <v>2057</v>
          </cell>
          <cell r="F162">
            <v>186</v>
          </cell>
          <cell r="G162">
            <v>890</v>
          </cell>
          <cell r="I162">
            <v>17</v>
          </cell>
          <cell r="K162">
            <v>1149</v>
          </cell>
        </row>
        <row r="163">
          <cell r="B163">
            <v>2137</v>
          </cell>
          <cell r="C163">
            <v>3277</v>
          </cell>
          <cell r="D163">
            <v>1678</v>
          </cell>
          <cell r="F163">
            <v>202</v>
          </cell>
          <cell r="G163">
            <v>992</v>
          </cell>
          <cell r="I163">
            <v>16</v>
          </cell>
          <cell r="K163">
            <v>1083</v>
          </cell>
        </row>
        <row r="164">
          <cell r="B164">
            <v>2447</v>
          </cell>
          <cell r="C164">
            <v>4281</v>
          </cell>
          <cell r="D164">
            <v>1536</v>
          </cell>
          <cell r="F164">
            <v>215</v>
          </cell>
          <cell r="G164">
            <v>1109</v>
          </cell>
          <cell r="I164">
            <v>18</v>
          </cell>
          <cell r="K164">
            <v>1259</v>
          </cell>
        </row>
        <row r="165">
          <cell r="B165">
            <v>2084</v>
          </cell>
          <cell r="C165">
            <v>3626</v>
          </cell>
          <cell r="D165">
            <v>1599</v>
          </cell>
          <cell r="F165">
            <v>170</v>
          </cell>
          <cell r="G165">
            <v>724</v>
          </cell>
          <cell r="I165">
            <v>17</v>
          </cell>
          <cell r="K165">
            <v>1191</v>
          </cell>
        </row>
        <row r="166">
          <cell r="B166">
            <v>2185</v>
          </cell>
          <cell r="C166">
            <v>4195</v>
          </cell>
          <cell r="D166">
            <v>1608</v>
          </cell>
          <cell r="F166">
            <v>179</v>
          </cell>
          <cell r="G166">
            <v>956</v>
          </cell>
          <cell r="I166">
            <v>18</v>
          </cell>
          <cell r="K166">
            <v>1245</v>
          </cell>
        </row>
        <row r="167">
          <cell r="B167">
            <v>2354</v>
          </cell>
          <cell r="C167">
            <v>3146</v>
          </cell>
          <cell r="D167">
            <v>1668</v>
          </cell>
          <cell r="F167">
            <v>190</v>
          </cell>
          <cell r="G167">
            <v>1323</v>
          </cell>
          <cell r="I167">
            <v>22</v>
          </cell>
          <cell r="K167">
            <v>1287</v>
          </cell>
        </row>
        <row r="168">
          <cell r="B168">
            <v>2844</v>
          </cell>
          <cell r="C168">
            <v>5494</v>
          </cell>
          <cell r="D168">
            <v>1628</v>
          </cell>
          <cell r="F168">
            <v>223</v>
          </cell>
          <cell r="G168">
            <v>1966</v>
          </cell>
          <cell r="I168">
            <v>22</v>
          </cell>
          <cell r="K168">
            <v>1454</v>
          </cell>
        </row>
        <row r="169">
          <cell r="B169">
            <v>2999</v>
          </cell>
          <cell r="C169">
            <v>3538</v>
          </cell>
          <cell r="D169">
            <v>1696</v>
          </cell>
          <cell r="F169">
            <v>218</v>
          </cell>
          <cell r="G169">
            <v>857</v>
          </cell>
          <cell r="I169">
            <v>20</v>
          </cell>
          <cell r="K169">
            <v>1477</v>
          </cell>
        </row>
        <row r="170">
          <cell r="B170">
            <v>2297</v>
          </cell>
          <cell r="C170">
            <v>4969</v>
          </cell>
          <cell r="D170">
            <v>1795</v>
          </cell>
          <cell r="F170">
            <v>198</v>
          </cell>
          <cell r="G170">
            <v>788</v>
          </cell>
          <cell r="I170">
            <v>24</v>
          </cell>
          <cell r="K170">
            <v>1380</v>
          </cell>
        </row>
        <row r="171">
          <cell r="B171">
            <v>2410</v>
          </cell>
          <cell r="C171">
            <v>3635</v>
          </cell>
          <cell r="D171">
            <v>1803</v>
          </cell>
          <cell r="F171">
            <v>203</v>
          </cell>
          <cell r="G171">
            <v>943</v>
          </cell>
          <cell r="I171">
            <v>23</v>
          </cell>
          <cell r="K171">
            <v>1398</v>
          </cell>
        </row>
        <row r="172">
          <cell r="B172">
            <v>2693</v>
          </cell>
          <cell r="C172">
            <v>4983</v>
          </cell>
          <cell r="D172">
            <v>1826</v>
          </cell>
          <cell r="F172">
            <v>196</v>
          </cell>
          <cell r="G172">
            <v>911</v>
          </cell>
          <cell r="I172">
            <v>16</v>
          </cell>
          <cell r="K172">
            <v>1537</v>
          </cell>
        </row>
        <row r="173">
          <cell r="B173">
            <v>2658</v>
          </cell>
          <cell r="C173">
            <v>3676</v>
          </cell>
          <cell r="D173">
            <v>1977</v>
          </cell>
          <cell r="F173">
            <v>229</v>
          </cell>
          <cell r="G173">
            <v>1043</v>
          </cell>
          <cell r="I173">
            <v>16</v>
          </cell>
          <cell r="K173">
            <v>1532</v>
          </cell>
        </row>
        <row r="174">
          <cell r="B174">
            <v>2714</v>
          </cell>
          <cell r="C174">
            <v>5774</v>
          </cell>
          <cell r="D174">
            <v>2007</v>
          </cell>
          <cell r="F174">
            <v>229</v>
          </cell>
          <cell r="G174">
            <v>995</v>
          </cell>
          <cell r="I174">
            <v>21</v>
          </cell>
          <cell r="K174">
            <v>1544</v>
          </cell>
        </row>
        <row r="175">
          <cell r="B175">
            <v>2424</v>
          </cell>
          <cell r="C175">
            <v>3967</v>
          </cell>
          <cell r="D175">
            <v>1850</v>
          </cell>
          <cell r="F175">
            <v>233</v>
          </cell>
          <cell r="G175">
            <v>1082</v>
          </cell>
          <cell r="I175">
            <v>15</v>
          </cell>
          <cell r="K175">
            <v>1241</v>
          </cell>
        </row>
        <row r="176">
          <cell r="B176">
            <v>2938</v>
          </cell>
          <cell r="C176">
            <v>4831</v>
          </cell>
          <cell r="D176">
            <v>1982</v>
          </cell>
          <cell r="F176">
            <v>244</v>
          </cell>
          <cell r="G176">
            <v>1070</v>
          </cell>
          <cell r="I176">
            <v>35</v>
          </cell>
          <cell r="K176">
            <v>1620</v>
          </cell>
        </row>
        <row r="177">
          <cell r="B177">
            <v>2611</v>
          </cell>
          <cell r="C177">
            <v>4065</v>
          </cell>
          <cell r="D177">
            <v>2122</v>
          </cell>
          <cell r="F177">
            <v>190</v>
          </cell>
          <cell r="G177">
            <v>954</v>
          </cell>
          <cell r="I177">
            <v>20</v>
          </cell>
          <cell r="K177">
            <v>1362</v>
          </cell>
        </row>
        <row r="178">
          <cell r="B178">
            <v>2801</v>
          </cell>
          <cell r="C178">
            <v>4850</v>
          </cell>
          <cell r="D178">
            <v>1927</v>
          </cell>
          <cell r="F178">
            <v>235</v>
          </cell>
          <cell r="G178">
            <v>1291</v>
          </cell>
          <cell r="I178">
            <v>20</v>
          </cell>
          <cell r="K178">
            <v>1545</v>
          </cell>
        </row>
        <row r="179">
          <cell r="B179">
            <v>2840</v>
          </cell>
          <cell r="C179">
            <v>3520</v>
          </cell>
          <cell r="D179">
            <v>2098</v>
          </cell>
          <cell r="F179">
            <v>222</v>
          </cell>
          <cell r="G179">
            <v>1194</v>
          </cell>
          <cell r="I179">
            <v>23</v>
          </cell>
          <cell r="K179">
            <v>1490</v>
          </cell>
        </row>
        <row r="180">
          <cell r="B180">
            <v>2927</v>
          </cell>
          <cell r="C180">
            <v>5573</v>
          </cell>
          <cell r="D180">
            <v>2117</v>
          </cell>
          <cell r="F180">
            <v>247</v>
          </cell>
          <cell r="G180">
            <v>1291</v>
          </cell>
          <cell r="I180">
            <v>27</v>
          </cell>
          <cell r="K180">
            <v>1579</v>
          </cell>
        </row>
        <row r="181">
          <cell r="B181">
            <v>3025</v>
          </cell>
          <cell r="C181">
            <v>3851</v>
          </cell>
          <cell r="D181">
            <v>2227</v>
          </cell>
          <cell r="F181">
            <v>292</v>
          </cell>
          <cell r="G181">
            <v>1300</v>
          </cell>
          <cell r="I181">
            <v>25</v>
          </cell>
          <cell r="K181">
            <v>1642</v>
          </cell>
        </row>
        <row r="182">
          <cell r="B182">
            <v>2435</v>
          </cell>
          <cell r="C182">
            <v>5551</v>
          </cell>
          <cell r="D182">
            <v>1463</v>
          </cell>
          <cell r="F182">
            <v>197</v>
          </cell>
          <cell r="G182">
            <v>925</v>
          </cell>
          <cell r="I182">
            <v>27</v>
          </cell>
          <cell r="K182">
            <v>1575</v>
          </cell>
        </row>
        <row r="183">
          <cell r="B183">
            <v>3127</v>
          </cell>
          <cell r="C183">
            <v>3738</v>
          </cell>
          <cell r="D183">
            <v>2459</v>
          </cell>
          <cell r="F183">
            <v>253</v>
          </cell>
          <cell r="G183">
            <v>1497</v>
          </cell>
          <cell r="I183">
            <v>29</v>
          </cell>
          <cell r="K183">
            <v>1696</v>
          </cell>
        </row>
        <row r="184">
          <cell r="B184">
            <v>2699</v>
          </cell>
          <cell r="C184">
            <v>5190</v>
          </cell>
          <cell r="D184">
            <v>2071</v>
          </cell>
          <cell r="F184">
            <v>206</v>
          </cell>
          <cell r="G184">
            <v>1196</v>
          </cell>
          <cell r="I184">
            <v>24</v>
          </cell>
          <cell r="K184">
            <v>1545</v>
          </cell>
        </row>
        <row r="185">
          <cell r="B185">
            <v>3080</v>
          </cell>
          <cell r="C185">
            <v>3924</v>
          </cell>
          <cell r="D185">
            <v>2006</v>
          </cell>
          <cell r="F185">
            <v>148</v>
          </cell>
          <cell r="G185">
            <v>1351</v>
          </cell>
          <cell r="I185">
            <v>25</v>
          </cell>
          <cell r="K185">
            <v>1600</v>
          </cell>
        </row>
        <row r="186">
          <cell r="B186">
            <v>3109</v>
          </cell>
          <cell r="C186">
            <v>6051</v>
          </cell>
          <cell r="D186">
            <v>2144</v>
          </cell>
          <cell r="F186">
            <v>239</v>
          </cell>
          <cell r="G186">
            <v>1472</v>
          </cell>
          <cell r="I186">
            <v>32</v>
          </cell>
          <cell r="K186">
            <v>1675</v>
          </cell>
        </row>
        <row r="187">
          <cell r="B187">
            <v>2989</v>
          </cell>
          <cell r="C187">
            <v>4058</v>
          </cell>
          <cell r="D187">
            <v>2142</v>
          </cell>
          <cell r="F187">
            <v>225</v>
          </cell>
          <cell r="G187">
            <v>1080</v>
          </cell>
          <cell r="I187">
            <v>23</v>
          </cell>
          <cell r="K187">
            <v>1482</v>
          </cell>
        </row>
        <row r="188">
          <cell r="B188">
            <v>3681</v>
          </cell>
          <cell r="C188">
            <v>5460</v>
          </cell>
          <cell r="D188">
            <v>2589</v>
          </cell>
          <cell r="F188">
            <v>291</v>
          </cell>
          <cell r="G188">
            <v>1342</v>
          </cell>
          <cell r="I188">
            <v>23</v>
          </cell>
          <cell r="K188">
            <v>1603</v>
          </cell>
        </row>
        <row r="189">
          <cell r="B189">
            <v>3079</v>
          </cell>
          <cell r="C189">
            <v>3984</v>
          </cell>
          <cell r="D189">
            <v>1648</v>
          </cell>
          <cell r="F189">
            <v>200</v>
          </cell>
          <cell r="G189">
            <v>1116</v>
          </cell>
          <cell r="I189">
            <v>18</v>
          </cell>
          <cell r="K189">
            <v>1497</v>
          </cell>
        </row>
        <row r="190">
          <cell r="B190">
            <v>3462</v>
          </cell>
          <cell r="C190">
            <v>5649</v>
          </cell>
          <cell r="D190">
            <v>3314</v>
          </cell>
          <cell r="F190">
            <v>258</v>
          </cell>
          <cell r="G190">
            <v>1289</v>
          </cell>
          <cell r="I190">
            <v>21</v>
          </cell>
          <cell r="K190">
            <v>1613</v>
          </cell>
        </row>
        <row r="191">
          <cell r="B191">
            <v>3144</v>
          </cell>
          <cell r="C191">
            <v>3648</v>
          </cell>
          <cell r="D191">
            <v>2347</v>
          </cell>
          <cell r="F191">
            <v>225</v>
          </cell>
          <cell r="G191">
            <v>1372</v>
          </cell>
          <cell r="I191">
            <v>30</v>
          </cell>
          <cell r="K191">
            <v>1644</v>
          </cell>
        </row>
        <row r="192">
          <cell r="B192">
            <v>3351</v>
          </cell>
          <cell r="C192">
            <v>5877</v>
          </cell>
          <cell r="D192">
            <v>2551</v>
          </cell>
          <cell r="F192">
            <v>238</v>
          </cell>
          <cell r="G192">
            <v>1311</v>
          </cell>
          <cell r="I192">
            <v>33</v>
          </cell>
          <cell r="K192">
            <v>1795</v>
          </cell>
        </row>
        <row r="193">
          <cell r="B193">
            <v>3699</v>
          </cell>
          <cell r="C193">
            <v>3744</v>
          </cell>
          <cell r="D193">
            <v>2540</v>
          </cell>
          <cell r="F193">
            <v>314</v>
          </cell>
          <cell r="G193">
            <v>1332</v>
          </cell>
          <cell r="I193">
            <v>20</v>
          </cell>
          <cell r="K193">
            <v>1644</v>
          </cell>
        </row>
        <row r="194">
          <cell r="B194">
            <v>3258</v>
          </cell>
          <cell r="C194">
            <v>5585</v>
          </cell>
          <cell r="D194">
            <v>2209</v>
          </cell>
          <cell r="F194">
            <v>262</v>
          </cell>
          <cell r="G194">
            <v>976</v>
          </cell>
          <cell r="I194">
            <v>27</v>
          </cell>
          <cell r="K194">
            <v>1458</v>
          </cell>
        </row>
        <row r="195">
          <cell r="B195">
            <v>3322</v>
          </cell>
          <cell r="C195">
            <v>3648</v>
          </cell>
          <cell r="D195">
            <v>2159</v>
          </cell>
          <cell r="F195">
            <v>240</v>
          </cell>
          <cell r="G195">
            <v>1162</v>
          </cell>
          <cell r="I195">
            <v>26</v>
          </cell>
          <cell r="K195">
            <v>1640</v>
          </cell>
        </row>
        <row r="196">
          <cell r="B196">
            <v>3541</v>
          </cell>
          <cell r="C196">
            <v>5302</v>
          </cell>
          <cell r="D196">
            <v>2520</v>
          </cell>
          <cell r="F196">
            <v>236</v>
          </cell>
          <cell r="G196">
            <v>1371</v>
          </cell>
          <cell r="I196">
            <v>27</v>
          </cell>
          <cell r="K196">
            <v>1608</v>
          </cell>
        </row>
        <row r="197">
          <cell r="B197">
            <v>3173</v>
          </cell>
          <cell r="C197">
            <v>3771</v>
          </cell>
          <cell r="D197">
            <v>1668</v>
          </cell>
          <cell r="F197">
            <v>191</v>
          </cell>
          <cell r="G197">
            <v>1259</v>
          </cell>
          <cell r="I197">
            <v>27</v>
          </cell>
          <cell r="K197">
            <v>1555</v>
          </cell>
        </row>
        <row r="198">
          <cell r="B198">
            <v>3971</v>
          </cell>
          <cell r="C198">
            <v>6527</v>
          </cell>
          <cell r="D198">
            <v>3132</v>
          </cell>
          <cell r="F198">
            <v>284</v>
          </cell>
          <cell r="G198">
            <v>1231</v>
          </cell>
          <cell r="I198">
            <v>17</v>
          </cell>
          <cell r="K198">
            <v>1755</v>
          </cell>
        </row>
        <row r="199">
          <cell r="B199">
            <v>3622</v>
          </cell>
          <cell r="C199">
            <v>3868</v>
          </cell>
          <cell r="D199">
            <v>2749</v>
          </cell>
          <cell r="F199">
            <v>207</v>
          </cell>
          <cell r="G199">
            <v>1443</v>
          </cell>
          <cell r="I199">
            <v>13</v>
          </cell>
          <cell r="K199">
            <v>1607</v>
          </cell>
        </row>
        <row r="200">
          <cell r="B200">
            <v>3811</v>
          </cell>
          <cell r="C200">
            <v>5252</v>
          </cell>
          <cell r="D200">
            <v>2928</v>
          </cell>
          <cell r="F200">
            <v>217</v>
          </cell>
          <cell r="G200">
            <v>1226</v>
          </cell>
          <cell r="I200">
            <v>28</v>
          </cell>
          <cell r="K200">
            <v>1581</v>
          </cell>
        </row>
        <row r="201">
          <cell r="B201">
            <v>3678</v>
          </cell>
          <cell r="C201">
            <v>3784</v>
          </cell>
          <cell r="D201">
            <v>2165</v>
          </cell>
          <cell r="F201">
            <v>204</v>
          </cell>
          <cell r="G201">
            <v>1139</v>
          </cell>
          <cell r="I201">
            <v>19</v>
          </cell>
          <cell r="K201">
            <v>1627</v>
          </cell>
        </row>
        <row r="202">
          <cell r="B202">
            <v>3731</v>
          </cell>
          <cell r="C202">
            <v>5435</v>
          </cell>
          <cell r="D202">
            <v>3263</v>
          </cell>
          <cell r="F202">
            <v>227</v>
          </cell>
          <cell r="G202">
            <v>1277</v>
          </cell>
          <cell r="I202">
            <v>30</v>
          </cell>
          <cell r="K202">
            <v>1699</v>
          </cell>
        </row>
        <row r="203">
          <cell r="B203">
            <v>3505</v>
          </cell>
          <cell r="C203">
            <v>4139</v>
          </cell>
          <cell r="D203">
            <v>2976</v>
          </cell>
          <cell r="F203">
            <v>226</v>
          </cell>
          <cell r="G203">
            <v>1418</v>
          </cell>
          <cell r="I203">
            <v>29</v>
          </cell>
          <cell r="K203">
            <v>1513</v>
          </cell>
        </row>
        <row r="204">
          <cell r="B204">
            <v>3933</v>
          </cell>
          <cell r="C204">
            <v>5731</v>
          </cell>
          <cell r="D204">
            <v>2557</v>
          </cell>
          <cell r="F204">
            <v>257</v>
          </cell>
          <cell r="G204">
            <v>1595</v>
          </cell>
          <cell r="I204">
            <v>30</v>
          </cell>
          <cell r="K204">
            <v>1891</v>
          </cell>
        </row>
        <row r="205">
          <cell r="B205">
            <v>4139</v>
          </cell>
          <cell r="C205">
            <v>4403</v>
          </cell>
          <cell r="D205">
            <v>2715</v>
          </cell>
          <cell r="F205">
            <v>225</v>
          </cell>
          <cell r="G205">
            <v>1308</v>
          </cell>
          <cell r="I205">
            <v>27</v>
          </cell>
          <cell r="K205">
            <v>1801</v>
          </cell>
        </row>
        <row r="206">
          <cell r="B206">
            <v>3020</v>
          </cell>
          <cell r="C206">
            <v>6475</v>
          </cell>
          <cell r="D206">
            <v>2188</v>
          </cell>
          <cell r="F206">
            <v>174</v>
          </cell>
          <cell r="G206">
            <v>959</v>
          </cell>
          <cell r="I206">
            <v>27</v>
          </cell>
          <cell r="K206">
            <v>1562</v>
          </cell>
        </row>
        <row r="207">
          <cell r="B207">
            <v>4350</v>
          </cell>
          <cell r="C207">
            <v>4237</v>
          </cell>
          <cell r="D207">
            <v>2946</v>
          </cell>
          <cell r="F207">
            <v>221</v>
          </cell>
          <cell r="G207">
            <v>1308</v>
          </cell>
          <cell r="I207">
            <v>24</v>
          </cell>
          <cell r="K207">
            <v>1719</v>
          </cell>
        </row>
        <row r="208">
          <cell r="B208">
            <v>3150</v>
          </cell>
          <cell r="C208">
            <v>5510</v>
          </cell>
          <cell r="D208">
            <v>3122</v>
          </cell>
          <cell r="F208">
            <v>162</v>
          </cell>
          <cell r="G208">
            <v>1155</v>
          </cell>
          <cell r="I208">
            <v>39</v>
          </cell>
          <cell r="K208">
            <v>1633</v>
          </cell>
        </row>
        <row r="209">
          <cell r="B209">
            <v>4041</v>
          </cell>
          <cell r="C209">
            <v>4397</v>
          </cell>
          <cell r="D209">
            <v>2931</v>
          </cell>
          <cell r="F209">
            <v>147</v>
          </cell>
          <cell r="G209">
            <v>1026</v>
          </cell>
          <cell r="I209">
            <v>22</v>
          </cell>
          <cell r="K209">
            <v>1701</v>
          </cell>
        </row>
        <row r="210">
          <cell r="B210">
            <v>3595</v>
          </cell>
          <cell r="C210">
            <v>7157</v>
          </cell>
          <cell r="D210">
            <v>3134</v>
          </cell>
          <cell r="F210">
            <v>178</v>
          </cell>
          <cell r="G210">
            <v>1503</v>
          </cell>
          <cell r="I210">
            <v>27</v>
          </cell>
          <cell r="K210">
            <v>1670</v>
          </cell>
        </row>
        <row r="211">
          <cell r="B211">
            <v>3577</v>
          </cell>
          <cell r="C211">
            <v>4701</v>
          </cell>
          <cell r="D211">
            <v>2640</v>
          </cell>
          <cell r="F211">
            <v>190</v>
          </cell>
          <cell r="G211">
            <v>1144</v>
          </cell>
          <cell r="I211">
            <v>40</v>
          </cell>
          <cell r="K211">
            <v>1527</v>
          </cell>
        </row>
        <row r="212">
          <cell r="B212">
            <v>3369</v>
          </cell>
          <cell r="C212">
            <v>6266</v>
          </cell>
          <cell r="D212">
            <v>2476</v>
          </cell>
          <cell r="F212">
            <v>189</v>
          </cell>
          <cell r="G212">
            <v>1284</v>
          </cell>
          <cell r="I212">
            <v>26</v>
          </cell>
          <cell r="K212">
            <v>1775</v>
          </cell>
        </row>
        <row r="213">
          <cell r="B213">
            <v>3742</v>
          </cell>
          <cell r="C213">
            <v>4536</v>
          </cell>
          <cell r="D213">
            <v>2833</v>
          </cell>
          <cell r="F213">
            <v>165</v>
          </cell>
          <cell r="G213">
            <v>1491</v>
          </cell>
          <cell r="I213">
            <v>33</v>
          </cell>
          <cell r="K213">
            <v>1514</v>
          </cell>
        </row>
        <row r="214">
          <cell r="B214">
            <v>3566</v>
          </cell>
          <cell r="C214">
            <v>6249</v>
          </cell>
          <cell r="D214">
            <v>2971</v>
          </cell>
          <cell r="F214">
            <v>203</v>
          </cell>
          <cell r="G214">
            <v>1351</v>
          </cell>
          <cell r="I214">
            <v>65</v>
          </cell>
          <cell r="K214">
            <v>1811</v>
          </cell>
        </row>
        <row r="215">
          <cell r="B215">
            <v>3498</v>
          </cell>
          <cell r="C215">
            <v>5364</v>
          </cell>
          <cell r="D215">
            <v>2613</v>
          </cell>
          <cell r="F215">
            <v>200</v>
          </cell>
          <cell r="G215">
            <v>1287</v>
          </cell>
          <cell r="I215">
            <v>60</v>
          </cell>
          <cell r="K215">
            <v>1783</v>
          </cell>
        </row>
        <row r="216">
          <cell r="B216">
            <v>4329</v>
          </cell>
          <cell r="C216">
            <v>6984</v>
          </cell>
          <cell r="D216">
            <v>2704</v>
          </cell>
          <cell r="F216">
            <v>216</v>
          </cell>
          <cell r="G216">
            <v>1437</v>
          </cell>
          <cell r="I216">
            <v>71</v>
          </cell>
          <cell r="K216">
            <v>1797</v>
          </cell>
        </row>
        <row r="217">
          <cell r="B217">
            <v>3741</v>
          </cell>
          <cell r="C217">
            <v>4972</v>
          </cell>
          <cell r="D217">
            <v>3126</v>
          </cell>
          <cell r="F217">
            <v>225</v>
          </cell>
          <cell r="G217">
            <v>1303</v>
          </cell>
          <cell r="I217">
            <v>35</v>
          </cell>
          <cell r="K217">
            <v>1790</v>
          </cell>
        </row>
        <row r="218">
          <cell r="B218">
            <v>3290</v>
          </cell>
          <cell r="C218">
            <v>6760</v>
          </cell>
          <cell r="D218">
            <v>1544</v>
          </cell>
          <cell r="F218">
            <v>176</v>
          </cell>
          <cell r="G218">
            <v>1208</v>
          </cell>
          <cell r="I218">
            <v>16</v>
          </cell>
          <cell r="K218">
            <v>1767</v>
          </cell>
        </row>
        <row r="219">
          <cell r="B219">
            <v>3984</v>
          </cell>
          <cell r="C219">
            <v>5064</v>
          </cell>
          <cell r="D219">
            <v>3993</v>
          </cell>
          <cell r="F219">
            <v>231</v>
          </cell>
          <cell r="G219">
            <v>1167</v>
          </cell>
          <cell r="I219">
            <v>15</v>
          </cell>
          <cell r="K219">
            <v>1769</v>
          </cell>
        </row>
        <row r="220">
          <cell r="B220">
            <v>3433</v>
          </cell>
          <cell r="C220">
            <v>6981</v>
          </cell>
          <cell r="D220">
            <v>2711</v>
          </cell>
          <cell r="F220">
            <v>152</v>
          </cell>
          <cell r="G220">
            <v>1068</v>
          </cell>
          <cell r="I220">
            <v>35</v>
          </cell>
          <cell r="K220">
            <v>1734</v>
          </cell>
        </row>
        <row r="221">
          <cell r="B221">
            <v>3661</v>
          </cell>
          <cell r="C221">
            <v>4902</v>
          </cell>
          <cell r="D221">
            <v>3320</v>
          </cell>
          <cell r="F221">
            <v>181</v>
          </cell>
          <cell r="G221">
            <v>1133</v>
          </cell>
          <cell r="I221">
            <v>34</v>
          </cell>
          <cell r="K221">
            <v>1797</v>
          </cell>
        </row>
        <row r="222">
          <cell r="B222">
            <v>3965</v>
          </cell>
          <cell r="C222">
            <v>8163</v>
          </cell>
          <cell r="D222">
            <v>2923</v>
          </cell>
          <cell r="F222">
            <v>240</v>
          </cell>
          <cell r="G222">
            <v>1415</v>
          </cell>
          <cell r="I222">
            <v>35</v>
          </cell>
          <cell r="K222">
            <v>1904</v>
          </cell>
        </row>
        <row r="223">
          <cell r="B223">
            <v>3604</v>
          </cell>
          <cell r="C223">
            <v>5249</v>
          </cell>
          <cell r="D223">
            <v>2880</v>
          </cell>
          <cell r="F223">
            <v>254</v>
          </cell>
          <cell r="G223">
            <v>1274</v>
          </cell>
          <cell r="I223">
            <v>29</v>
          </cell>
          <cell r="K223">
            <v>1667</v>
          </cell>
        </row>
        <row r="224">
          <cell r="B224">
            <v>3683</v>
          </cell>
          <cell r="C224">
            <v>6840</v>
          </cell>
          <cell r="D224">
            <v>2640</v>
          </cell>
          <cell r="F224">
            <v>218</v>
          </cell>
          <cell r="G224">
            <v>1329</v>
          </cell>
          <cell r="I224">
            <v>27</v>
          </cell>
          <cell r="K224">
            <v>1841</v>
          </cell>
        </row>
        <row r="225">
          <cell r="B225">
            <v>3549</v>
          </cell>
          <cell r="C225">
            <v>4896</v>
          </cell>
          <cell r="D225">
            <v>2304</v>
          </cell>
          <cell r="F225">
            <v>198</v>
          </cell>
          <cell r="G225">
            <v>1314</v>
          </cell>
          <cell r="I225">
            <v>31</v>
          </cell>
          <cell r="K225">
            <v>1737</v>
          </cell>
        </row>
        <row r="226">
          <cell r="B226">
            <v>3800</v>
          </cell>
          <cell r="C226">
            <v>7364</v>
          </cell>
          <cell r="D226">
            <v>3136</v>
          </cell>
          <cell r="F226">
            <v>246</v>
          </cell>
          <cell r="G226">
            <v>1455</v>
          </cell>
          <cell r="I226">
            <v>35</v>
          </cell>
          <cell r="K226">
            <v>1798</v>
          </cell>
        </row>
        <row r="227">
          <cell r="B227">
            <v>3567</v>
          </cell>
          <cell r="C227">
            <v>4828</v>
          </cell>
          <cell r="D227">
            <v>2474</v>
          </cell>
          <cell r="F227">
            <v>231</v>
          </cell>
          <cell r="G227">
            <v>1301</v>
          </cell>
          <cell r="I227">
            <v>35</v>
          </cell>
          <cell r="K227">
            <v>1905</v>
          </cell>
        </row>
        <row r="228">
          <cell r="B228">
            <v>4013</v>
          </cell>
          <cell r="C228">
            <v>6863</v>
          </cell>
          <cell r="D228">
            <v>3195</v>
          </cell>
          <cell r="F228">
            <v>240</v>
          </cell>
          <cell r="G228">
            <v>1395</v>
          </cell>
          <cell r="I228">
            <v>26</v>
          </cell>
          <cell r="K228">
            <v>1835</v>
          </cell>
        </row>
        <row r="229">
          <cell r="B229">
            <v>3781</v>
          </cell>
          <cell r="C229">
            <v>5362</v>
          </cell>
          <cell r="D229">
            <v>2985</v>
          </cell>
          <cell r="F229">
            <v>234</v>
          </cell>
          <cell r="G229">
            <v>1520</v>
          </cell>
          <cell r="I229">
            <v>36</v>
          </cell>
          <cell r="K229">
            <v>1840</v>
          </cell>
        </row>
        <row r="230">
          <cell r="B230">
            <v>3538</v>
          </cell>
          <cell r="C230">
            <v>7090</v>
          </cell>
          <cell r="D230">
            <v>2454</v>
          </cell>
          <cell r="F230">
            <v>233</v>
          </cell>
          <cell r="G230">
            <v>1314</v>
          </cell>
          <cell r="I230">
            <v>24</v>
          </cell>
          <cell r="K230">
            <v>1865</v>
          </cell>
        </row>
        <row r="231">
          <cell r="B231">
            <v>3738</v>
          </cell>
          <cell r="C231">
            <v>5470</v>
          </cell>
          <cell r="D231">
            <v>2748</v>
          </cell>
          <cell r="F231">
            <v>237</v>
          </cell>
          <cell r="G231">
            <v>1418</v>
          </cell>
          <cell r="I231">
            <v>44</v>
          </cell>
          <cell r="K231">
            <v>1783</v>
          </cell>
        </row>
        <row r="232">
          <cell r="B232">
            <v>3421</v>
          </cell>
          <cell r="C232">
            <v>6857</v>
          </cell>
          <cell r="D232">
            <v>2697</v>
          </cell>
          <cell r="F232">
            <v>184</v>
          </cell>
          <cell r="G232">
            <v>1197</v>
          </cell>
          <cell r="I232">
            <v>35</v>
          </cell>
          <cell r="K232">
            <v>1868</v>
          </cell>
        </row>
        <row r="233">
          <cell r="B233">
            <v>4485</v>
          </cell>
          <cell r="C233">
            <v>5114</v>
          </cell>
          <cell r="D233">
            <v>3099</v>
          </cell>
          <cell r="F233">
            <v>269</v>
          </cell>
          <cell r="G233">
            <v>2562</v>
          </cell>
          <cell r="I233">
            <v>37</v>
          </cell>
          <cell r="K233">
            <v>1844</v>
          </cell>
        </row>
        <row r="234">
          <cell r="B234">
            <v>3411</v>
          </cell>
          <cell r="C234">
            <v>8809</v>
          </cell>
          <cell r="D234">
            <v>3122</v>
          </cell>
          <cell r="F234">
            <v>236</v>
          </cell>
          <cell r="G234">
            <v>1082</v>
          </cell>
          <cell r="I234">
            <v>40</v>
          </cell>
          <cell r="K234">
            <v>1818</v>
          </cell>
        </row>
        <row r="235">
          <cell r="B235">
            <v>3272</v>
          </cell>
          <cell r="C235">
            <v>5536</v>
          </cell>
          <cell r="D235">
            <v>2775</v>
          </cell>
          <cell r="F235">
            <v>231</v>
          </cell>
          <cell r="G235">
            <v>1115</v>
          </cell>
          <cell r="I235">
            <v>40</v>
          </cell>
          <cell r="K235">
            <v>1754</v>
          </cell>
        </row>
        <row r="236">
          <cell r="B236">
            <v>4097</v>
          </cell>
          <cell r="C236">
            <v>7253</v>
          </cell>
          <cell r="D236">
            <v>2844</v>
          </cell>
          <cell r="F236">
            <v>302</v>
          </cell>
          <cell r="G236">
            <v>1576</v>
          </cell>
          <cell r="I236">
            <v>31</v>
          </cell>
          <cell r="K236">
            <v>1915</v>
          </cell>
        </row>
        <row r="237">
          <cell r="B237">
            <v>3390</v>
          </cell>
          <cell r="C237">
            <v>5606</v>
          </cell>
          <cell r="D237">
            <v>2607</v>
          </cell>
          <cell r="F237">
            <v>176</v>
          </cell>
          <cell r="G237">
            <v>1214</v>
          </cell>
          <cell r="I237">
            <v>47</v>
          </cell>
          <cell r="K237">
            <v>1902</v>
          </cell>
        </row>
        <row r="238">
          <cell r="B238">
            <v>3645</v>
          </cell>
          <cell r="C238">
            <v>7407</v>
          </cell>
          <cell r="D238">
            <v>2839</v>
          </cell>
          <cell r="F238">
            <v>234</v>
          </cell>
          <cell r="G238">
            <v>1536</v>
          </cell>
          <cell r="I238">
            <v>35</v>
          </cell>
          <cell r="K238">
            <v>2027</v>
          </cell>
        </row>
        <row r="239">
          <cell r="B239">
            <v>3771</v>
          </cell>
          <cell r="C239">
            <v>5445</v>
          </cell>
          <cell r="D239">
            <v>3090</v>
          </cell>
          <cell r="F239">
            <v>267</v>
          </cell>
          <cell r="G239">
            <v>1484</v>
          </cell>
          <cell r="I239">
            <v>41</v>
          </cell>
          <cell r="K239">
            <v>1880</v>
          </cell>
        </row>
        <row r="240">
          <cell r="B240">
            <v>3812</v>
          </cell>
          <cell r="C240">
            <v>8216</v>
          </cell>
          <cell r="D240">
            <v>3411</v>
          </cell>
          <cell r="F240">
            <v>247</v>
          </cell>
          <cell r="G240">
            <v>1577</v>
          </cell>
          <cell r="I240">
            <v>45</v>
          </cell>
          <cell r="K240">
            <v>2037</v>
          </cell>
        </row>
        <row r="241">
          <cell r="B241">
            <v>3766</v>
          </cell>
          <cell r="C241">
            <v>5991</v>
          </cell>
          <cell r="D241">
            <v>2334</v>
          </cell>
          <cell r="F241">
            <v>325</v>
          </cell>
          <cell r="G241">
            <v>1612</v>
          </cell>
          <cell r="I241">
            <v>41</v>
          </cell>
          <cell r="K241">
            <v>2087</v>
          </cell>
        </row>
        <row r="242">
          <cell r="B242">
            <v>2909</v>
          </cell>
          <cell r="C242">
            <v>7951</v>
          </cell>
          <cell r="D242">
            <v>2451</v>
          </cell>
          <cell r="F242">
            <v>201</v>
          </cell>
          <cell r="G242">
            <v>1037</v>
          </cell>
          <cell r="I242">
            <v>56</v>
          </cell>
          <cell r="K242">
            <v>1936</v>
          </cell>
        </row>
        <row r="243">
          <cell r="B243">
            <v>3551</v>
          </cell>
          <cell r="C243">
            <v>5972</v>
          </cell>
          <cell r="D243">
            <v>2925</v>
          </cell>
          <cell r="F243">
            <v>279</v>
          </cell>
          <cell r="G243">
            <v>1413</v>
          </cell>
          <cell r="I243">
            <v>32</v>
          </cell>
          <cell r="K243">
            <v>1815</v>
          </cell>
        </row>
        <row r="244">
          <cell r="B244">
            <v>3306</v>
          </cell>
          <cell r="C244">
            <v>7415</v>
          </cell>
          <cell r="D244">
            <v>3262</v>
          </cell>
          <cell r="F244">
            <v>202</v>
          </cell>
          <cell r="G244">
            <v>1248</v>
          </cell>
          <cell r="I244">
            <v>25</v>
          </cell>
          <cell r="K244">
            <v>2018</v>
          </cell>
        </row>
        <row r="245">
          <cell r="B245">
            <v>3742</v>
          </cell>
          <cell r="C245">
            <v>5189</v>
          </cell>
          <cell r="D245">
            <v>3054</v>
          </cell>
          <cell r="F245">
            <v>178</v>
          </cell>
          <cell r="G245">
            <v>1597</v>
          </cell>
          <cell r="I245">
            <v>17</v>
          </cell>
          <cell r="K245">
            <v>1798</v>
          </cell>
        </row>
        <row r="246">
          <cell r="B246">
            <v>3278</v>
          </cell>
          <cell r="C246">
            <v>8856</v>
          </cell>
          <cell r="D246">
            <v>2790</v>
          </cell>
          <cell r="F246">
            <v>275</v>
          </cell>
          <cell r="G246">
            <v>1915</v>
          </cell>
          <cell r="I246">
            <v>23</v>
          </cell>
          <cell r="K246">
            <v>2008</v>
          </cell>
        </row>
        <row r="247">
          <cell r="B247">
            <v>3448</v>
          </cell>
          <cell r="C247">
            <v>5661</v>
          </cell>
          <cell r="D247">
            <v>3027</v>
          </cell>
          <cell r="F247">
            <v>294</v>
          </cell>
          <cell r="G247">
            <v>1334</v>
          </cell>
          <cell r="I247">
            <v>24</v>
          </cell>
          <cell r="K247">
            <v>1851</v>
          </cell>
        </row>
        <row r="248">
          <cell r="B248">
            <v>3751</v>
          </cell>
          <cell r="C248">
            <v>7630</v>
          </cell>
          <cell r="D248">
            <v>3176</v>
          </cell>
          <cell r="F248">
            <v>262</v>
          </cell>
          <cell r="G248">
            <v>1781</v>
          </cell>
          <cell r="I248">
            <v>29</v>
          </cell>
          <cell r="K248">
            <v>1941</v>
          </cell>
        </row>
        <row r="249">
          <cell r="B249">
            <v>3152</v>
          </cell>
          <cell r="C249">
            <v>5614</v>
          </cell>
          <cell r="D249">
            <v>3079</v>
          </cell>
          <cell r="F249">
            <v>202</v>
          </cell>
          <cell r="G249">
            <v>1444</v>
          </cell>
          <cell r="I249">
            <v>9</v>
          </cell>
          <cell r="K249">
            <v>1851</v>
          </cell>
        </row>
        <row r="250">
          <cell r="B250">
            <v>4041</v>
          </cell>
          <cell r="C250">
            <v>7822</v>
          </cell>
          <cell r="D250">
            <v>2688</v>
          </cell>
          <cell r="F250">
            <v>316</v>
          </cell>
          <cell r="G250">
            <v>1952</v>
          </cell>
          <cell r="I250">
            <v>45</v>
          </cell>
          <cell r="K250">
            <v>2075</v>
          </cell>
        </row>
        <row r="251">
          <cell r="B251">
            <v>3687</v>
          </cell>
          <cell r="C251">
            <v>5355</v>
          </cell>
          <cell r="D251">
            <v>2803</v>
          </cell>
          <cell r="F251">
            <v>271</v>
          </cell>
          <cell r="G251">
            <v>1564</v>
          </cell>
          <cell r="I251">
            <v>32</v>
          </cell>
          <cell r="K251">
            <v>2113</v>
          </cell>
        </row>
        <row r="252">
          <cell r="B252">
            <v>3659</v>
          </cell>
          <cell r="C252">
            <v>8255</v>
          </cell>
          <cell r="D252">
            <v>3242</v>
          </cell>
          <cell r="F252">
            <v>278</v>
          </cell>
          <cell r="G252">
            <v>1621</v>
          </cell>
          <cell r="I252">
            <v>25</v>
          </cell>
          <cell r="K252">
            <v>2139</v>
          </cell>
        </row>
        <row r="253">
          <cell r="B253">
            <v>4019</v>
          </cell>
          <cell r="C253">
            <v>5647</v>
          </cell>
          <cell r="D253">
            <v>2971</v>
          </cell>
          <cell r="F253">
            <v>316</v>
          </cell>
          <cell r="G253">
            <v>1632</v>
          </cell>
          <cell r="I253">
            <v>31</v>
          </cell>
          <cell r="K253">
            <v>2080</v>
          </cell>
        </row>
        <row r="254">
          <cell r="B254">
            <v>3694</v>
          </cell>
          <cell r="C254">
            <v>8306</v>
          </cell>
          <cell r="D254">
            <v>2947</v>
          </cell>
          <cell r="F254">
            <v>310</v>
          </cell>
          <cell r="G254">
            <v>1673</v>
          </cell>
          <cell r="I254">
            <v>29</v>
          </cell>
          <cell r="K254">
            <v>2102</v>
          </cell>
        </row>
        <row r="255">
          <cell r="B255">
            <v>3043</v>
          </cell>
          <cell r="C255">
            <v>5748</v>
          </cell>
          <cell r="D255">
            <v>1905</v>
          </cell>
          <cell r="F255">
            <v>203</v>
          </cell>
          <cell r="G255">
            <v>1033</v>
          </cell>
          <cell r="I255">
            <v>16</v>
          </cell>
          <cell r="K255">
            <v>1915</v>
          </cell>
        </row>
        <row r="256">
          <cell r="B256">
            <v>3497</v>
          </cell>
          <cell r="C256">
            <v>7241</v>
          </cell>
          <cell r="D256">
            <v>2245</v>
          </cell>
          <cell r="F256">
            <v>258</v>
          </cell>
          <cell r="G256">
            <v>1423</v>
          </cell>
          <cell r="I256">
            <v>29</v>
          </cell>
          <cell r="K256">
            <v>1962</v>
          </cell>
        </row>
        <row r="257">
          <cell r="B257">
            <v>4320</v>
          </cell>
          <cell r="C257">
            <v>5501</v>
          </cell>
          <cell r="D257">
            <v>4414</v>
          </cell>
          <cell r="F257">
            <v>312</v>
          </cell>
          <cell r="G257">
            <v>3182</v>
          </cell>
          <cell r="I257">
            <v>21</v>
          </cell>
          <cell r="K257">
            <v>1998</v>
          </cell>
        </row>
        <row r="258">
          <cell r="B258">
            <v>3602</v>
          </cell>
          <cell r="C258">
            <v>9072</v>
          </cell>
          <cell r="D258">
            <v>3394</v>
          </cell>
          <cell r="F258">
            <v>267</v>
          </cell>
          <cell r="G258">
            <v>1109</v>
          </cell>
          <cell r="I258">
            <v>21</v>
          </cell>
          <cell r="K258">
            <v>2068</v>
          </cell>
        </row>
        <row r="259">
          <cell r="B259">
            <v>3302</v>
          </cell>
          <cell r="C259">
            <v>6256</v>
          </cell>
          <cell r="D259">
            <v>2802</v>
          </cell>
          <cell r="F259">
            <v>260</v>
          </cell>
          <cell r="G259">
            <v>1020</v>
          </cell>
          <cell r="I259">
            <v>21</v>
          </cell>
          <cell r="K259">
            <v>1863</v>
          </cell>
        </row>
        <row r="260">
          <cell r="B260">
            <v>3720</v>
          </cell>
          <cell r="C260">
            <v>7712</v>
          </cell>
          <cell r="D260">
            <v>3411</v>
          </cell>
          <cell r="F260">
            <v>248</v>
          </cell>
          <cell r="G260">
            <v>1630</v>
          </cell>
          <cell r="I260">
            <v>30</v>
          </cell>
          <cell r="K260">
            <v>2110</v>
          </cell>
        </row>
        <row r="261">
          <cell r="B261">
            <v>3250</v>
          </cell>
          <cell r="C261">
            <v>6056</v>
          </cell>
          <cell r="D261">
            <v>1841</v>
          </cell>
          <cell r="F261">
            <v>217</v>
          </cell>
          <cell r="G261">
            <v>1324</v>
          </cell>
          <cell r="I261">
            <v>27</v>
          </cell>
          <cell r="K261">
            <v>2016</v>
          </cell>
        </row>
        <row r="262">
          <cell r="B262">
            <v>3660</v>
          </cell>
          <cell r="C262">
            <v>7982</v>
          </cell>
          <cell r="D262">
            <v>3348</v>
          </cell>
          <cell r="F262">
            <v>289</v>
          </cell>
          <cell r="G262">
            <v>1544</v>
          </cell>
          <cell r="I262">
            <v>27</v>
          </cell>
          <cell r="K262">
            <v>2026</v>
          </cell>
        </row>
        <row r="263">
          <cell r="B263">
            <v>3432</v>
          </cell>
          <cell r="C263">
            <v>5675</v>
          </cell>
          <cell r="D263">
            <v>3464</v>
          </cell>
          <cell r="F263">
            <v>247</v>
          </cell>
          <cell r="G263">
            <v>1282</v>
          </cell>
          <cell r="I263">
            <v>27</v>
          </cell>
          <cell r="K263">
            <v>2158</v>
          </cell>
        </row>
        <row r="264">
          <cell r="B264">
            <v>3700</v>
          </cell>
          <cell r="C264">
            <v>8747</v>
          </cell>
          <cell r="D264">
            <v>2945</v>
          </cell>
          <cell r="F264">
            <v>280</v>
          </cell>
          <cell r="G264">
            <v>1733</v>
          </cell>
          <cell r="I264">
            <v>36</v>
          </cell>
          <cell r="K264">
            <v>2275</v>
          </cell>
        </row>
        <row r="265">
          <cell r="B265">
            <v>3906</v>
          </cell>
          <cell r="C265">
            <v>5959</v>
          </cell>
          <cell r="D265">
            <v>2840</v>
          </cell>
          <cell r="F265">
            <v>302</v>
          </cell>
          <cell r="G265">
            <v>1415</v>
          </cell>
          <cell r="I265">
            <v>27</v>
          </cell>
          <cell r="K265">
            <v>2197</v>
          </cell>
        </row>
        <row r="266">
          <cell r="B266">
            <v>3337</v>
          </cell>
          <cell r="C266">
            <v>8516</v>
          </cell>
          <cell r="D266">
            <v>2342</v>
          </cell>
          <cell r="F266">
            <v>222</v>
          </cell>
          <cell r="G266">
            <v>1169</v>
          </cell>
          <cell r="I266">
            <v>10</v>
          </cell>
          <cell r="K266">
            <v>1967</v>
          </cell>
        </row>
        <row r="267">
          <cell r="B267">
            <v>3672</v>
          </cell>
          <cell r="C267">
            <v>5994</v>
          </cell>
          <cell r="D267">
            <v>3197</v>
          </cell>
          <cell r="F267">
            <v>226</v>
          </cell>
          <cell r="G267">
            <v>1245</v>
          </cell>
          <cell r="I267">
            <v>28</v>
          </cell>
          <cell r="K267">
            <v>2242</v>
          </cell>
        </row>
        <row r="268">
          <cell r="B268">
            <v>3425</v>
          </cell>
          <cell r="C268">
            <v>8228</v>
          </cell>
          <cell r="D268">
            <v>3666</v>
          </cell>
          <cell r="F268">
            <v>225</v>
          </cell>
          <cell r="G268">
            <v>1255</v>
          </cell>
          <cell r="I268">
            <v>18</v>
          </cell>
          <cell r="K268">
            <v>2160</v>
          </cell>
        </row>
        <row r="269">
          <cell r="B269">
            <v>3863</v>
          </cell>
          <cell r="C269">
            <v>6266</v>
          </cell>
          <cell r="D269">
            <v>3173</v>
          </cell>
          <cell r="F269">
            <v>235</v>
          </cell>
          <cell r="G269">
            <v>1424</v>
          </cell>
          <cell r="I269">
            <v>18</v>
          </cell>
          <cell r="K269">
            <v>2105</v>
          </cell>
        </row>
        <row r="270">
          <cell r="B270">
            <v>3951</v>
          </cell>
          <cell r="C270">
            <v>9340</v>
          </cell>
          <cell r="D270">
            <v>3155</v>
          </cell>
          <cell r="F270">
            <v>263</v>
          </cell>
          <cell r="G270">
            <v>1743</v>
          </cell>
          <cell r="I270">
            <v>22</v>
          </cell>
          <cell r="K270">
            <v>1936</v>
          </cell>
        </row>
        <row r="271">
          <cell r="B271">
            <v>3911</v>
          </cell>
          <cell r="C271">
            <v>6348</v>
          </cell>
          <cell r="D271">
            <v>2946</v>
          </cell>
          <cell r="F271">
            <v>235</v>
          </cell>
          <cell r="G271">
            <v>1751</v>
          </cell>
          <cell r="I271">
            <v>24</v>
          </cell>
          <cell r="K271">
            <v>1796</v>
          </cell>
        </row>
        <row r="272">
          <cell r="B272">
            <v>4092</v>
          </cell>
          <cell r="C272">
            <v>7933</v>
          </cell>
          <cell r="D272">
            <v>4172</v>
          </cell>
          <cell r="F272">
            <v>245</v>
          </cell>
          <cell r="G272">
            <v>1678</v>
          </cell>
          <cell r="I272">
            <v>28</v>
          </cell>
          <cell r="K272">
            <v>2037</v>
          </cell>
        </row>
        <row r="273">
          <cell r="B273">
            <v>3795</v>
          </cell>
          <cell r="C273">
            <v>6357</v>
          </cell>
          <cell r="D273">
            <v>2499</v>
          </cell>
          <cell r="F273">
            <v>195</v>
          </cell>
          <cell r="G273">
            <v>1317</v>
          </cell>
          <cell r="I273">
            <v>31</v>
          </cell>
          <cell r="K273">
            <v>2047</v>
          </cell>
        </row>
        <row r="274">
          <cell r="B274">
            <v>4080</v>
          </cell>
          <cell r="C274">
            <v>7942</v>
          </cell>
          <cell r="D274">
            <v>3119</v>
          </cell>
          <cell r="F274">
            <v>257</v>
          </cell>
          <cell r="G274">
            <v>1420</v>
          </cell>
          <cell r="I274">
            <v>23</v>
          </cell>
          <cell r="K274">
            <v>2076</v>
          </cell>
        </row>
        <row r="275">
          <cell r="B275">
            <v>3866</v>
          </cell>
          <cell r="C275">
            <v>6152</v>
          </cell>
          <cell r="D275">
            <v>3119</v>
          </cell>
          <cell r="F275">
            <v>235</v>
          </cell>
          <cell r="G275">
            <v>1398</v>
          </cell>
          <cell r="I275">
            <v>37</v>
          </cell>
          <cell r="K275">
            <v>2050</v>
          </cell>
        </row>
        <row r="276">
          <cell r="B276">
            <v>4415</v>
          </cell>
          <cell r="C276">
            <v>8521</v>
          </cell>
          <cell r="D276">
            <v>3515</v>
          </cell>
          <cell r="F276">
            <v>262</v>
          </cell>
          <cell r="G276">
            <v>1592</v>
          </cell>
          <cell r="I276">
            <v>28</v>
          </cell>
          <cell r="K276">
            <v>2233</v>
          </cell>
        </row>
        <row r="277">
          <cell r="B277">
            <v>4186</v>
          </cell>
          <cell r="C277">
            <v>6244</v>
          </cell>
          <cell r="D277">
            <v>3256</v>
          </cell>
          <cell r="F277">
            <v>270</v>
          </cell>
          <cell r="G277">
            <v>1538</v>
          </cell>
          <cell r="I277">
            <v>27</v>
          </cell>
          <cell r="K277">
            <v>2317</v>
          </cell>
        </row>
        <row r="278">
          <cell r="B278">
            <v>3029</v>
          </cell>
          <cell r="C278">
            <v>4013</v>
          </cell>
          <cell r="D278">
            <v>1724</v>
          </cell>
          <cell r="F278">
            <v>146</v>
          </cell>
          <cell r="G278">
            <v>1032</v>
          </cell>
          <cell r="I278">
            <v>7</v>
          </cell>
          <cell r="K278">
            <v>1926</v>
          </cell>
        </row>
        <row r="279">
          <cell r="B279">
            <v>4310</v>
          </cell>
          <cell r="C279">
            <v>10508</v>
          </cell>
          <cell r="D279">
            <v>3646</v>
          </cell>
          <cell r="F279">
            <v>235</v>
          </cell>
          <cell r="G279">
            <v>1400</v>
          </cell>
          <cell r="I279">
            <v>46</v>
          </cell>
          <cell r="K279">
            <v>2068</v>
          </cell>
        </row>
        <row r="280">
          <cell r="B280">
            <v>3893</v>
          </cell>
          <cell r="C280">
            <v>8196</v>
          </cell>
          <cell r="D280">
            <v>3584</v>
          </cell>
          <cell r="F280">
            <v>198</v>
          </cell>
          <cell r="G280">
            <v>1267</v>
          </cell>
          <cell r="I280">
            <v>27</v>
          </cell>
          <cell r="K280">
            <v>2012</v>
          </cell>
        </row>
        <row r="281">
          <cell r="B281">
            <v>3982</v>
          </cell>
          <cell r="C281">
            <v>6400</v>
          </cell>
          <cell r="D281">
            <v>2853</v>
          </cell>
          <cell r="F281">
            <v>252</v>
          </cell>
          <cell r="G281">
            <v>1345</v>
          </cell>
          <cell r="I281">
            <v>28</v>
          </cell>
          <cell r="K281">
            <v>2041</v>
          </cell>
        </row>
        <row r="282">
          <cell r="B282">
            <v>4219</v>
          </cell>
          <cell r="C282">
            <v>9642</v>
          </cell>
          <cell r="D282">
            <v>3493</v>
          </cell>
          <cell r="F282">
            <v>277</v>
          </cell>
          <cell r="G282">
            <v>1394</v>
          </cell>
          <cell r="I282">
            <v>21</v>
          </cell>
          <cell r="K282">
            <v>1966</v>
          </cell>
        </row>
        <row r="283">
          <cell r="B283">
            <v>4047</v>
          </cell>
          <cell r="C283">
            <v>6652</v>
          </cell>
          <cell r="D283">
            <v>3611</v>
          </cell>
          <cell r="F283">
            <v>277</v>
          </cell>
          <cell r="G283">
            <v>1351</v>
          </cell>
          <cell r="I283">
            <v>22</v>
          </cell>
          <cell r="K283">
            <v>1876</v>
          </cell>
        </row>
        <row r="284">
          <cell r="B284">
            <v>4663</v>
          </cell>
          <cell r="C284">
            <v>8361</v>
          </cell>
          <cell r="D284">
            <v>3507</v>
          </cell>
          <cell r="F284">
            <v>305</v>
          </cell>
          <cell r="G284">
            <v>2813</v>
          </cell>
          <cell r="I284">
            <v>25</v>
          </cell>
          <cell r="K284">
            <v>2158</v>
          </cell>
        </row>
        <row r="285">
          <cell r="B285">
            <v>3934</v>
          </cell>
          <cell r="C285">
            <v>4999</v>
          </cell>
          <cell r="D285">
            <v>2974</v>
          </cell>
          <cell r="F285">
            <v>231</v>
          </cell>
          <cell r="G285">
            <v>1011</v>
          </cell>
          <cell r="I285">
            <v>25</v>
          </cell>
          <cell r="K285">
            <v>1998</v>
          </cell>
        </row>
        <row r="286">
          <cell r="B286">
            <v>3875</v>
          </cell>
          <cell r="C286">
            <v>10392</v>
          </cell>
          <cell r="D286">
            <v>4175</v>
          </cell>
          <cell r="F286">
            <v>236</v>
          </cell>
          <cell r="G286">
            <v>1100</v>
          </cell>
          <cell r="I286">
            <v>21</v>
          </cell>
          <cell r="K286">
            <v>2189</v>
          </cell>
        </row>
        <row r="287">
          <cell r="B287">
            <v>3714</v>
          </cell>
          <cell r="C287">
            <v>6379</v>
          </cell>
          <cell r="D287">
            <v>3243</v>
          </cell>
          <cell r="F287">
            <v>223</v>
          </cell>
          <cell r="G287">
            <v>1140</v>
          </cell>
          <cell r="I287">
            <v>27</v>
          </cell>
          <cell r="K287">
            <v>2134</v>
          </cell>
        </row>
        <row r="288">
          <cell r="B288">
            <v>4545</v>
          </cell>
          <cell r="C288">
            <v>9251</v>
          </cell>
          <cell r="D288">
            <v>3206</v>
          </cell>
          <cell r="F288">
            <v>249</v>
          </cell>
          <cell r="G288">
            <v>1359</v>
          </cell>
          <cell r="I288">
            <v>25</v>
          </cell>
          <cell r="K288">
            <v>2300</v>
          </cell>
        </row>
        <row r="289">
          <cell r="B289">
            <v>3969</v>
          </cell>
          <cell r="C289">
            <v>6797</v>
          </cell>
          <cell r="D289">
            <v>3947</v>
          </cell>
          <cell r="F289">
            <v>232</v>
          </cell>
          <cell r="G289">
            <v>1274</v>
          </cell>
          <cell r="I289">
            <v>27</v>
          </cell>
          <cell r="K289">
            <v>2229</v>
          </cell>
        </row>
        <row r="290">
          <cell r="B290">
            <v>3456</v>
          </cell>
          <cell r="C290">
            <v>9276</v>
          </cell>
          <cell r="D290">
            <v>2946</v>
          </cell>
          <cell r="F290">
            <v>209</v>
          </cell>
          <cell r="G290">
            <v>1397</v>
          </cell>
          <cell r="I290">
            <v>21</v>
          </cell>
          <cell r="K290">
            <v>2267</v>
          </cell>
        </row>
        <row r="291">
          <cell r="B291">
            <v>3767</v>
          </cell>
          <cell r="C291">
            <v>5418</v>
          </cell>
          <cell r="D291">
            <v>2605</v>
          </cell>
          <cell r="F291">
            <v>236</v>
          </cell>
          <cell r="G291">
            <v>1227</v>
          </cell>
          <cell r="I291">
            <v>32</v>
          </cell>
          <cell r="K291">
            <v>1937</v>
          </cell>
        </row>
        <row r="292">
          <cell r="B292">
            <v>3477</v>
          </cell>
          <cell r="C292">
            <v>9882</v>
          </cell>
          <cell r="D292">
            <v>3362</v>
          </cell>
          <cell r="F292">
            <v>209</v>
          </cell>
          <cell r="G292">
            <v>1178</v>
          </cell>
          <cell r="I292">
            <v>21</v>
          </cell>
          <cell r="K292">
            <v>2038</v>
          </cell>
        </row>
        <row r="293">
          <cell r="B293">
            <v>4473</v>
          </cell>
          <cell r="C293">
            <v>6497</v>
          </cell>
          <cell r="D293">
            <v>3798</v>
          </cell>
          <cell r="F293">
            <v>340</v>
          </cell>
          <cell r="G293">
            <v>2547</v>
          </cell>
          <cell r="I293">
            <v>20</v>
          </cell>
          <cell r="K293">
            <v>2140</v>
          </cell>
        </row>
        <row r="294">
          <cell r="B294">
            <v>3961</v>
          </cell>
          <cell r="C294">
            <v>11048</v>
          </cell>
          <cell r="D294">
            <v>3881</v>
          </cell>
          <cell r="F294">
            <v>252</v>
          </cell>
          <cell r="G294">
            <v>1360</v>
          </cell>
          <cell r="I294">
            <v>25</v>
          </cell>
          <cell r="K294">
            <v>2080</v>
          </cell>
        </row>
        <row r="295">
          <cell r="B295">
            <v>3302</v>
          </cell>
          <cell r="C295">
            <v>7293</v>
          </cell>
          <cell r="D295">
            <v>3514</v>
          </cell>
          <cell r="F295">
            <v>230</v>
          </cell>
          <cell r="G295">
            <v>1317</v>
          </cell>
          <cell r="I295">
            <v>14</v>
          </cell>
          <cell r="K295">
            <v>1865</v>
          </cell>
        </row>
        <row r="296">
          <cell r="B296">
            <v>3863</v>
          </cell>
          <cell r="C296">
            <v>6740</v>
          </cell>
          <cell r="D296">
            <v>4000</v>
          </cell>
          <cell r="F296">
            <v>212</v>
          </cell>
          <cell r="G296">
            <v>2022</v>
          </cell>
          <cell r="I296">
            <v>25</v>
          </cell>
          <cell r="K296">
            <v>1970</v>
          </cell>
        </row>
        <row r="297">
          <cell r="B297">
            <v>3036</v>
          </cell>
          <cell r="C297">
            <v>6161</v>
          </cell>
          <cell r="D297">
            <v>2113</v>
          </cell>
          <cell r="F297">
            <v>173</v>
          </cell>
          <cell r="G297">
            <v>624</v>
          </cell>
          <cell r="I297">
            <v>21</v>
          </cell>
          <cell r="K297">
            <v>1044</v>
          </cell>
        </row>
        <row r="298">
          <cell r="B298">
            <v>3086</v>
          </cell>
          <cell r="C298">
            <v>7989</v>
          </cell>
          <cell r="D298">
            <v>3493</v>
          </cell>
          <cell r="F298">
            <v>205</v>
          </cell>
          <cell r="G298">
            <v>987</v>
          </cell>
          <cell r="I298">
            <v>26</v>
          </cell>
          <cell r="K298">
            <v>1679</v>
          </cell>
        </row>
        <row r="299">
          <cell r="B299">
            <v>3589</v>
          </cell>
          <cell r="C299">
            <v>6765</v>
          </cell>
          <cell r="D299">
            <v>3578</v>
          </cell>
          <cell r="F299">
            <v>227</v>
          </cell>
          <cell r="G299">
            <v>1509</v>
          </cell>
          <cell r="I299">
            <v>25</v>
          </cell>
          <cell r="K299">
            <v>1900</v>
          </cell>
        </row>
        <row r="300">
          <cell r="B300">
            <v>3698</v>
          </cell>
          <cell r="C300">
            <v>8659</v>
          </cell>
          <cell r="D300">
            <v>3261</v>
          </cell>
          <cell r="F300">
            <v>252</v>
          </cell>
          <cell r="G300">
            <v>1409</v>
          </cell>
          <cell r="I300">
            <v>26</v>
          </cell>
          <cell r="K300">
            <v>2141</v>
          </cell>
        </row>
        <row r="301">
          <cell r="B301">
            <v>3574</v>
          </cell>
          <cell r="C301">
            <v>7978</v>
          </cell>
          <cell r="D301">
            <v>3033</v>
          </cell>
          <cell r="F301">
            <v>225</v>
          </cell>
          <cell r="G301">
            <v>1425</v>
          </cell>
          <cell r="I301">
            <v>25</v>
          </cell>
          <cell r="K301">
            <v>2136</v>
          </cell>
        </row>
        <row r="302">
          <cell r="B302">
            <v>3454</v>
          </cell>
          <cell r="C302">
            <v>8939</v>
          </cell>
          <cell r="D302">
            <v>2720</v>
          </cell>
          <cell r="F302">
            <v>236</v>
          </cell>
          <cell r="G302">
            <v>1870</v>
          </cell>
          <cell r="I302">
            <v>29</v>
          </cell>
          <cell r="K302">
            <v>2022</v>
          </cell>
        </row>
        <row r="303">
          <cell r="B303">
            <v>3545</v>
          </cell>
          <cell r="C303">
            <v>7365</v>
          </cell>
          <cell r="D303">
            <v>3279</v>
          </cell>
          <cell r="F303">
            <v>237</v>
          </cell>
          <cell r="G303">
            <v>1170</v>
          </cell>
          <cell r="I303">
            <v>22</v>
          </cell>
          <cell r="K303">
            <v>1566</v>
          </cell>
        </row>
        <row r="304">
          <cell r="B304">
            <v>3636</v>
          </cell>
          <cell r="C304">
            <v>8237</v>
          </cell>
          <cell r="D304">
            <v>3122</v>
          </cell>
          <cell r="F304">
            <v>256</v>
          </cell>
          <cell r="G304">
            <v>1371</v>
          </cell>
          <cell r="I304">
            <v>29</v>
          </cell>
          <cell r="K304">
            <v>2022</v>
          </cell>
        </row>
        <row r="305">
          <cell r="B305">
            <v>4751</v>
          </cell>
          <cell r="C305">
            <v>7418</v>
          </cell>
          <cell r="D305">
            <v>3285</v>
          </cell>
          <cell r="F305">
            <v>378</v>
          </cell>
          <cell r="G305">
            <v>3114</v>
          </cell>
          <cell r="I305">
            <v>36</v>
          </cell>
          <cell r="K305">
            <v>1922</v>
          </cell>
        </row>
        <row r="306">
          <cell r="B306">
            <v>3910</v>
          </cell>
          <cell r="C306">
            <v>10137</v>
          </cell>
          <cell r="D306">
            <v>3338</v>
          </cell>
          <cell r="F306">
            <v>271</v>
          </cell>
          <cell r="G306">
            <v>1504</v>
          </cell>
          <cell r="I306">
            <v>23</v>
          </cell>
          <cell r="K306">
            <v>1715</v>
          </cell>
        </row>
        <row r="307">
          <cell r="B307">
            <v>3943</v>
          </cell>
          <cell r="C307">
            <v>7386</v>
          </cell>
          <cell r="D307">
            <v>3525</v>
          </cell>
          <cell r="F307">
            <v>275</v>
          </cell>
          <cell r="G307">
            <v>1360</v>
          </cell>
          <cell r="I307">
            <v>35</v>
          </cell>
          <cell r="K307">
            <v>1596</v>
          </cell>
        </row>
        <row r="308">
          <cell r="B308">
            <v>4595</v>
          </cell>
          <cell r="C308">
            <v>8273</v>
          </cell>
          <cell r="D308">
            <v>4165</v>
          </cell>
          <cell r="F308">
            <v>310</v>
          </cell>
          <cell r="G308">
            <v>1797</v>
          </cell>
          <cell r="I308">
            <v>24</v>
          </cell>
          <cell r="K308">
            <v>1880</v>
          </cell>
        </row>
        <row r="309">
          <cell r="B309">
            <v>4362</v>
          </cell>
          <cell r="C309">
            <v>8606</v>
          </cell>
          <cell r="D309">
            <v>3089</v>
          </cell>
          <cell r="F309">
            <v>295</v>
          </cell>
          <cell r="G309">
            <v>1608</v>
          </cell>
          <cell r="I309">
            <v>30</v>
          </cell>
          <cell r="K309">
            <v>1950</v>
          </cell>
        </row>
        <row r="310">
          <cell r="B310">
            <v>4206</v>
          </cell>
          <cell r="C310">
            <v>9394</v>
          </cell>
          <cell r="D310">
            <v>3265</v>
          </cell>
          <cell r="F310">
            <v>286</v>
          </cell>
          <cell r="G310">
            <v>1817</v>
          </cell>
          <cell r="I310">
            <v>20</v>
          </cell>
          <cell r="K310">
            <v>1978</v>
          </cell>
        </row>
        <row r="311">
          <cell r="B311">
            <v>4533</v>
          </cell>
          <cell r="C311">
            <v>7518</v>
          </cell>
          <cell r="D311">
            <v>4089</v>
          </cell>
          <cell r="F311">
            <v>329</v>
          </cell>
          <cell r="G311">
            <v>2100</v>
          </cell>
          <cell r="I311">
            <v>33</v>
          </cell>
          <cell r="K311">
            <v>2107</v>
          </cell>
        </row>
        <row r="312">
          <cell r="B312">
            <v>4542</v>
          </cell>
          <cell r="C312">
            <v>10782</v>
          </cell>
          <cell r="D312">
            <v>3612</v>
          </cell>
          <cell r="F312">
            <v>318</v>
          </cell>
          <cell r="G312">
            <v>1684</v>
          </cell>
          <cell r="I312">
            <v>25</v>
          </cell>
          <cell r="K312">
            <v>2172</v>
          </cell>
        </row>
        <row r="313">
          <cell r="B313">
            <v>4892</v>
          </cell>
          <cell r="C313">
            <v>9063</v>
          </cell>
          <cell r="D313">
            <v>4181</v>
          </cell>
          <cell r="F313">
            <v>345</v>
          </cell>
          <cell r="G313">
            <v>1895</v>
          </cell>
          <cell r="I313">
            <v>30</v>
          </cell>
          <cell r="K313">
            <v>2300</v>
          </cell>
        </row>
        <row r="314">
          <cell r="B314">
            <v>3717</v>
          </cell>
          <cell r="C314">
            <v>3482</v>
          </cell>
          <cell r="D314">
            <v>2527</v>
          </cell>
          <cell r="F314">
            <v>240</v>
          </cell>
          <cell r="G314">
            <v>1265</v>
          </cell>
          <cell r="I314">
            <v>29</v>
          </cell>
          <cell r="K314">
            <v>2032</v>
          </cell>
        </row>
        <row r="315">
          <cell r="B315">
            <v>4837</v>
          </cell>
          <cell r="C315">
            <v>14973</v>
          </cell>
          <cell r="D315">
            <v>4851</v>
          </cell>
          <cell r="F315">
            <v>324</v>
          </cell>
          <cell r="G315">
            <v>1465</v>
          </cell>
          <cell r="I315">
            <v>29</v>
          </cell>
          <cell r="K315">
            <v>2179</v>
          </cell>
        </row>
        <row r="316">
          <cell r="B316">
            <v>4798</v>
          </cell>
          <cell r="C316">
            <v>11729</v>
          </cell>
          <cell r="D316">
            <v>4115</v>
          </cell>
          <cell r="F316">
            <v>321</v>
          </cell>
          <cell r="G316">
            <v>1837</v>
          </cell>
          <cell r="I316">
            <v>21</v>
          </cell>
          <cell r="K316">
            <v>2030</v>
          </cell>
        </row>
        <row r="317">
          <cell r="B317">
            <v>4568</v>
          </cell>
          <cell r="C317">
            <v>9598</v>
          </cell>
          <cell r="D317">
            <v>5615</v>
          </cell>
          <cell r="F317">
            <v>371</v>
          </cell>
          <cell r="G317">
            <v>1647</v>
          </cell>
          <cell r="I317">
            <v>26</v>
          </cell>
          <cell r="K317">
            <v>2125</v>
          </cell>
        </row>
        <row r="318">
          <cell r="B318">
            <v>5105</v>
          </cell>
          <cell r="C318">
            <v>12178</v>
          </cell>
          <cell r="D318">
            <v>3406</v>
          </cell>
          <cell r="F318">
            <v>362</v>
          </cell>
          <cell r="G318">
            <v>1892</v>
          </cell>
          <cell r="I318">
            <v>32</v>
          </cell>
          <cell r="K318">
            <v>2005</v>
          </cell>
        </row>
        <row r="319">
          <cell r="B319">
            <v>4931</v>
          </cell>
          <cell r="C319">
            <v>9201</v>
          </cell>
          <cell r="D319">
            <v>4843</v>
          </cell>
          <cell r="F319">
            <v>350</v>
          </cell>
          <cell r="G319">
            <v>1657</v>
          </cell>
          <cell r="I319">
            <v>73</v>
          </cell>
          <cell r="K319">
            <v>1932</v>
          </cell>
        </row>
        <row r="320">
          <cell r="B320">
            <v>5704</v>
          </cell>
          <cell r="C320">
            <v>10958</v>
          </cell>
          <cell r="D320">
            <v>5117</v>
          </cell>
          <cell r="F320">
            <v>354</v>
          </cell>
          <cell r="G320">
            <v>1854</v>
          </cell>
          <cell r="I320">
            <v>80</v>
          </cell>
          <cell r="K320">
            <v>2329</v>
          </cell>
        </row>
        <row r="321">
          <cell r="B321">
            <v>5121</v>
          </cell>
          <cell r="C321">
            <v>9709</v>
          </cell>
          <cell r="D321">
            <v>4607</v>
          </cell>
          <cell r="F321">
            <v>316</v>
          </cell>
          <cell r="G321">
            <v>1843</v>
          </cell>
          <cell r="I321">
            <v>93</v>
          </cell>
          <cell r="K321">
            <v>2167</v>
          </cell>
        </row>
        <row r="322">
          <cell r="B322">
            <v>6214</v>
          </cell>
          <cell r="C322">
            <v>11115</v>
          </cell>
          <cell r="D322">
            <v>5721</v>
          </cell>
          <cell r="F322">
            <v>288</v>
          </cell>
          <cell r="G322">
            <v>1553</v>
          </cell>
          <cell r="I322">
            <v>103</v>
          </cell>
          <cell r="K322">
            <v>2031</v>
          </cell>
        </row>
        <row r="323">
          <cell r="B323">
            <v>5378</v>
          </cell>
          <cell r="C323">
            <v>8881</v>
          </cell>
          <cell r="D323">
            <v>5567</v>
          </cell>
          <cell r="F323">
            <v>173</v>
          </cell>
          <cell r="G323">
            <v>1926</v>
          </cell>
          <cell r="I323">
            <v>117</v>
          </cell>
          <cell r="K323">
            <v>2126</v>
          </cell>
        </row>
        <row r="324">
          <cell r="B324">
            <v>5785</v>
          </cell>
          <cell r="C324">
            <v>11703</v>
          </cell>
          <cell r="D324">
            <v>4999</v>
          </cell>
          <cell r="F324">
            <v>182</v>
          </cell>
          <cell r="G324">
            <v>1844</v>
          </cell>
          <cell r="I324">
            <v>104</v>
          </cell>
          <cell r="K324">
            <v>2231</v>
          </cell>
        </row>
        <row r="325">
          <cell r="B325">
            <v>5621</v>
          </cell>
          <cell r="C325">
            <v>9320</v>
          </cell>
          <cell r="D325">
            <v>5645</v>
          </cell>
          <cell r="F325">
            <v>161</v>
          </cell>
          <cell r="G325">
            <v>1737</v>
          </cell>
          <cell r="I325">
            <v>111</v>
          </cell>
          <cell r="K325">
            <v>1989</v>
          </cell>
        </row>
        <row r="326">
          <cell r="B326">
            <v>4779</v>
          </cell>
          <cell r="C326">
            <v>11326</v>
          </cell>
          <cell r="D326">
            <v>4607</v>
          </cell>
          <cell r="F326">
            <v>121</v>
          </cell>
          <cell r="G326">
            <v>1545</v>
          </cell>
          <cell r="I326">
            <v>141</v>
          </cell>
          <cell r="K326">
            <v>2082</v>
          </cell>
        </row>
        <row r="327">
          <cell r="B327">
            <v>5179</v>
          </cell>
          <cell r="C327">
            <v>8791</v>
          </cell>
          <cell r="D327">
            <v>4268</v>
          </cell>
          <cell r="F327">
            <v>171</v>
          </cell>
          <cell r="G327">
            <v>1602</v>
          </cell>
          <cell r="I327">
            <v>122</v>
          </cell>
          <cell r="K327">
            <v>1874</v>
          </cell>
        </row>
        <row r="328">
          <cell r="B328">
            <v>5285</v>
          </cell>
          <cell r="C328">
            <v>10166</v>
          </cell>
          <cell r="D328">
            <v>5041</v>
          </cell>
          <cell r="F328">
            <v>201</v>
          </cell>
          <cell r="G328">
            <v>1867</v>
          </cell>
          <cell r="I328">
            <v>101</v>
          </cell>
          <cell r="K328">
            <v>1960</v>
          </cell>
        </row>
        <row r="329">
          <cell r="B329">
            <v>5765</v>
          </cell>
          <cell r="C329">
            <v>8930</v>
          </cell>
          <cell r="D329">
            <v>4771</v>
          </cell>
          <cell r="F329">
            <v>301</v>
          </cell>
          <cell r="G329">
            <v>3152</v>
          </cell>
          <cell r="I329">
            <v>78</v>
          </cell>
          <cell r="K329">
            <v>2066</v>
          </cell>
        </row>
        <row r="330">
          <cell r="B330">
            <v>5285</v>
          </cell>
          <cell r="C330">
            <v>12439</v>
          </cell>
          <cell r="D330">
            <v>4876</v>
          </cell>
          <cell r="F330">
            <v>113</v>
          </cell>
          <cell r="G330">
            <v>1686</v>
          </cell>
          <cell r="I330">
            <v>95</v>
          </cell>
          <cell r="K330">
            <v>2376</v>
          </cell>
        </row>
        <row r="331">
          <cell r="B331">
            <v>5089</v>
          </cell>
          <cell r="C331">
            <v>9550</v>
          </cell>
          <cell r="D331">
            <v>5559</v>
          </cell>
          <cell r="F331">
            <v>168</v>
          </cell>
          <cell r="G331">
            <v>2235</v>
          </cell>
          <cell r="I331">
            <v>96</v>
          </cell>
          <cell r="K331">
            <v>2064</v>
          </cell>
        </row>
        <row r="332">
          <cell r="B332">
            <v>5496</v>
          </cell>
          <cell r="C332">
            <v>10131</v>
          </cell>
          <cell r="D332">
            <v>5836</v>
          </cell>
          <cell r="F332">
            <v>198</v>
          </cell>
          <cell r="G332">
            <v>2272</v>
          </cell>
          <cell r="I332">
            <v>79</v>
          </cell>
          <cell r="K332">
            <v>2413</v>
          </cell>
        </row>
        <row r="333">
          <cell r="B333">
            <v>4613</v>
          </cell>
          <cell r="C333">
            <v>9754</v>
          </cell>
          <cell r="D333">
            <v>3610</v>
          </cell>
          <cell r="F333">
            <v>126</v>
          </cell>
          <cell r="G333">
            <v>1616</v>
          </cell>
          <cell r="I333">
            <v>111</v>
          </cell>
          <cell r="K333">
            <v>2079</v>
          </cell>
        </row>
        <row r="334">
          <cell r="B334">
            <v>5650</v>
          </cell>
          <cell r="C334">
            <v>10107</v>
          </cell>
          <cell r="D334">
            <v>5822</v>
          </cell>
          <cell r="F334">
            <v>180</v>
          </cell>
          <cell r="G334">
            <v>2302</v>
          </cell>
          <cell r="I334">
            <v>23</v>
          </cell>
          <cell r="K334">
            <v>2273</v>
          </cell>
        </row>
        <row r="335">
          <cell r="B335">
            <v>4944</v>
          </cell>
          <cell r="C335">
            <v>8968</v>
          </cell>
          <cell r="D335">
            <v>5492</v>
          </cell>
          <cell r="F335">
            <v>110</v>
          </cell>
          <cell r="G335">
            <v>1846</v>
          </cell>
          <cell r="I335">
            <v>36</v>
          </cell>
          <cell r="K335">
            <v>2491</v>
          </cell>
        </row>
        <row r="336">
          <cell r="B336">
            <v>5355</v>
          </cell>
          <cell r="C336">
            <v>10957</v>
          </cell>
          <cell r="D336">
            <v>4487</v>
          </cell>
          <cell r="F336">
            <v>135</v>
          </cell>
          <cell r="G336">
            <v>2097</v>
          </cell>
          <cell r="I336">
            <v>21</v>
          </cell>
          <cell r="K336">
            <v>2495</v>
          </cell>
        </row>
        <row r="337">
          <cell r="B337">
            <v>5476</v>
          </cell>
          <cell r="C337">
            <v>9299</v>
          </cell>
          <cell r="D337">
            <v>5376</v>
          </cell>
          <cell r="F337">
            <v>105</v>
          </cell>
          <cell r="G337">
            <v>1832</v>
          </cell>
          <cell r="I337">
            <v>37</v>
          </cell>
          <cell r="K337">
            <v>2423</v>
          </cell>
        </row>
        <row r="338">
          <cell r="B338">
            <v>4544</v>
          </cell>
          <cell r="C338">
            <v>11084</v>
          </cell>
          <cell r="D338">
            <v>5128</v>
          </cell>
          <cell r="F338">
            <v>98</v>
          </cell>
          <cell r="G338">
            <v>1344</v>
          </cell>
          <cell r="I338">
            <v>32</v>
          </cell>
          <cell r="K338">
            <v>2238</v>
          </cell>
        </row>
        <row r="339">
          <cell r="B339">
            <v>5124</v>
          </cell>
          <cell r="C339">
            <v>7620</v>
          </cell>
          <cell r="D339">
            <v>3949</v>
          </cell>
          <cell r="F339">
            <v>127</v>
          </cell>
          <cell r="G339">
            <v>1785</v>
          </cell>
          <cell r="I339">
            <v>26</v>
          </cell>
          <cell r="K339">
            <v>1915</v>
          </cell>
        </row>
        <row r="340">
          <cell r="B340">
            <v>4526</v>
          </cell>
          <cell r="C340">
            <v>9658</v>
          </cell>
          <cell r="D340">
            <v>4297</v>
          </cell>
          <cell r="F340">
            <v>84</v>
          </cell>
          <cell r="G340">
            <v>1170</v>
          </cell>
          <cell r="I340">
            <v>28</v>
          </cell>
          <cell r="K340">
            <v>1929</v>
          </cell>
        </row>
        <row r="341">
          <cell r="B341">
            <v>5109</v>
          </cell>
          <cell r="C341">
            <v>8889</v>
          </cell>
          <cell r="D341">
            <v>5158</v>
          </cell>
          <cell r="F341">
            <v>301</v>
          </cell>
          <cell r="G341">
            <v>3001</v>
          </cell>
          <cell r="I341">
            <v>34</v>
          </cell>
          <cell r="K341">
            <v>2110</v>
          </cell>
        </row>
        <row r="342">
          <cell r="B342">
            <v>4513</v>
          </cell>
          <cell r="C342">
            <v>12388</v>
          </cell>
          <cell r="D342">
            <v>3959</v>
          </cell>
          <cell r="F342">
            <v>112</v>
          </cell>
          <cell r="G342">
            <v>1634</v>
          </cell>
          <cell r="I342">
            <v>29</v>
          </cell>
          <cell r="K342">
            <v>2340</v>
          </cell>
        </row>
        <row r="343">
          <cell r="B343">
            <v>5058</v>
          </cell>
          <cell r="C343">
            <v>10146</v>
          </cell>
          <cell r="D343">
            <v>4538</v>
          </cell>
          <cell r="F343">
            <v>105</v>
          </cell>
          <cell r="G343">
            <v>1651</v>
          </cell>
          <cell r="I343">
            <v>25</v>
          </cell>
          <cell r="K343">
            <v>2262</v>
          </cell>
        </row>
        <row r="344">
          <cell r="B344">
            <v>5069</v>
          </cell>
          <cell r="C344">
            <v>11064</v>
          </cell>
          <cell r="D344">
            <v>4860</v>
          </cell>
          <cell r="F344">
            <v>132</v>
          </cell>
          <cell r="G344">
            <v>1697</v>
          </cell>
          <cell r="I344">
            <v>26</v>
          </cell>
          <cell r="K344">
            <v>2484</v>
          </cell>
        </row>
        <row r="345">
          <cell r="B345">
            <v>4580</v>
          </cell>
          <cell r="C345">
            <v>4371</v>
          </cell>
          <cell r="D345">
            <v>4021</v>
          </cell>
          <cell r="F345">
            <v>92</v>
          </cell>
          <cell r="G345">
            <v>1720</v>
          </cell>
          <cell r="I345">
            <v>23</v>
          </cell>
          <cell r="K345">
            <v>2256</v>
          </cell>
        </row>
        <row r="346">
          <cell r="B346">
            <v>5180</v>
          </cell>
          <cell r="C346">
            <v>16587</v>
          </cell>
          <cell r="D346">
            <v>4778</v>
          </cell>
          <cell r="F346">
            <v>136</v>
          </cell>
          <cell r="G346">
            <v>2127</v>
          </cell>
          <cell r="I346">
            <v>24</v>
          </cell>
          <cell r="K346">
            <v>2400</v>
          </cell>
        </row>
        <row r="347">
          <cell r="B347">
            <v>4570</v>
          </cell>
          <cell r="C347">
            <v>10964</v>
          </cell>
          <cell r="D347">
            <v>5227</v>
          </cell>
          <cell r="F347">
            <v>118</v>
          </cell>
          <cell r="G347">
            <v>1929</v>
          </cell>
          <cell r="I347">
            <v>35</v>
          </cell>
          <cell r="K347">
            <v>2496</v>
          </cell>
        </row>
        <row r="348">
          <cell r="B348">
            <v>5756</v>
          </cell>
          <cell r="C348">
            <v>11739</v>
          </cell>
          <cell r="D348">
            <v>5068</v>
          </cell>
          <cell r="F348">
            <v>116</v>
          </cell>
          <cell r="G348">
            <v>2212</v>
          </cell>
          <cell r="I348">
            <v>28</v>
          </cell>
          <cell r="K348">
            <v>2652</v>
          </cell>
        </row>
        <row r="349">
          <cell r="B349">
            <v>5049</v>
          </cell>
          <cell r="C349">
            <v>9879</v>
          </cell>
          <cell r="D349">
            <v>4770</v>
          </cell>
          <cell r="F349">
            <v>125</v>
          </cell>
          <cell r="G349">
            <v>2153</v>
          </cell>
          <cell r="I349">
            <v>31</v>
          </cell>
          <cell r="K349">
            <v>2580</v>
          </cell>
        </row>
        <row r="350">
          <cell r="B350">
            <v>5382</v>
          </cell>
          <cell r="C350">
            <v>12032</v>
          </cell>
          <cell r="D350">
            <v>4029</v>
          </cell>
          <cell r="F350">
            <v>118</v>
          </cell>
          <cell r="G350">
            <v>1997</v>
          </cell>
          <cell r="I350">
            <v>25</v>
          </cell>
          <cell r="K350">
            <v>2724</v>
          </cell>
        </row>
        <row r="351">
          <cell r="B351">
            <v>5291</v>
          </cell>
          <cell r="C351">
            <v>10113</v>
          </cell>
          <cell r="D351">
            <v>3738</v>
          </cell>
          <cell r="F351">
            <v>122</v>
          </cell>
          <cell r="G351">
            <v>1792</v>
          </cell>
          <cell r="I351">
            <v>33</v>
          </cell>
          <cell r="K351">
            <v>2423</v>
          </cell>
        </row>
        <row r="352">
          <cell r="B352">
            <v>5145</v>
          </cell>
          <cell r="C352">
            <v>11439</v>
          </cell>
          <cell r="D352">
            <v>5525</v>
          </cell>
          <cell r="F352">
            <v>133</v>
          </cell>
          <cell r="G352">
            <v>1988</v>
          </cell>
          <cell r="I352">
            <v>29</v>
          </cell>
          <cell r="K352">
            <v>2261</v>
          </cell>
        </row>
        <row r="353">
          <cell r="B353">
            <v>7596</v>
          </cell>
          <cell r="C353">
            <v>10103</v>
          </cell>
          <cell r="D353">
            <v>4941</v>
          </cell>
          <cell r="F353">
            <v>452</v>
          </cell>
          <cell r="G353">
            <v>5423</v>
          </cell>
          <cell r="I353">
            <v>38</v>
          </cell>
          <cell r="K353">
            <v>2636</v>
          </cell>
        </row>
        <row r="354">
          <cell r="B354">
            <v>5292</v>
          </cell>
          <cell r="C354">
            <v>16738</v>
          </cell>
          <cell r="D354">
            <v>5092</v>
          </cell>
          <cell r="F354">
            <v>89</v>
          </cell>
          <cell r="G354">
            <v>1300</v>
          </cell>
          <cell r="I354">
            <v>36</v>
          </cell>
          <cell r="K354">
            <v>2542</v>
          </cell>
        </row>
        <row r="355">
          <cell r="B355">
            <v>4902</v>
          </cell>
          <cell r="C355">
            <v>11354</v>
          </cell>
          <cell r="D355">
            <v>5354</v>
          </cell>
          <cell r="F355">
            <v>97</v>
          </cell>
          <cell r="G355">
            <v>1611</v>
          </cell>
          <cell r="I355">
            <v>18</v>
          </cell>
          <cell r="K355">
            <v>2242</v>
          </cell>
        </row>
        <row r="356">
          <cell r="B356">
            <v>5913</v>
          </cell>
          <cell r="C356">
            <v>11896</v>
          </cell>
          <cell r="D356">
            <v>5286</v>
          </cell>
          <cell r="F356">
            <v>127</v>
          </cell>
          <cell r="G356">
            <v>2294</v>
          </cell>
          <cell r="I356">
            <v>56</v>
          </cell>
          <cell r="K356">
            <v>2535</v>
          </cell>
        </row>
        <row r="357">
          <cell r="B357">
            <v>5730</v>
          </cell>
          <cell r="C357">
            <v>10824</v>
          </cell>
          <cell r="D357">
            <v>5052</v>
          </cell>
          <cell r="F357">
            <v>118</v>
          </cell>
          <cell r="G357">
            <v>2194</v>
          </cell>
          <cell r="I357">
            <v>26</v>
          </cell>
          <cell r="K357">
            <v>2377</v>
          </cell>
        </row>
        <row r="358">
          <cell r="B358">
            <v>5598</v>
          </cell>
          <cell r="C358">
            <v>13127</v>
          </cell>
          <cell r="D358">
            <v>5313</v>
          </cell>
          <cell r="F358">
            <v>155</v>
          </cell>
          <cell r="G358">
            <v>2445</v>
          </cell>
          <cell r="I358">
            <v>42</v>
          </cell>
          <cell r="K358">
            <v>2575</v>
          </cell>
        </row>
        <row r="359">
          <cell r="B359">
            <v>4850</v>
          </cell>
          <cell r="C359">
            <v>9842</v>
          </cell>
          <cell r="D359">
            <v>4396</v>
          </cell>
          <cell r="F359">
            <v>107</v>
          </cell>
          <cell r="G359">
            <v>1725</v>
          </cell>
          <cell r="I359">
            <v>30</v>
          </cell>
          <cell r="K359">
            <v>2527</v>
          </cell>
        </row>
        <row r="360">
          <cell r="B360">
            <v>6158</v>
          </cell>
          <cell r="C360">
            <v>14006</v>
          </cell>
          <cell r="D360">
            <v>5935</v>
          </cell>
          <cell r="F360">
            <v>131</v>
          </cell>
          <cell r="G360">
            <v>2251</v>
          </cell>
          <cell r="I360">
            <v>26</v>
          </cell>
          <cell r="K360">
            <v>2498</v>
          </cell>
        </row>
        <row r="361">
          <cell r="B361">
            <v>5302</v>
          </cell>
          <cell r="C361">
            <v>11908</v>
          </cell>
          <cell r="D361">
            <v>4766</v>
          </cell>
          <cell r="F361">
            <v>143</v>
          </cell>
          <cell r="G361">
            <v>1920</v>
          </cell>
          <cell r="I361">
            <v>45</v>
          </cell>
          <cell r="K361">
            <v>2856</v>
          </cell>
        </row>
        <row r="362">
          <cell r="B362">
            <v>5243</v>
          </cell>
          <cell r="C362">
            <v>14153</v>
          </cell>
          <cell r="D362">
            <v>5769</v>
          </cell>
          <cell r="F362">
            <v>124</v>
          </cell>
          <cell r="G362">
            <v>2092</v>
          </cell>
          <cell r="I362">
            <v>33</v>
          </cell>
          <cell r="K362">
            <v>2701</v>
          </cell>
        </row>
        <row r="363">
          <cell r="B363">
            <v>5183</v>
          </cell>
          <cell r="C363">
            <v>11735</v>
          </cell>
          <cell r="D363">
            <v>3622</v>
          </cell>
          <cell r="F363">
            <v>103</v>
          </cell>
          <cell r="G363">
            <v>1853</v>
          </cell>
          <cell r="I363">
            <v>48</v>
          </cell>
          <cell r="K363">
            <v>2644</v>
          </cell>
        </row>
        <row r="364">
          <cell r="B364">
            <v>5335</v>
          </cell>
          <cell r="C364">
            <v>13377</v>
          </cell>
          <cell r="D364">
            <v>5365</v>
          </cell>
          <cell r="F364">
            <v>151</v>
          </cell>
          <cell r="G364">
            <v>2238</v>
          </cell>
          <cell r="I364">
            <v>43</v>
          </cell>
          <cell r="K364">
            <v>2768</v>
          </cell>
        </row>
        <row r="365">
          <cell r="B365">
            <v>6671</v>
          </cell>
          <cell r="C365">
            <v>11482</v>
          </cell>
          <cell r="D365">
            <v>6758</v>
          </cell>
          <cell r="F365">
            <v>208</v>
          </cell>
          <cell r="G365">
            <v>3075</v>
          </cell>
          <cell r="I365">
            <v>40</v>
          </cell>
          <cell r="K365">
            <v>2555</v>
          </cell>
        </row>
        <row r="366">
          <cell r="B366">
            <v>5170</v>
          </cell>
          <cell r="C366">
            <v>15920</v>
          </cell>
          <cell r="D366">
            <v>4020</v>
          </cell>
          <cell r="F366">
            <v>128</v>
          </cell>
          <cell r="G366">
            <v>1826</v>
          </cell>
          <cell r="I366">
            <v>38</v>
          </cell>
          <cell r="K366">
            <v>2504</v>
          </cell>
        </row>
        <row r="367">
          <cell r="B367">
            <v>5349</v>
          </cell>
          <cell r="C367">
            <v>12831</v>
          </cell>
          <cell r="D367">
            <v>5114</v>
          </cell>
          <cell r="F367">
            <v>173</v>
          </cell>
          <cell r="G367">
            <v>2441</v>
          </cell>
          <cell r="I367">
            <v>26</v>
          </cell>
          <cell r="K367">
            <v>2382</v>
          </cell>
        </row>
        <row r="368">
          <cell r="B368">
            <v>5411</v>
          </cell>
          <cell r="C368">
            <v>13031</v>
          </cell>
          <cell r="D368">
            <v>6827</v>
          </cell>
          <cell r="F368">
            <v>159</v>
          </cell>
          <cell r="G368">
            <v>2417</v>
          </cell>
          <cell r="I368">
            <v>21</v>
          </cell>
          <cell r="K368">
            <v>2427</v>
          </cell>
        </row>
        <row r="369">
          <cell r="B369">
            <v>5472.666666666667</v>
          </cell>
          <cell r="C369">
            <v>12238</v>
          </cell>
          <cell r="D369">
            <v>3371.6666666666665</v>
          </cell>
          <cell r="F369">
            <v>121.99999999999999</v>
          </cell>
          <cell r="G369">
            <v>1890.9999999999998</v>
          </cell>
          <cell r="I369">
            <v>43</v>
          </cell>
          <cell r="K369">
            <v>2095.3333333333335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monthly"/>
      <sheetName val="monthly_change"/>
      <sheetName val="quarterly"/>
      <sheetName val="quarterly_change"/>
      <sheetName val="yearly"/>
      <sheetName val="yearly_change"/>
    </sheetNames>
    <sheetDataSet>
      <sheetData sheetId="0"/>
      <sheetData sheetId="1">
        <row r="101">
          <cell r="D101">
            <v>18.039523809523807</v>
          </cell>
          <cell r="G101">
            <v>47.154617635400001</v>
          </cell>
          <cell r="AC101">
            <v>140.30000000000001</v>
          </cell>
        </row>
        <row r="102">
          <cell r="D102">
            <v>18.569999999999993</v>
          </cell>
          <cell r="G102">
            <v>47.233274211900003</v>
          </cell>
          <cell r="AC102">
            <v>140.69999999999999</v>
          </cell>
        </row>
        <row r="103">
          <cell r="D103">
            <v>18.53913043478261</v>
          </cell>
          <cell r="G103">
            <v>47.193945923699999</v>
          </cell>
          <cell r="AC103">
            <v>141.5</v>
          </cell>
        </row>
        <row r="104">
          <cell r="D104">
            <v>19.896315789473686</v>
          </cell>
          <cell r="G104">
            <v>47.626557094600003</v>
          </cell>
          <cell r="AC104">
            <v>142.69999999999999</v>
          </cell>
        </row>
        <row r="105">
          <cell r="D105">
            <v>19.741818181818179</v>
          </cell>
          <cell r="G105">
            <v>48.098496553899999</v>
          </cell>
          <cell r="AC105">
            <v>144.4</v>
          </cell>
        </row>
        <row r="106">
          <cell r="D106">
            <v>18.44590909090909</v>
          </cell>
          <cell r="G106">
            <v>48.255809706900003</v>
          </cell>
          <cell r="AC106">
            <v>145.5</v>
          </cell>
        </row>
        <row r="107">
          <cell r="D107">
            <v>17.325499999999998</v>
          </cell>
          <cell r="G107">
            <v>48.373794571799998</v>
          </cell>
          <cell r="AC107">
            <v>148.69999999999999</v>
          </cell>
        </row>
        <row r="108">
          <cell r="D108">
            <v>18.020869565217396</v>
          </cell>
          <cell r="G108">
            <v>48.9637188958</v>
          </cell>
          <cell r="AC108">
            <v>151.80000000000001</v>
          </cell>
        </row>
        <row r="109">
          <cell r="D109">
            <v>18.225500000000004</v>
          </cell>
          <cell r="G109">
            <v>49.435658355000001</v>
          </cell>
          <cell r="AC109">
            <v>151.9</v>
          </cell>
        </row>
        <row r="110">
          <cell r="D110">
            <v>17.433181818181822</v>
          </cell>
          <cell r="G110">
            <v>49.946926102500001</v>
          </cell>
          <cell r="AC110">
            <v>153.5</v>
          </cell>
        </row>
        <row r="111">
          <cell r="D111">
            <v>17.9925</v>
          </cell>
          <cell r="G111">
            <v>50.300880696999997</v>
          </cell>
          <cell r="AC111">
            <v>157.9</v>
          </cell>
        </row>
        <row r="112">
          <cell r="D112">
            <v>19.026500000000002</v>
          </cell>
          <cell r="G112">
            <v>50.890805020999998</v>
          </cell>
          <cell r="AC112">
            <v>162.69999999999999</v>
          </cell>
        </row>
        <row r="113">
          <cell r="D113">
            <v>18.854545454545452</v>
          </cell>
          <cell r="G113">
            <v>51.323416192000003</v>
          </cell>
          <cell r="AC113">
            <v>164.7</v>
          </cell>
        </row>
        <row r="114">
          <cell r="D114">
            <v>19.093499999999999</v>
          </cell>
          <cell r="G114">
            <v>51.795355651199998</v>
          </cell>
          <cell r="AC114">
            <v>164.7</v>
          </cell>
        </row>
        <row r="115">
          <cell r="D115">
            <v>21.332380952380952</v>
          </cell>
          <cell r="G115">
            <v>52.306623398699998</v>
          </cell>
          <cell r="AC115">
            <v>167</v>
          </cell>
        </row>
        <row r="116">
          <cell r="D116">
            <v>23.497142857142858</v>
          </cell>
          <cell r="G116">
            <v>53.1718457407</v>
          </cell>
          <cell r="AC116">
            <v>171.8</v>
          </cell>
        </row>
        <row r="117">
          <cell r="D117">
            <v>21.165454545454541</v>
          </cell>
          <cell r="G117">
            <v>54.0763963709</v>
          </cell>
          <cell r="AC117">
            <v>175.3</v>
          </cell>
        </row>
        <row r="118">
          <cell r="D118">
            <v>20.423500000000004</v>
          </cell>
          <cell r="G118">
            <v>54.469679253599999</v>
          </cell>
          <cell r="AC118">
            <v>174.6</v>
          </cell>
        </row>
        <row r="119">
          <cell r="D119">
            <v>21.302272727272729</v>
          </cell>
          <cell r="G119">
            <v>54.626992406600003</v>
          </cell>
          <cell r="AC119">
            <v>171.6</v>
          </cell>
        </row>
        <row r="120">
          <cell r="D120">
            <v>21.903181818181817</v>
          </cell>
          <cell r="G120">
            <v>54.823633848</v>
          </cell>
          <cell r="AC120">
            <v>170.8</v>
          </cell>
        </row>
        <row r="121">
          <cell r="D121">
            <v>23.971500000000002</v>
          </cell>
          <cell r="G121">
            <v>55.059603577600001</v>
          </cell>
          <cell r="AC121">
            <v>173.5</v>
          </cell>
        </row>
        <row r="122">
          <cell r="D122">
            <v>24.87913043478261</v>
          </cell>
          <cell r="G122">
            <v>55.492214748599999</v>
          </cell>
          <cell r="AC122">
            <v>176.4</v>
          </cell>
        </row>
        <row r="123">
          <cell r="D123">
            <v>23.704999999999995</v>
          </cell>
          <cell r="G123">
            <v>55.846169343</v>
          </cell>
          <cell r="AC123">
            <v>177.1</v>
          </cell>
        </row>
        <row r="124">
          <cell r="D124">
            <v>25.228571428571431</v>
          </cell>
          <cell r="G124">
            <v>56.278780513999997</v>
          </cell>
          <cell r="AC124">
            <v>178.4</v>
          </cell>
        </row>
        <row r="125">
          <cell r="D125">
            <v>25.131818181818179</v>
          </cell>
          <cell r="G125">
            <v>56.514750243599998</v>
          </cell>
          <cell r="AC125">
            <v>181.8</v>
          </cell>
        </row>
        <row r="126">
          <cell r="D126">
            <v>22.176315789473687</v>
          </cell>
          <cell r="G126">
            <v>57.183331144199997</v>
          </cell>
          <cell r="AC126">
            <v>183</v>
          </cell>
        </row>
        <row r="127">
          <cell r="D127">
            <v>20.965</v>
          </cell>
          <cell r="G127">
            <v>57.7339271799</v>
          </cell>
          <cell r="AC127">
            <v>183.2</v>
          </cell>
        </row>
        <row r="128">
          <cell r="D128">
            <v>19.695454545454545</v>
          </cell>
          <cell r="G128">
            <v>58.166538350899998</v>
          </cell>
          <cell r="AC128">
            <v>185.1</v>
          </cell>
        </row>
        <row r="129">
          <cell r="D129">
            <v>20.81904761904762</v>
          </cell>
          <cell r="G129">
            <v>58.441836368799997</v>
          </cell>
          <cell r="AC129">
            <v>187.4</v>
          </cell>
        </row>
        <row r="130">
          <cell r="D130">
            <v>19.259999999999998</v>
          </cell>
          <cell r="G130">
            <v>59.071088981099997</v>
          </cell>
          <cell r="AC130">
            <v>190.8</v>
          </cell>
        </row>
        <row r="131">
          <cell r="D131">
            <v>19.66363636363636</v>
          </cell>
          <cell r="G131">
            <v>59.661013305200001</v>
          </cell>
          <cell r="AC131">
            <v>192.4</v>
          </cell>
        </row>
        <row r="132">
          <cell r="D132">
            <v>19.952857142857141</v>
          </cell>
          <cell r="G132">
            <v>59.896983034800002</v>
          </cell>
          <cell r="AC132">
            <v>191.5</v>
          </cell>
        </row>
        <row r="133">
          <cell r="D133">
            <v>19.803333333333331</v>
          </cell>
          <cell r="G133">
            <v>59.857654746500003</v>
          </cell>
          <cell r="AC133">
            <v>190.3</v>
          </cell>
        </row>
        <row r="134">
          <cell r="D134">
            <v>21.325217391304353</v>
          </cell>
          <cell r="G134">
            <v>60.5655639354</v>
          </cell>
          <cell r="AC134">
            <v>189.5</v>
          </cell>
        </row>
        <row r="135">
          <cell r="D135">
            <v>20.193888888888889</v>
          </cell>
          <cell r="G135">
            <v>60.408250782300001</v>
          </cell>
          <cell r="AC135">
            <v>189.7</v>
          </cell>
        </row>
        <row r="136">
          <cell r="D136">
            <v>18.332727272727272</v>
          </cell>
          <cell r="G136">
            <v>60.211609340899997</v>
          </cell>
          <cell r="AC136">
            <v>190.9</v>
          </cell>
        </row>
        <row r="137">
          <cell r="D137">
            <v>16.724</v>
          </cell>
          <cell r="G137">
            <v>60.408250782300001</v>
          </cell>
          <cell r="AC137">
            <v>191.1</v>
          </cell>
        </row>
        <row r="138">
          <cell r="D138">
            <v>16.059999999999999</v>
          </cell>
          <cell r="G138">
            <v>60.368922494000003</v>
          </cell>
          <cell r="AC138">
            <v>190.1</v>
          </cell>
        </row>
        <row r="139">
          <cell r="D139">
            <v>15.115454545454543</v>
          </cell>
          <cell r="G139">
            <v>60.250937629200003</v>
          </cell>
          <cell r="AC139">
            <v>191.6</v>
          </cell>
        </row>
        <row r="140">
          <cell r="D140">
            <v>15.353809523809522</v>
          </cell>
          <cell r="G140">
            <v>61.0768316829</v>
          </cell>
          <cell r="AC140">
            <v>193.5</v>
          </cell>
        </row>
        <row r="141">
          <cell r="D141">
            <v>14.914000000000001</v>
          </cell>
          <cell r="G141">
            <v>61.312801412500001</v>
          </cell>
          <cell r="AC141">
            <v>193.4</v>
          </cell>
        </row>
        <row r="142">
          <cell r="D142">
            <v>13.721818181818181</v>
          </cell>
          <cell r="G142">
            <v>61.548771142100001</v>
          </cell>
          <cell r="AC142">
            <v>190.1</v>
          </cell>
        </row>
        <row r="143">
          <cell r="D143">
            <v>14.172727272727274</v>
          </cell>
          <cell r="G143">
            <v>61.470114565599999</v>
          </cell>
          <cell r="AC143">
            <v>188.1</v>
          </cell>
        </row>
        <row r="144">
          <cell r="D144">
            <v>13.471904761904764</v>
          </cell>
          <cell r="G144">
            <v>61.784740871700002</v>
          </cell>
          <cell r="AC144">
            <v>191</v>
          </cell>
        </row>
        <row r="145">
          <cell r="D145">
            <v>15.031428571428572</v>
          </cell>
          <cell r="G145">
            <v>62.649963213699998</v>
          </cell>
          <cell r="AC145">
            <v>198.3</v>
          </cell>
        </row>
        <row r="146">
          <cell r="D146">
            <v>14.460909090909091</v>
          </cell>
          <cell r="G146">
            <v>64.537721050599998</v>
          </cell>
          <cell r="AC146">
            <v>204.4</v>
          </cell>
        </row>
        <row r="147">
          <cell r="D147">
            <v>13.002105263157892</v>
          </cell>
          <cell r="G147">
            <v>65.363615104299996</v>
          </cell>
          <cell r="AC147">
            <v>204.4</v>
          </cell>
        </row>
        <row r="148">
          <cell r="D148">
            <v>11.347272727272726</v>
          </cell>
          <cell r="G148">
            <v>65.402943392500006</v>
          </cell>
          <cell r="AC148">
            <v>204.3</v>
          </cell>
        </row>
        <row r="149">
          <cell r="D149">
            <v>12.514736842105263</v>
          </cell>
          <cell r="G149">
            <v>65.1003908709</v>
          </cell>
          <cell r="AC149">
            <v>204.6</v>
          </cell>
        </row>
        <row r="150">
          <cell r="D150">
            <v>12.013684210526316</v>
          </cell>
          <cell r="G150">
            <v>64.602966680799994</v>
          </cell>
          <cell r="AC150">
            <v>203.3</v>
          </cell>
        </row>
        <row r="151">
          <cell r="D151">
            <v>14.676521739130438</v>
          </cell>
          <cell r="G151">
            <v>64.478610633299994</v>
          </cell>
          <cell r="AC151">
            <v>201.7</v>
          </cell>
        </row>
        <row r="152">
          <cell r="D152">
            <v>17.312380952380952</v>
          </cell>
          <cell r="G152">
            <v>64.665144704599996</v>
          </cell>
          <cell r="AC152">
            <v>203</v>
          </cell>
        </row>
        <row r="153">
          <cell r="D153">
            <v>17.718499999999999</v>
          </cell>
          <cell r="G153">
            <v>64.976034823399999</v>
          </cell>
          <cell r="AC153">
            <v>202.4</v>
          </cell>
        </row>
        <row r="154">
          <cell r="D154">
            <v>17.923181818181821</v>
          </cell>
          <cell r="G154">
            <v>65.1625688946</v>
          </cell>
          <cell r="AC154">
            <v>200.1</v>
          </cell>
        </row>
        <row r="155">
          <cell r="D155">
            <v>20.103333333333332</v>
          </cell>
          <cell r="G155">
            <v>65.349102965900002</v>
          </cell>
          <cell r="AC155">
            <v>202.7</v>
          </cell>
        </row>
        <row r="156">
          <cell r="D156">
            <v>21.278636363636366</v>
          </cell>
          <cell r="G156">
            <v>65.659993084700005</v>
          </cell>
          <cell r="AC156">
            <v>206.1</v>
          </cell>
        </row>
        <row r="157">
          <cell r="D157">
            <v>23.796666666666667</v>
          </cell>
          <cell r="G157">
            <v>65.970883203400007</v>
          </cell>
          <cell r="AC157">
            <v>204</v>
          </cell>
        </row>
        <row r="158">
          <cell r="D158">
            <v>22.691428571428577</v>
          </cell>
          <cell r="G158">
            <v>66.406129369699997</v>
          </cell>
          <cell r="AC158">
            <v>204.2</v>
          </cell>
        </row>
        <row r="159">
          <cell r="D159">
            <v>25.00238095238095</v>
          </cell>
          <cell r="G159">
            <v>66.281773322199996</v>
          </cell>
          <cell r="AC159">
            <v>205.6</v>
          </cell>
        </row>
        <row r="160">
          <cell r="D160">
            <v>26.102380952380951</v>
          </cell>
          <cell r="G160">
            <v>66.281773322199996</v>
          </cell>
          <cell r="AC160">
            <v>200.5</v>
          </cell>
        </row>
        <row r="161">
          <cell r="D161">
            <v>27.259473684210523</v>
          </cell>
          <cell r="G161">
            <v>65.970883203400007</v>
          </cell>
          <cell r="AC161">
            <v>195.8</v>
          </cell>
        </row>
        <row r="162">
          <cell r="D162">
            <v>29.366000000000007</v>
          </cell>
          <cell r="G162">
            <v>65.659993084700005</v>
          </cell>
          <cell r="AC162">
            <v>193.8</v>
          </cell>
        </row>
        <row r="163">
          <cell r="D163">
            <v>29.841739130434789</v>
          </cell>
          <cell r="G163">
            <v>65.473459013400003</v>
          </cell>
          <cell r="AC163">
            <v>194.2</v>
          </cell>
        </row>
        <row r="164">
          <cell r="D164">
            <v>25.7221052631579</v>
          </cell>
          <cell r="G164">
            <v>65.784349132200006</v>
          </cell>
          <cell r="AC164">
            <v>197.3</v>
          </cell>
        </row>
        <row r="165">
          <cell r="D165">
            <v>28.788181818181815</v>
          </cell>
          <cell r="G165">
            <v>66.343951345999997</v>
          </cell>
          <cell r="AC165">
            <v>197.9</v>
          </cell>
        </row>
        <row r="166">
          <cell r="D166">
            <v>31.822272727272722</v>
          </cell>
          <cell r="G166">
            <v>66.530485417199998</v>
          </cell>
          <cell r="AC166">
            <v>195.2</v>
          </cell>
        </row>
        <row r="167">
          <cell r="D167">
            <v>29.696842105263158</v>
          </cell>
          <cell r="G167">
            <v>66.7170194885</v>
          </cell>
          <cell r="AC167">
            <v>194.1</v>
          </cell>
        </row>
        <row r="168">
          <cell r="D168">
            <v>31.263913043478258</v>
          </cell>
          <cell r="G168">
            <v>66.343951345999997</v>
          </cell>
          <cell r="AC168">
            <v>192.6</v>
          </cell>
        </row>
        <row r="169">
          <cell r="D169">
            <v>33.884</v>
          </cell>
          <cell r="G169">
            <v>65.970883203400007</v>
          </cell>
          <cell r="AC169">
            <v>191.2</v>
          </cell>
        </row>
        <row r="170">
          <cell r="D170">
            <v>33.108636363636364</v>
          </cell>
          <cell r="G170">
            <v>66.343951345999997</v>
          </cell>
          <cell r="AC170">
            <v>192.1</v>
          </cell>
        </row>
        <row r="171">
          <cell r="D171">
            <v>34.417142857142856</v>
          </cell>
          <cell r="G171">
            <v>66.343951345999997</v>
          </cell>
          <cell r="AC171">
            <v>188.8</v>
          </cell>
        </row>
        <row r="172">
          <cell r="D172">
            <v>28.436500000000002</v>
          </cell>
          <cell r="G172">
            <v>66.281773322199996</v>
          </cell>
          <cell r="AC172">
            <v>188</v>
          </cell>
        </row>
        <row r="173">
          <cell r="D173">
            <v>29.585714285714289</v>
          </cell>
          <cell r="G173">
            <v>65.892787605600006</v>
          </cell>
          <cell r="AC173">
            <v>188.6</v>
          </cell>
        </row>
        <row r="174">
          <cell r="D174">
            <v>29.609473684210528</v>
          </cell>
          <cell r="G174">
            <v>65.826630188300001</v>
          </cell>
          <cell r="AC174">
            <v>188.4</v>
          </cell>
        </row>
        <row r="175">
          <cell r="D175">
            <v>27.244545454545456</v>
          </cell>
          <cell r="G175">
            <v>65.958945022899997</v>
          </cell>
          <cell r="AC175">
            <v>187.2</v>
          </cell>
        </row>
        <row r="176">
          <cell r="D176">
            <v>27.49</v>
          </cell>
          <cell r="G176">
            <v>66.554361778399993</v>
          </cell>
          <cell r="AC176">
            <v>185.6</v>
          </cell>
        </row>
        <row r="177">
          <cell r="D177">
            <v>28.629090909090909</v>
          </cell>
          <cell r="G177">
            <v>66.818991447499997</v>
          </cell>
          <cell r="AC177">
            <v>185.7</v>
          </cell>
        </row>
        <row r="178">
          <cell r="D178">
            <v>27.599047619047617</v>
          </cell>
          <cell r="G178">
            <v>67.017463699299995</v>
          </cell>
          <cell r="AC178">
            <v>185.7</v>
          </cell>
        </row>
        <row r="179">
          <cell r="D179">
            <v>26.424761904761901</v>
          </cell>
          <cell r="G179">
            <v>67.282093368399998</v>
          </cell>
          <cell r="AC179">
            <v>186</v>
          </cell>
        </row>
        <row r="180">
          <cell r="D180">
            <v>27.373913043478261</v>
          </cell>
          <cell r="G180">
            <v>67.480565620199997</v>
          </cell>
          <cell r="AC180">
            <v>187.2</v>
          </cell>
        </row>
        <row r="181">
          <cell r="D181">
            <v>26.199473684210524</v>
          </cell>
          <cell r="G181">
            <v>67.612880454700004</v>
          </cell>
          <cell r="AC181">
            <v>187.3</v>
          </cell>
        </row>
        <row r="182">
          <cell r="D182">
            <v>22.169565217391305</v>
          </cell>
          <cell r="G182">
            <v>67.679037871999995</v>
          </cell>
          <cell r="AC182">
            <v>185.6</v>
          </cell>
        </row>
        <row r="183">
          <cell r="D183">
            <v>19.634999999999998</v>
          </cell>
          <cell r="G183">
            <v>67.282093368399998</v>
          </cell>
          <cell r="AC183">
            <v>184.5</v>
          </cell>
        </row>
        <row r="184">
          <cell r="D184">
            <v>19.388947368421054</v>
          </cell>
          <cell r="G184">
            <v>67.215935951099993</v>
          </cell>
          <cell r="AC184">
            <v>188.3</v>
          </cell>
        </row>
        <row r="185">
          <cell r="D185">
            <v>19.714761904761907</v>
          </cell>
          <cell r="G185">
            <v>67.943667541099998</v>
          </cell>
          <cell r="AC185">
            <v>194.1</v>
          </cell>
        </row>
        <row r="186">
          <cell r="D186">
            <v>20.723684210526315</v>
          </cell>
          <cell r="G186">
            <v>68.472926879300005</v>
          </cell>
          <cell r="AC186">
            <v>196.6</v>
          </cell>
        </row>
        <row r="187">
          <cell r="D187">
            <v>24.530999999999999</v>
          </cell>
          <cell r="G187">
            <v>68.803713965699998</v>
          </cell>
          <cell r="AC187">
            <v>197.6</v>
          </cell>
        </row>
        <row r="188">
          <cell r="D188">
            <v>26.179090909090917</v>
          </cell>
          <cell r="G188">
            <v>69.862232642099997</v>
          </cell>
          <cell r="AC188">
            <v>199.8</v>
          </cell>
        </row>
        <row r="189">
          <cell r="D189">
            <v>27.041363636363641</v>
          </cell>
          <cell r="G189">
            <v>70.523806814799997</v>
          </cell>
          <cell r="AC189">
            <v>201.6</v>
          </cell>
        </row>
        <row r="190">
          <cell r="D190">
            <v>25.5185</v>
          </cell>
          <cell r="G190">
            <v>71.450010656700002</v>
          </cell>
          <cell r="AC190">
            <v>198.8</v>
          </cell>
        </row>
        <row r="191">
          <cell r="D191">
            <v>26.966190476190473</v>
          </cell>
          <cell r="G191">
            <v>71.913112577600003</v>
          </cell>
          <cell r="AC191">
            <v>196.4</v>
          </cell>
        </row>
        <row r="192">
          <cell r="D192">
            <v>28.385000000000005</v>
          </cell>
          <cell r="G192">
            <v>71.6484829085</v>
          </cell>
          <cell r="AC192">
            <v>196.6</v>
          </cell>
        </row>
        <row r="193">
          <cell r="D193">
            <v>29.663499999999999</v>
          </cell>
          <cell r="G193">
            <v>71.913112577600003</v>
          </cell>
          <cell r="AC193">
            <v>196.3</v>
          </cell>
        </row>
        <row r="194">
          <cell r="D194">
            <v>28.836521739130436</v>
          </cell>
          <cell r="G194">
            <v>72.376214498500005</v>
          </cell>
          <cell r="AC194">
            <v>194.6</v>
          </cell>
        </row>
        <row r="195">
          <cell r="D195">
            <v>26.352105263157895</v>
          </cell>
          <cell r="G195">
            <v>71.780797743099996</v>
          </cell>
          <cell r="AC195">
            <v>192.7</v>
          </cell>
        </row>
        <row r="196">
          <cell r="D196">
            <v>29.460952380952378</v>
          </cell>
          <cell r="G196">
            <v>71.582325491199995</v>
          </cell>
          <cell r="AC196">
            <v>193</v>
          </cell>
        </row>
        <row r="197">
          <cell r="D197">
            <v>32.94714285714285</v>
          </cell>
          <cell r="G197">
            <v>71.715963474099993</v>
          </cell>
          <cell r="AC197">
            <v>193.6</v>
          </cell>
        </row>
        <row r="198">
          <cell r="D198">
            <v>35.828421052631583</v>
          </cell>
          <cell r="G198">
            <v>71.998587960699993</v>
          </cell>
          <cell r="AC198">
            <v>192.7</v>
          </cell>
        </row>
        <row r="199">
          <cell r="D199">
            <v>33.513333333333335</v>
          </cell>
          <cell r="G199">
            <v>72.139900204</v>
          </cell>
          <cell r="AC199">
            <v>188.2</v>
          </cell>
        </row>
        <row r="200">
          <cell r="D200">
            <v>28.170476190476197</v>
          </cell>
          <cell r="G200">
            <v>71.998587960699993</v>
          </cell>
          <cell r="AC200">
            <v>184.8</v>
          </cell>
        </row>
        <row r="201">
          <cell r="D201">
            <v>28.108571428571423</v>
          </cell>
          <cell r="G201">
            <v>71.645307352499998</v>
          </cell>
          <cell r="AC201">
            <v>183.8</v>
          </cell>
        </row>
        <row r="202">
          <cell r="D202">
            <v>30.662380952380946</v>
          </cell>
          <cell r="G202">
            <v>71.221370622600006</v>
          </cell>
          <cell r="AC202">
            <v>181.8</v>
          </cell>
        </row>
        <row r="203">
          <cell r="D203">
            <v>30.754545454545454</v>
          </cell>
          <cell r="G203">
            <v>70.726777771000002</v>
          </cell>
          <cell r="AC203">
            <v>183.4</v>
          </cell>
        </row>
        <row r="204">
          <cell r="D204">
            <v>31.573809523809516</v>
          </cell>
          <cell r="G204">
            <v>70.868090014299995</v>
          </cell>
          <cell r="AC204">
            <v>185.9</v>
          </cell>
        </row>
        <row r="205">
          <cell r="D205">
            <v>28.311428571428575</v>
          </cell>
          <cell r="G205">
            <v>70.514809406099999</v>
          </cell>
          <cell r="AC205">
            <v>183.7</v>
          </cell>
        </row>
        <row r="206">
          <cell r="D206">
            <v>30.338260869565222</v>
          </cell>
          <cell r="G206">
            <v>70.514809406099999</v>
          </cell>
          <cell r="AC206">
            <v>182.8</v>
          </cell>
        </row>
        <row r="207">
          <cell r="D207">
            <v>31.108333333333334</v>
          </cell>
          <cell r="G207">
            <v>70.373497162800007</v>
          </cell>
          <cell r="AC207">
            <v>182.6</v>
          </cell>
        </row>
        <row r="208">
          <cell r="D208">
            <v>32.129047619047618</v>
          </cell>
          <cell r="G208">
            <v>70.2321849195</v>
          </cell>
          <cell r="AC208">
            <v>181.2</v>
          </cell>
        </row>
        <row r="209">
          <cell r="D209">
            <v>34.31</v>
          </cell>
          <cell r="G209">
            <v>70.090872676199993</v>
          </cell>
          <cell r="AC209">
            <v>182</v>
          </cell>
        </row>
        <row r="210">
          <cell r="D210">
            <v>34.684736842105259</v>
          </cell>
          <cell r="G210">
            <v>70.2321849195</v>
          </cell>
          <cell r="AC210">
            <v>183.7</v>
          </cell>
        </row>
        <row r="211">
          <cell r="D211">
            <v>36.741304347826073</v>
          </cell>
          <cell r="G211">
            <v>70.161528797800003</v>
          </cell>
          <cell r="AC211">
            <v>184.9</v>
          </cell>
        </row>
        <row r="212">
          <cell r="D212">
            <v>36.75</v>
          </cell>
          <cell r="G212">
            <v>70.938746136000006</v>
          </cell>
          <cell r="AC212">
            <v>186.6</v>
          </cell>
        </row>
        <row r="213">
          <cell r="D213">
            <v>40.274999999999999</v>
          </cell>
          <cell r="G213">
            <v>71.221370622600006</v>
          </cell>
          <cell r="AC213">
            <v>187.6</v>
          </cell>
        </row>
        <row r="214">
          <cell r="D214">
            <v>38.025238095238088</v>
          </cell>
          <cell r="G214">
            <v>71.221370622600006</v>
          </cell>
          <cell r="AC214">
            <v>186.6</v>
          </cell>
        </row>
        <row r="215">
          <cell r="D215">
            <v>40.778095238095254</v>
          </cell>
          <cell r="G215">
            <v>71.080058379299999</v>
          </cell>
          <cell r="AC215">
            <v>187.2</v>
          </cell>
        </row>
        <row r="216">
          <cell r="D216">
            <v>44.903181818181821</v>
          </cell>
          <cell r="G216">
            <v>71.221370622600006</v>
          </cell>
          <cell r="AC216">
            <v>185.7</v>
          </cell>
        </row>
        <row r="217">
          <cell r="D217">
            <v>45.93571428571429</v>
          </cell>
          <cell r="G217">
            <v>71.080058379299999</v>
          </cell>
          <cell r="AC217">
            <v>182.4</v>
          </cell>
        </row>
        <row r="218">
          <cell r="D218">
            <v>53.280476190476186</v>
          </cell>
          <cell r="G218">
            <v>71.080058379299999</v>
          </cell>
          <cell r="AC218">
            <v>182</v>
          </cell>
        </row>
        <row r="219">
          <cell r="D219">
            <v>48.469000000000001</v>
          </cell>
          <cell r="G219">
            <v>71.009402257600001</v>
          </cell>
          <cell r="AC219">
            <v>180.4</v>
          </cell>
        </row>
        <row r="220">
          <cell r="D220">
            <v>43.149523809523807</v>
          </cell>
          <cell r="G220">
            <v>71.080058379299999</v>
          </cell>
          <cell r="AC220">
            <v>178.8</v>
          </cell>
        </row>
        <row r="221">
          <cell r="D221">
            <v>46.836999999999982</v>
          </cell>
          <cell r="G221">
            <v>70.656121649400006</v>
          </cell>
          <cell r="AC221">
            <v>178.6</v>
          </cell>
        </row>
        <row r="222">
          <cell r="D222">
            <v>48.148947368421055</v>
          </cell>
          <cell r="G222">
            <v>70.797433892699999</v>
          </cell>
          <cell r="AC222">
            <v>179.5</v>
          </cell>
        </row>
        <row r="223">
          <cell r="D223">
            <v>54.186818181818175</v>
          </cell>
          <cell r="G223">
            <v>70.656121649400006</v>
          </cell>
          <cell r="AC223">
            <v>182.2</v>
          </cell>
        </row>
        <row r="224">
          <cell r="D224">
            <v>52.979047619047627</v>
          </cell>
          <cell r="G224">
            <v>71.150714500899994</v>
          </cell>
          <cell r="AC224">
            <v>182.5</v>
          </cell>
        </row>
        <row r="225">
          <cell r="D225">
            <v>49.833809523809521</v>
          </cell>
          <cell r="G225">
            <v>71.362682865899998</v>
          </cell>
          <cell r="AC225">
            <v>183.1</v>
          </cell>
        </row>
        <row r="226">
          <cell r="D226">
            <v>56.352272727272727</v>
          </cell>
          <cell r="G226">
            <v>71.433338987499994</v>
          </cell>
          <cell r="AC226">
            <v>185.6</v>
          </cell>
        </row>
        <row r="227">
          <cell r="D227">
            <v>58.995500000000007</v>
          </cell>
          <cell r="G227">
            <v>72.210556325699997</v>
          </cell>
          <cell r="AC227">
            <v>185.7</v>
          </cell>
        </row>
        <row r="228">
          <cell r="D228">
            <v>64.985217391304346</v>
          </cell>
          <cell r="G228">
            <v>72.351868569000004</v>
          </cell>
          <cell r="AC228">
            <v>185.4</v>
          </cell>
        </row>
        <row r="229">
          <cell r="D229">
            <v>65.586666666666673</v>
          </cell>
          <cell r="G229">
            <v>72.4225246906</v>
          </cell>
          <cell r="AC229">
            <v>187.1</v>
          </cell>
        </row>
        <row r="230">
          <cell r="D230">
            <v>62.259999999999977</v>
          </cell>
          <cell r="G230">
            <v>72.987773663799999</v>
          </cell>
          <cell r="AC230">
            <v>189</v>
          </cell>
        </row>
        <row r="231">
          <cell r="D231">
            <v>58.322499999999991</v>
          </cell>
          <cell r="G231">
            <v>72.917117542200003</v>
          </cell>
          <cell r="AC231">
            <v>187.3</v>
          </cell>
        </row>
        <row r="232">
          <cell r="D232">
            <v>59.411904761904758</v>
          </cell>
          <cell r="G232">
            <v>72.775805298899996</v>
          </cell>
          <cell r="AC232">
            <v>186.7</v>
          </cell>
        </row>
        <row r="233">
          <cell r="D233">
            <v>65.484999999999985</v>
          </cell>
          <cell r="G233">
            <v>72.563836933900006</v>
          </cell>
          <cell r="AC233">
            <v>188.2</v>
          </cell>
        </row>
        <row r="234">
          <cell r="D234">
            <v>61.631052631578939</v>
          </cell>
          <cell r="G234">
            <v>72.987773663799999</v>
          </cell>
          <cell r="AC234">
            <v>189.2</v>
          </cell>
        </row>
        <row r="235">
          <cell r="D235">
            <v>62.685217391304356</v>
          </cell>
          <cell r="G235">
            <v>73.199742028800003</v>
          </cell>
          <cell r="AC235">
            <v>190.1</v>
          </cell>
        </row>
        <row r="236">
          <cell r="D236">
            <v>69.443684210526314</v>
          </cell>
          <cell r="G236">
            <v>73.835647123599998</v>
          </cell>
          <cell r="AC236">
            <v>187.2</v>
          </cell>
        </row>
        <row r="237">
          <cell r="D237">
            <v>70.844090909090909</v>
          </cell>
          <cell r="G237">
            <v>73.835647123599998</v>
          </cell>
          <cell r="AC237">
            <v>185.4</v>
          </cell>
        </row>
        <row r="238">
          <cell r="D238">
            <v>70.950909090909107</v>
          </cell>
          <cell r="G238">
            <v>73.906303245299995</v>
          </cell>
          <cell r="AC238">
            <v>185.4</v>
          </cell>
        </row>
        <row r="239">
          <cell r="D239">
            <v>74.41105263157894</v>
          </cell>
          <cell r="G239">
            <v>73.976959366900005</v>
          </cell>
          <cell r="AC239">
            <v>186.2</v>
          </cell>
        </row>
        <row r="240">
          <cell r="D240">
            <v>73.043043478260884</v>
          </cell>
          <cell r="G240">
            <v>73.976959366900005</v>
          </cell>
          <cell r="AC240">
            <v>186.5</v>
          </cell>
        </row>
        <row r="241">
          <cell r="D241">
            <v>63.798000000000016</v>
          </cell>
          <cell r="G241">
            <v>73.341054272099996</v>
          </cell>
          <cell r="AC241">
            <v>183.4</v>
          </cell>
        </row>
        <row r="242">
          <cell r="D242">
            <v>58.893181818181809</v>
          </cell>
          <cell r="G242">
            <v>72.846461420500006</v>
          </cell>
          <cell r="AC242">
            <v>182.4</v>
          </cell>
        </row>
        <row r="243">
          <cell r="D243">
            <v>59.082499999999996</v>
          </cell>
          <cell r="G243">
            <v>72.705149177199999</v>
          </cell>
          <cell r="AC243">
            <v>180.2</v>
          </cell>
        </row>
        <row r="244">
          <cell r="D244">
            <v>61.958999999999989</v>
          </cell>
          <cell r="G244">
            <v>72.705149177199999</v>
          </cell>
          <cell r="AC244">
            <v>178.6</v>
          </cell>
        </row>
        <row r="245">
          <cell r="D245">
            <v>54.506190476190483</v>
          </cell>
          <cell r="G245">
            <v>72.607643729299994</v>
          </cell>
          <cell r="AC245">
            <v>179.7</v>
          </cell>
        </row>
        <row r="246">
          <cell r="D246">
            <v>59.278947368421051</v>
          </cell>
          <cell r="G246">
            <v>72.387620566500004</v>
          </cell>
          <cell r="AC246">
            <v>179.7</v>
          </cell>
        </row>
        <row r="247">
          <cell r="D247">
            <v>60.441818181818185</v>
          </cell>
          <cell r="G247">
            <v>72.534302675099994</v>
          </cell>
          <cell r="AC247">
            <v>178.5</v>
          </cell>
        </row>
        <row r="248">
          <cell r="D248">
            <v>63.976999999999997</v>
          </cell>
          <cell r="G248">
            <v>72.9010079464</v>
          </cell>
          <cell r="AC248">
            <v>177.3</v>
          </cell>
        </row>
        <row r="249">
          <cell r="D249">
            <v>63.454545454545453</v>
          </cell>
          <cell r="G249">
            <v>72.9010079464</v>
          </cell>
          <cell r="AC249">
            <v>180.1</v>
          </cell>
        </row>
        <row r="250">
          <cell r="D250">
            <v>67.489047619047611</v>
          </cell>
          <cell r="G250">
            <v>73.414395326299996</v>
          </cell>
          <cell r="AC250">
            <v>184.5</v>
          </cell>
        </row>
        <row r="251">
          <cell r="D251">
            <v>74.117619047619044</v>
          </cell>
          <cell r="G251">
            <v>74.221146923299997</v>
          </cell>
          <cell r="AC251">
            <v>187.4</v>
          </cell>
        </row>
        <row r="252">
          <cell r="D252">
            <v>72.356086956521736</v>
          </cell>
          <cell r="G252">
            <v>74.734534303199993</v>
          </cell>
          <cell r="AC252">
            <v>186.3</v>
          </cell>
        </row>
        <row r="253">
          <cell r="D253">
            <v>79.914736842105242</v>
          </cell>
          <cell r="G253">
            <v>74.367829031900001</v>
          </cell>
          <cell r="AC253">
            <v>184.1</v>
          </cell>
        </row>
        <row r="254">
          <cell r="D254">
            <v>85.798695652173905</v>
          </cell>
          <cell r="G254">
            <v>74.441170086100001</v>
          </cell>
          <cell r="AC254">
            <v>183.1</v>
          </cell>
        </row>
        <row r="255">
          <cell r="D255">
            <v>94.772380952380956</v>
          </cell>
          <cell r="G255">
            <v>74.734534303199993</v>
          </cell>
          <cell r="AC255">
            <v>183.3</v>
          </cell>
        </row>
        <row r="256">
          <cell r="D256">
            <v>91.687000000000012</v>
          </cell>
          <cell r="G256">
            <v>75.174580628900003</v>
          </cell>
          <cell r="AC256">
            <v>184.3</v>
          </cell>
        </row>
        <row r="257">
          <cell r="D257">
            <v>92.970476190476205</v>
          </cell>
          <cell r="G257">
            <v>75.174580628900003</v>
          </cell>
          <cell r="AC257">
            <v>185.3</v>
          </cell>
        </row>
        <row r="258">
          <cell r="D258">
            <v>95.385999999999981</v>
          </cell>
          <cell r="G258">
            <v>75.027898520299999</v>
          </cell>
          <cell r="AC258">
            <v>187.6</v>
          </cell>
        </row>
        <row r="259">
          <cell r="D259">
            <v>105.45399999999999</v>
          </cell>
          <cell r="G259">
            <v>75.247921683100003</v>
          </cell>
          <cell r="AC259">
            <v>189.6</v>
          </cell>
        </row>
        <row r="260">
          <cell r="D260">
            <v>112.58045454545453</v>
          </cell>
          <cell r="G260">
            <v>76.348037497199996</v>
          </cell>
          <cell r="AC260">
            <v>190</v>
          </cell>
        </row>
        <row r="261">
          <cell r="D261">
            <v>125.39761904761905</v>
          </cell>
          <cell r="G261">
            <v>76.861424877100006</v>
          </cell>
          <cell r="AC261">
            <v>191.4</v>
          </cell>
        </row>
        <row r="262">
          <cell r="D262">
            <v>133.88</v>
          </cell>
          <cell r="G262">
            <v>76.934765931399994</v>
          </cell>
          <cell r="AC262">
            <v>195.5</v>
          </cell>
        </row>
        <row r="263">
          <cell r="D263">
            <v>133.37090909090909</v>
          </cell>
          <cell r="G263">
            <v>77.814858582699998</v>
          </cell>
          <cell r="AC263">
            <v>199.3</v>
          </cell>
        </row>
        <row r="264">
          <cell r="D264">
            <v>116.66619047619049</v>
          </cell>
          <cell r="G264">
            <v>78.474928071099995</v>
          </cell>
          <cell r="AC264">
            <v>201.7</v>
          </cell>
        </row>
        <row r="265">
          <cell r="D265">
            <v>104.1142857142857</v>
          </cell>
          <cell r="G265">
            <v>78.474928071099995</v>
          </cell>
          <cell r="AC265">
            <v>203.6</v>
          </cell>
        </row>
        <row r="266">
          <cell r="D266">
            <v>76.608695652173907</v>
          </cell>
          <cell r="G266">
            <v>78.548269125399997</v>
          </cell>
          <cell r="AC266">
            <v>203.4</v>
          </cell>
        </row>
        <row r="267">
          <cell r="D267">
            <v>57.309473684210523</v>
          </cell>
          <cell r="G267">
            <v>78.108222799700002</v>
          </cell>
          <cell r="AC267">
            <v>202.8</v>
          </cell>
        </row>
        <row r="268">
          <cell r="D268">
            <v>41.121818181818178</v>
          </cell>
          <cell r="G268">
            <v>78.034881745500002</v>
          </cell>
          <cell r="AC268">
            <v>203.8</v>
          </cell>
        </row>
        <row r="269">
          <cell r="D269">
            <v>41.71</v>
          </cell>
          <cell r="G269">
            <v>77.621018176199996</v>
          </cell>
          <cell r="AC269">
            <v>204.3</v>
          </cell>
        </row>
        <row r="270">
          <cell r="D270">
            <v>39.087368421052631</v>
          </cell>
          <cell r="G270">
            <v>77.543936728199995</v>
          </cell>
          <cell r="AC270">
            <v>207.1</v>
          </cell>
        </row>
        <row r="271">
          <cell r="D271">
            <v>47.939090909090915</v>
          </cell>
          <cell r="G271">
            <v>77.929343968400005</v>
          </cell>
          <cell r="AC271">
            <v>209.9</v>
          </cell>
        </row>
        <row r="272">
          <cell r="D272">
            <v>49.646666666666661</v>
          </cell>
          <cell r="G272">
            <v>78.700158448799996</v>
          </cell>
          <cell r="AC272">
            <v>212.5</v>
          </cell>
        </row>
        <row r="273">
          <cell r="D273">
            <v>59.028499999999994</v>
          </cell>
          <cell r="G273">
            <v>79.008484240900003</v>
          </cell>
          <cell r="AC273">
            <v>215.5</v>
          </cell>
        </row>
        <row r="274">
          <cell r="D274">
            <v>69.640909090909091</v>
          </cell>
          <cell r="G274">
            <v>79.702217273299993</v>
          </cell>
          <cell r="AC274">
            <v>220.6</v>
          </cell>
        </row>
        <row r="275">
          <cell r="D275">
            <v>64.152272727272731</v>
          </cell>
          <cell r="G275">
            <v>80.5501132017</v>
          </cell>
          <cell r="AC275">
            <v>225.3</v>
          </cell>
        </row>
        <row r="276">
          <cell r="D276">
            <v>71.044761904761899</v>
          </cell>
          <cell r="G276">
            <v>80.935520441899996</v>
          </cell>
          <cell r="AC276">
            <v>228.1</v>
          </cell>
        </row>
        <row r="277">
          <cell r="D277">
            <v>69.408095238095243</v>
          </cell>
          <cell r="G277">
            <v>80.704276097800005</v>
          </cell>
          <cell r="AC277">
            <v>231.9</v>
          </cell>
        </row>
        <row r="278">
          <cell r="D278">
            <v>75.71545454545452</v>
          </cell>
          <cell r="G278">
            <v>80.858438993899995</v>
          </cell>
          <cell r="AC278">
            <v>237.1</v>
          </cell>
        </row>
        <row r="279">
          <cell r="D279">
            <v>77.989999999999995</v>
          </cell>
          <cell r="G279">
            <v>81.089683338</v>
          </cell>
          <cell r="AC279">
            <v>239.7</v>
          </cell>
        </row>
        <row r="280">
          <cell r="D280">
            <v>74.47</v>
          </cell>
          <cell r="G280">
            <v>81.089683338</v>
          </cell>
          <cell r="AC280">
            <v>244.3</v>
          </cell>
        </row>
        <row r="281">
          <cell r="D281">
            <v>78.32578947368421</v>
          </cell>
          <cell r="G281">
            <v>80.5501132017</v>
          </cell>
          <cell r="AC281">
            <v>247.1</v>
          </cell>
        </row>
        <row r="282">
          <cell r="D282">
            <v>76.387368421052642</v>
          </cell>
          <cell r="G282">
            <v>80.318868857599995</v>
          </cell>
          <cell r="AC282">
            <v>250.5</v>
          </cell>
        </row>
        <row r="283">
          <cell r="D283">
            <v>81.203478260869574</v>
          </cell>
          <cell r="G283">
            <v>80.395950305699998</v>
          </cell>
          <cell r="AC283">
            <v>251.1</v>
          </cell>
        </row>
        <row r="284">
          <cell r="D284">
            <v>84.292857142857144</v>
          </cell>
          <cell r="G284">
            <v>81.089683338</v>
          </cell>
          <cell r="AC284">
            <v>254.6</v>
          </cell>
        </row>
        <row r="285">
          <cell r="D285">
            <v>73.743499999999997</v>
          </cell>
          <cell r="G285">
            <v>81.398009130199995</v>
          </cell>
          <cell r="AC285">
            <v>259.5</v>
          </cell>
        </row>
        <row r="286">
          <cell r="D286">
            <v>75.335909090909098</v>
          </cell>
          <cell r="G286">
            <v>81.6292534743</v>
          </cell>
          <cell r="AC286">
            <v>260.3</v>
          </cell>
        </row>
        <row r="287">
          <cell r="D287">
            <v>76.319523809523801</v>
          </cell>
          <cell r="G287">
            <v>82.014660714499996</v>
          </cell>
          <cell r="AC287">
            <v>263.7</v>
          </cell>
        </row>
        <row r="288">
          <cell r="D288">
            <v>76.599090909090918</v>
          </cell>
          <cell r="G288">
            <v>82.400067954700006</v>
          </cell>
          <cell r="AC288">
            <v>267.2</v>
          </cell>
        </row>
        <row r="289">
          <cell r="D289">
            <v>75.241904761904763</v>
          </cell>
          <cell r="G289">
            <v>82.631312298799998</v>
          </cell>
          <cell r="AC289">
            <v>268.10000000000002</v>
          </cell>
        </row>
        <row r="290">
          <cell r="D290">
            <v>81.892857142857153</v>
          </cell>
          <cell r="G290">
            <v>82.862556642900003</v>
          </cell>
          <cell r="AC290">
            <v>271.2</v>
          </cell>
        </row>
        <row r="291">
          <cell r="D291">
            <v>84.252857142857138</v>
          </cell>
          <cell r="G291">
            <v>82.939638091000006</v>
          </cell>
          <cell r="AC291">
            <v>275.3</v>
          </cell>
        </row>
        <row r="292">
          <cell r="D292">
            <v>89.145909090909086</v>
          </cell>
          <cell r="G292">
            <v>83.247963883099999</v>
          </cell>
          <cell r="AC292">
            <v>278.7</v>
          </cell>
        </row>
        <row r="293">
          <cell r="D293">
            <v>89.170500000000004</v>
          </cell>
          <cell r="G293">
            <v>83.419084697800002</v>
          </cell>
          <cell r="AC293">
            <v>282</v>
          </cell>
        </row>
        <row r="294">
          <cell r="D294">
            <v>88.578421052631569</v>
          </cell>
          <cell r="G294">
            <v>83.664434946900002</v>
          </cell>
          <cell r="AC294">
            <v>284.7</v>
          </cell>
        </row>
        <row r="295">
          <cell r="D295">
            <v>102.85652173913044</v>
          </cell>
          <cell r="G295">
            <v>83.828001779600001</v>
          </cell>
          <cell r="AC295">
            <v>288.3</v>
          </cell>
        </row>
        <row r="296">
          <cell r="D296">
            <v>109.5325</v>
          </cell>
          <cell r="G296">
            <v>84.318702277900002</v>
          </cell>
          <cell r="AC296">
            <v>290</v>
          </cell>
        </row>
        <row r="297">
          <cell r="D297">
            <v>100.90047619047618</v>
          </cell>
          <cell r="G297">
            <v>84.7276193597</v>
          </cell>
          <cell r="AC297">
            <v>291.60000000000002</v>
          </cell>
        </row>
        <row r="298">
          <cell r="D298">
            <v>96.264090909090925</v>
          </cell>
          <cell r="G298">
            <v>85.0547530252</v>
          </cell>
          <cell r="AC298">
            <v>293.8</v>
          </cell>
        </row>
        <row r="299">
          <cell r="D299">
            <v>97.3035</v>
          </cell>
          <cell r="G299">
            <v>84.809402776100001</v>
          </cell>
          <cell r="AC299">
            <v>294.39999999999998</v>
          </cell>
        </row>
        <row r="300">
          <cell r="D300">
            <v>86.333043478260862</v>
          </cell>
          <cell r="G300">
            <v>85.218319857899999</v>
          </cell>
          <cell r="AC300">
            <v>293.39999999999998</v>
          </cell>
        </row>
        <row r="301">
          <cell r="D301">
            <v>85.515238095238118</v>
          </cell>
          <cell r="G301">
            <v>85.0547530252</v>
          </cell>
          <cell r="AC301">
            <v>290.7</v>
          </cell>
        </row>
        <row r="302">
          <cell r="D302">
            <v>86.322380952380954</v>
          </cell>
          <cell r="G302">
            <v>85.136536441600001</v>
          </cell>
          <cell r="AC302">
            <v>289.60000000000002</v>
          </cell>
        </row>
        <row r="303">
          <cell r="D303">
            <v>97.160476190476189</v>
          </cell>
          <cell r="G303">
            <v>85.0547530252</v>
          </cell>
          <cell r="AC303">
            <v>290.10000000000002</v>
          </cell>
        </row>
        <row r="304">
          <cell r="D304">
            <v>98.562857142857155</v>
          </cell>
          <cell r="G304">
            <v>85.0547530252</v>
          </cell>
          <cell r="AC304">
            <v>289.8</v>
          </cell>
        </row>
        <row r="305">
          <cell r="D305">
            <v>100.2735</v>
          </cell>
          <cell r="G305">
            <v>85.0547530252</v>
          </cell>
          <cell r="AC305">
            <v>290.10000000000002</v>
          </cell>
        </row>
        <row r="306">
          <cell r="D306">
            <v>102.20399999999999</v>
          </cell>
          <cell r="G306">
            <v>85.0547530252</v>
          </cell>
          <cell r="AC306">
            <v>290.5</v>
          </cell>
        </row>
        <row r="307">
          <cell r="D307">
            <v>106.15772727272726</v>
          </cell>
          <cell r="G307">
            <v>85.3818866907</v>
          </cell>
          <cell r="AC307">
            <v>293.39999999999998</v>
          </cell>
        </row>
        <row r="308">
          <cell r="D308">
            <v>103.321</v>
          </cell>
          <cell r="G308">
            <v>86.117937437999998</v>
          </cell>
          <cell r="AC308">
            <v>294.60000000000002</v>
          </cell>
        </row>
        <row r="309">
          <cell r="D309">
            <v>94.057500000000005</v>
          </cell>
          <cell r="G309">
            <v>86.117937437999998</v>
          </cell>
          <cell r="AC309">
            <v>294.39999999999998</v>
          </cell>
        </row>
        <row r="310">
          <cell r="D310">
            <v>84.383571428571429</v>
          </cell>
          <cell r="G310">
            <v>85.872587188899999</v>
          </cell>
          <cell r="AC310">
            <v>296.2</v>
          </cell>
        </row>
        <row r="311">
          <cell r="D311">
            <v>87.349285714285699</v>
          </cell>
          <cell r="G311">
            <v>85.954370605299999</v>
          </cell>
          <cell r="AC311">
            <v>298.3</v>
          </cell>
        </row>
        <row r="312">
          <cell r="D312">
            <v>93.196956521739125</v>
          </cell>
          <cell r="G312">
            <v>86.853988185299997</v>
          </cell>
          <cell r="AC312">
            <v>300.39999999999998</v>
          </cell>
        </row>
        <row r="313">
          <cell r="D313">
            <v>95.534736842105275</v>
          </cell>
          <cell r="G313">
            <v>86.853988185299997</v>
          </cell>
          <cell r="AC313">
            <v>302.60000000000002</v>
          </cell>
        </row>
        <row r="314">
          <cell r="D314">
            <v>92.001379310344831</v>
          </cell>
          <cell r="G314">
            <v>86.690421352599998</v>
          </cell>
          <cell r="AC314">
            <v>305.8</v>
          </cell>
        </row>
        <row r="315">
          <cell r="D315">
            <v>92.795238095238091</v>
          </cell>
          <cell r="G315">
            <v>86.281504270699998</v>
          </cell>
          <cell r="AC315">
            <v>309.7</v>
          </cell>
        </row>
        <row r="316">
          <cell r="D316">
            <v>94.096499999999992</v>
          </cell>
          <cell r="G316">
            <v>86.445071103499998</v>
          </cell>
          <cell r="AC316">
            <v>315</v>
          </cell>
        </row>
        <row r="317">
          <cell r="D317">
            <v>95.160476190476189</v>
          </cell>
          <cell r="G317">
            <v>86.294262483699995</v>
          </cell>
          <cell r="AC317">
            <v>319</v>
          </cell>
        </row>
        <row r="318">
          <cell r="D318">
            <v>100.65473684210525</v>
          </cell>
          <cell r="G318">
            <v>86.294262483699995</v>
          </cell>
          <cell r="AC318">
            <v>319.7</v>
          </cell>
        </row>
        <row r="319">
          <cell r="D319">
            <v>105.9365</v>
          </cell>
          <cell r="G319">
            <v>86.466334791700007</v>
          </cell>
          <cell r="AC319">
            <v>320</v>
          </cell>
        </row>
        <row r="320">
          <cell r="D320">
            <v>107.61090909090909</v>
          </cell>
          <cell r="G320">
            <v>86.810479407800003</v>
          </cell>
          <cell r="AC320">
            <v>319.5</v>
          </cell>
        </row>
        <row r="321">
          <cell r="D321">
            <v>103.41772727272728</v>
          </cell>
          <cell r="G321">
            <v>86.896515561900003</v>
          </cell>
          <cell r="AC321">
            <v>322.60000000000002</v>
          </cell>
        </row>
        <row r="322">
          <cell r="D322">
            <v>96.522105263157869</v>
          </cell>
          <cell r="G322">
            <v>87.584804793999993</v>
          </cell>
          <cell r="AC322">
            <v>326.3</v>
          </cell>
        </row>
        <row r="323">
          <cell r="D323">
            <v>95.00545454545454</v>
          </cell>
          <cell r="G323">
            <v>87.842913256100005</v>
          </cell>
          <cell r="AC323">
            <v>328.4</v>
          </cell>
        </row>
        <row r="324">
          <cell r="D324">
            <v>100.99363636363638</v>
          </cell>
          <cell r="G324">
            <v>88.014985564100002</v>
          </cell>
          <cell r="AC324">
            <v>330</v>
          </cell>
        </row>
        <row r="325">
          <cell r="D325">
            <v>106.2895</v>
          </cell>
          <cell r="G325">
            <v>88.014985564100002</v>
          </cell>
          <cell r="AC325">
            <v>328.5</v>
          </cell>
        </row>
        <row r="326">
          <cell r="D326">
            <v>100.53826086956522</v>
          </cell>
          <cell r="G326">
            <v>88.273094026199999</v>
          </cell>
          <cell r="AC326">
            <v>329.9</v>
          </cell>
        </row>
        <row r="327">
          <cell r="D327">
            <v>93.863999999999976</v>
          </cell>
          <cell r="G327">
            <v>87.928949410100003</v>
          </cell>
          <cell r="AC327">
            <v>334.9</v>
          </cell>
        </row>
        <row r="328">
          <cell r="D328">
            <v>97.625238095238103</v>
          </cell>
          <cell r="G328">
            <v>88.014985564100002</v>
          </cell>
          <cell r="AC328">
            <v>338.1</v>
          </cell>
        </row>
        <row r="329">
          <cell r="D329">
            <v>94.617142857142852</v>
          </cell>
          <cell r="G329">
            <v>87.498768639999994</v>
          </cell>
          <cell r="AC329">
            <v>341.5</v>
          </cell>
        </row>
        <row r="330">
          <cell r="D330">
            <v>100.81736842105265</v>
          </cell>
          <cell r="G330">
            <v>87.326696331999997</v>
          </cell>
          <cell r="AC330">
            <v>343.6</v>
          </cell>
        </row>
        <row r="331">
          <cell r="D331">
            <v>100.80380952380953</v>
          </cell>
          <cell r="G331">
            <v>87.584804793999993</v>
          </cell>
          <cell r="AC331">
            <v>346.6</v>
          </cell>
        </row>
        <row r="332">
          <cell r="D332">
            <v>102.06904761904761</v>
          </cell>
          <cell r="G332">
            <v>87.670840948000006</v>
          </cell>
          <cell r="AC332">
            <v>348.1</v>
          </cell>
        </row>
        <row r="333">
          <cell r="D333">
            <v>102.17714285714285</v>
          </cell>
          <cell r="G333">
            <v>87.756877102100006</v>
          </cell>
          <cell r="AC333">
            <v>347.6</v>
          </cell>
        </row>
        <row r="334">
          <cell r="D334">
            <v>105.79428571428573</v>
          </cell>
          <cell r="G334">
            <v>88.014985564100002</v>
          </cell>
          <cell r="AC334">
            <v>347.8</v>
          </cell>
        </row>
        <row r="335">
          <cell r="D335">
            <v>103.58863636363635</v>
          </cell>
          <cell r="G335">
            <v>88.101021718200002</v>
          </cell>
          <cell r="AC335">
            <v>345.4</v>
          </cell>
        </row>
        <row r="336">
          <cell r="D336">
            <v>96.53619047619047</v>
          </cell>
          <cell r="G336">
            <v>88.014985564100002</v>
          </cell>
          <cell r="AC336">
            <v>345.2</v>
          </cell>
        </row>
        <row r="337">
          <cell r="D337">
            <v>93.211904761904748</v>
          </cell>
          <cell r="G337">
            <v>87.756877102100006</v>
          </cell>
          <cell r="AC337">
            <v>347.9</v>
          </cell>
        </row>
        <row r="338">
          <cell r="D338">
            <v>84.396956521739114</v>
          </cell>
          <cell r="G338">
            <v>88.014985564100002</v>
          </cell>
          <cell r="AC338">
            <v>349.3</v>
          </cell>
        </row>
        <row r="339">
          <cell r="D339">
            <v>75.954374999999999</v>
          </cell>
          <cell r="G339">
            <v>87.842913256100005</v>
          </cell>
          <cell r="AC339">
            <v>350.3</v>
          </cell>
        </row>
        <row r="340">
          <cell r="D340">
            <v>59.290454545454551</v>
          </cell>
          <cell r="G340">
            <v>87.842913256100005</v>
          </cell>
          <cell r="AC340">
            <v>352.5</v>
          </cell>
        </row>
        <row r="341">
          <cell r="D341">
            <v>47.219000000000001</v>
          </cell>
          <cell r="G341">
            <v>87.054822085200001</v>
          </cell>
          <cell r="AC341">
            <v>354.8</v>
          </cell>
        </row>
        <row r="342">
          <cell r="D342">
            <v>50.688000000000002</v>
          </cell>
          <cell r="G342">
            <v>86.440523945500004</v>
          </cell>
          <cell r="AC342">
            <v>358.3</v>
          </cell>
        </row>
        <row r="343">
          <cell r="D343">
            <v>47.409090909090907</v>
          </cell>
          <cell r="G343">
            <v>86.703794576799993</v>
          </cell>
          <cell r="AC343">
            <v>360.6</v>
          </cell>
        </row>
        <row r="344">
          <cell r="D344">
            <v>54.452857142857134</v>
          </cell>
          <cell r="G344">
            <v>87.2303358395</v>
          </cell>
          <cell r="AC344">
            <v>361.5</v>
          </cell>
        </row>
        <row r="345">
          <cell r="D345">
            <v>59.24666666666667</v>
          </cell>
          <cell r="G345">
            <v>87.405849593699998</v>
          </cell>
          <cell r="AC345">
            <v>364.5</v>
          </cell>
        </row>
        <row r="346">
          <cell r="D346">
            <v>59.819545454545441</v>
          </cell>
          <cell r="G346">
            <v>87.669120225</v>
          </cell>
          <cell r="AC346">
            <v>368.3</v>
          </cell>
        </row>
        <row r="347">
          <cell r="D347">
            <v>50.900909090909089</v>
          </cell>
          <cell r="G347">
            <v>87.844633979199997</v>
          </cell>
          <cell r="AC347">
            <v>369.2</v>
          </cell>
        </row>
        <row r="348">
          <cell r="D348">
            <v>42.867619047619051</v>
          </cell>
          <cell r="G348">
            <v>87.669120225</v>
          </cell>
          <cell r="AC348">
            <v>369</v>
          </cell>
        </row>
        <row r="349">
          <cell r="D349">
            <v>45.479523809523805</v>
          </cell>
          <cell r="G349">
            <v>87.318092716600006</v>
          </cell>
          <cell r="AC349">
            <v>371.3</v>
          </cell>
        </row>
        <row r="350">
          <cell r="D350">
            <v>46.223636363636359</v>
          </cell>
          <cell r="G350">
            <v>87.405849593699998</v>
          </cell>
          <cell r="AC350">
            <v>374.4</v>
          </cell>
        </row>
        <row r="351">
          <cell r="D351">
            <v>42.385238095238094</v>
          </cell>
          <cell r="G351">
            <v>87.054822085200001</v>
          </cell>
          <cell r="AC351">
            <v>377.5</v>
          </cell>
        </row>
        <row r="352">
          <cell r="D352">
            <v>37.188636363636363</v>
          </cell>
          <cell r="G352">
            <v>86.967065208099996</v>
          </cell>
          <cell r="AC352">
            <v>380.4</v>
          </cell>
        </row>
        <row r="353">
          <cell r="D353">
            <v>31.571500000000004</v>
          </cell>
          <cell r="G353">
            <v>86.528280822599996</v>
          </cell>
          <cell r="AC353">
            <v>381.4</v>
          </cell>
        </row>
        <row r="354">
          <cell r="D354">
            <v>30.323</v>
          </cell>
          <cell r="G354">
            <v>86.265010191299993</v>
          </cell>
          <cell r="AC354">
            <v>384</v>
          </cell>
        </row>
        <row r="355">
          <cell r="D355">
            <v>37.546363636363637</v>
          </cell>
          <cell r="G355">
            <v>86.089496437099996</v>
          </cell>
          <cell r="AC355">
            <v>389.1</v>
          </cell>
        </row>
        <row r="356">
          <cell r="D356">
            <v>40.755238095238084</v>
          </cell>
          <cell r="G356">
            <v>86.440523945500004</v>
          </cell>
          <cell r="AC356">
            <v>390.2</v>
          </cell>
        </row>
        <row r="357">
          <cell r="D357">
            <v>46.712380952380947</v>
          </cell>
          <cell r="G357">
            <v>86.703794576799993</v>
          </cell>
          <cell r="AC357">
            <v>391.1</v>
          </cell>
        </row>
        <row r="358">
          <cell r="D358">
            <v>48.757272727272721</v>
          </cell>
          <cell r="G358">
            <v>86.967065208099996</v>
          </cell>
          <cell r="AC358">
            <v>393.4</v>
          </cell>
        </row>
        <row r="359">
          <cell r="D359">
            <v>44.651499999999999</v>
          </cell>
          <cell r="G359">
            <v>87.318092716600006</v>
          </cell>
          <cell r="AC359">
            <v>396.1</v>
          </cell>
        </row>
        <row r="360">
          <cell r="D360">
            <v>44.724347826086962</v>
          </cell>
          <cell r="G360">
            <v>87.054822085200001</v>
          </cell>
          <cell r="AC360">
            <v>399.9</v>
          </cell>
        </row>
        <row r="361">
          <cell r="D361">
            <v>45.146363636363645</v>
          </cell>
          <cell r="G361">
            <v>86.967065208099996</v>
          </cell>
          <cell r="AC361">
            <v>404.2</v>
          </cell>
        </row>
        <row r="362">
          <cell r="D362">
            <v>49.775238095238095</v>
          </cell>
          <cell r="G362">
            <v>87.142578962399995</v>
          </cell>
          <cell r="AC362">
            <v>404.4</v>
          </cell>
        </row>
        <row r="363">
          <cell r="D363">
            <v>45.709090909090911</v>
          </cell>
          <cell r="G363">
            <v>86.791551453899999</v>
          </cell>
          <cell r="AC363">
            <v>402.8</v>
          </cell>
        </row>
        <row r="364">
          <cell r="D364">
            <v>51.970476190476198</v>
          </cell>
          <cell r="G364">
            <v>86.791551453899999</v>
          </cell>
          <cell r="AC364">
            <v>402.1</v>
          </cell>
        </row>
        <row r="365">
          <cell r="D365">
            <v>52.508500000000005</v>
          </cell>
          <cell r="G365">
            <v>86.617968351000002</v>
          </cell>
          <cell r="AC365">
            <v>402.8</v>
          </cell>
        </row>
        <row r="366">
          <cell r="D366">
            <v>53.46842105263157</v>
          </cell>
          <cell r="G366">
            <v>86.617968351000002</v>
          </cell>
          <cell r="AC366">
            <v>404.9</v>
          </cell>
        </row>
        <row r="367">
          <cell r="D367">
            <v>49.327826086956513</v>
          </cell>
          <cell r="G367">
            <v>86.878343005399998</v>
          </cell>
          <cell r="AC367">
            <v>406.8</v>
          </cell>
        </row>
        <row r="368">
          <cell r="D368">
            <v>51.060526315789481</v>
          </cell>
          <cell r="G368">
            <v>87.051926108299995</v>
          </cell>
          <cell r="AC368">
            <v>407.7</v>
          </cell>
        </row>
        <row r="369">
          <cell r="D369">
            <v>48.476363636363637</v>
          </cell>
          <cell r="G369">
            <v>87.399092314100002</v>
          </cell>
          <cell r="AC369">
            <v>409.5</v>
          </cell>
        </row>
        <row r="370">
          <cell r="D370">
            <v>45.177727272727275</v>
          </cell>
          <cell r="G370">
            <v>86.791551453899999</v>
          </cell>
          <cell r="AC370">
            <v>412.8</v>
          </cell>
        </row>
        <row r="371">
          <cell r="D371">
            <v>46.600000000000009</v>
          </cell>
          <cell r="G371">
            <v>86.704759902500001</v>
          </cell>
          <cell r="AC371">
            <v>414.3</v>
          </cell>
        </row>
        <row r="372">
          <cell r="D372">
            <v>48.036956521739135</v>
          </cell>
          <cell r="G372">
            <v>86.965134556899997</v>
          </cell>
          <cell r="AC372">
            <v>415.9</v>
          </cell>
        </row>
        <row r="373">
          <cell r="D373">
            <v>49.822000000000003</v>
          </cell>
          <cell r="G373">
            <v>87.051926108299995</v>
          </cell>
          <cell r="AC373">
            <v>414.6</v>
          </cell>
        </row>
        <row r="374">
          <cell r="D374">
            <v>51.577727272727266</v>
          </cell>
          <cell r="G374">
            <v>87.312300762700005</v>
          </cell>
          <cell r="AC374">
            <v>414.5</v>
          </cell>
        </row>
        <row r="375">
          <cell r="D375">
            <v>56.638571428571431</v>
          </cell>
          <cell r="G375">
            <v>87.051926108299995</v>
          </cell>
          <cell r="AC375">
            <v>411.9</v>
          </cell>
        </row>
        <row r="376">
          <cell r="D376">
            <v>57.881499999999996</v>
          </cell>
          <cell r="G376">
            <v>87.138717659799994</v>
          </cell>
          <cell r="AC376">
            <v>407.8</v>
          </cell>
        </row>
        <row r="377">
          <cell r="D377">
            <v>63.698571428571434</v>
          </cell>
          <cell r="G377">
            <v>86.704759902500001</v>
          </cell>
          <cell r="AC377">
            <v>406.3</v>
          </cell>
        </row>
        <row r="378">
          <cell r="D378">
            <v>62.229473684210532</v>
          </cell>
          <cell r="G378">
            <v>86.791551453899999</v>
          </cell>
          <cell r="AC378">
            <v>405.9</v>
          </cell>
        </row>
        <row r="379">
          <cell r="D379">
            <v>62.724761904761898</v>
          </cell>
          <cell r="G379">
            <v>87.051926108299995</v>
          </cell>
          <cell r="AC379">
            <v>406.5</v>
          </cell>
        </row>
        <row r="380">
          <cell r="D380">
            <v>66.253809523809522</v>
          </cell>
          <cell r="G380">
            <v>87.399092314100002</v>
          </cell>
          <cell r="AC380">
            <v>406.2</v>
          </cell>
        </row>
        <row r="381">
          <cell r="D381">
            <v>69.97818181818181</v>
          </cell>
          <cell r="G381">
            <v>87.833050071399995</v>
          </cell>
          <cell r="AC381">
            <v>409.2</v>
          </cell>
        </row>
        <row r="382">
          <cell r="D382">
            <v>67.873333333333335</v>
          </cell>
          <cell r="G382">
            <v>87.919841622800007</v>
          </cell>
          <cell r="AC382">
            <v>410.5</v>
          </cell>
        </row>
        <row r="383">
          <cell r="D383">
            <v>70.98142857142858</v>
          </cell>
          <cell r="G383">
            <v>87.919841622800007</v>
          </cell>
          <cell r="AC383">
            <v>408.1</v>
          </cell>
        </row>
        <row r="384">
          <cell r="D384">
            <v>68.055652173913046</v>
          </cell>
          <cell r="G384">
            <v>88.006633174300006</v>
          </cell>
          <cell r="AC384">
            <v>407.4</v>
          </cell>
        </row>
        <row r="385">
          <cell r="D385">
            <v>70.232105263157905</v>
          </cell>
          <cell r="G385">
            <v>88.093424725800006</v>
          </cell>
          <cell r="AC385">
            <v>406.6</v>
          </cell>
        </row>
        <row r="386">
          <cell r="D386">
            <v>70.748695652173907</v>
          </cell>
          <cell r="G386">
            <v>88.3537993801</v>
          </cell>
          <cell r="AC386">
            <v>405.8</v>
          </cell>
        </row>
        <row r="387">
          <cell r="D387">
            <v>56.963499999999996</v>
          </cell>
          <cell r="G387">
            <v>88.093424725800006</v>
          </cell>
          <cell r="AC387">
            <v>405.5</v>
          </cell>
        </row>
        <row r="388">
          <cell r="D388">
            <v>49.108499999999999</v>
          </cell>
          <cell r="G388">
            <v>87.833050071399995</v>
          </cell>
          <cell r="AC388">
            <v>404.7</v>
          </cell>
        </row>
        <row r="389">
          <cell r="D389">
            <v>51.396363636363638</v>
          </cell>
          <cell r="G389">
            <v>87.747126435499993</v>
          </cell>
          <cell r="AC389">
            <v>408.3</v>
          </cell>
        </row>
        <row r="390">
          <cell r="D390">
            <v>54.95473684210527</v>
          </cell>
          <cell r="G390">
            <v>87.8347859024</v>
          </cell>
          <cell r="AC390">
            <v>409.6</v>
          </cell>
        </row>
        <row r="391">
          <cell r="D391">
            <v>58.151428571428575</v>
          </cell>
          <cell r="G391">
            <v>88.2730832373</v>
          </cell>
          <cell r="AC391">
            <v>410.8</v>
          </cell>
        </row>
        <row r="392">
          <cell r="D392">
            <v>63.862380952380946</v>
          </cell>
          <cell r="G392">
            <v>88.536061638199996</v>
          </cell>
          <cell r="AC392">
            <v>412.9</v>
          </cell>
        </row>
        <row r="393">
          <cell r="D393">
            <v>60.826818181818183</v>
          </cell>
          <cell r="G393">
            <v>89.149677906899996</v>
          </cell>
          <cell r="AC393">
            <v>414.1</v>
          </cell>
        </row>
        <row r="394">
          <cell r="D394">
            <v>54.657500000000006</v>
          </cell>
          <cell r="G394">
            <v>88.623721105100003</v>
          </cell>
          <cell r="AC394">
            <v>413.7</v>
          </cell>
        </row>
        <row r="395">
          <cell r="D395">
            <v>57.358095238095224</v>
          </cell>
          <cell r="G395">
            <v>88.360742704200007</v>
          </cell>
          <cell r="AC395">
            <v>414.9</v>
          </cell>
        </row>
        <row r="396">
          <cell r="D396">
            <v>54.80590909090909</v>
          </cell>
          <cell r="G396">
            <v>88.536061638199996</v>
          </cell>
          <cell r="AC396">
            <v>414.5</v>
          </cell>
        </row>
        <row r="397">
          <cell r="D397">
            <v>56.946999999999989</v>
          </cell>
          <cell r="G397">
            <v>88.360742704200007</v>
          </cell>
          <cell r="AC397">
            <v>416.6</v>
          </cell>
        </row>
        <row r="398">
          <cell r="D398">
            <v>53.96304347826085</v>
          </cell>
          <cell r="G398">
            <v>88.711380572099998</v>
          </cell>
          <cell r="AC398">
            <v>418.7</v>
          </cell>
        </row>
        <row r="399">
          <cell r="D399">
            <v>56.96947368421052</v>
          </cell>
          <cell r="G399">
            <v>88.360742704200007</v>
          </cell>
          <cell r="AC399">
            <v>419.1</v>
          </cell>
        </row>
        <row r="400">
          <cell r="D400">
            <v>59.816666666666663</v>
          </cell>
          <cell r="G400">
            <v>88.360742704200007</v>
          </cell>
          <cell r="AC400">
            <v>421.6</v>
          </cell>
        </row>
        <row r="401">
          <cell r="D401">
            <v>57.519047619047612</v>
          </cell>
          <cell r="G401">
            <v>88.010104836400004</v>
          </cell>
          <cell r="AC401">
            <v>423.7</v>
          </cell>
        </row>
        <row r="402">
          <cell r="D402">
            <v>50.542631578947358</v>
          </cell>
          <cell r="G402">
            <v>87.922445369399995</v>
          </cell>
          <cell r="AC402">
            <v>424.1</v>
          </cell>
        </row>
        <row r="403">
          <cell r="D403">
            <v>29.568181818181817</v>
          </cell>
          <cell r="G403">
            <v>88.2730832373</v>
          </cell>
          <cell r="AC403">
            <v>423.7</v>
          </cell>
        </row>
        <row r="404">
          <cell r="D404">
            <v>16.547619047619051</v>
          </cell>
          <cell r="G404">
            <v>88.010104836400004</v>
          </cell>
          <cell r="AC404">
            <v>420.7</v>
          </cell>
        </row>
        <row r="405">
          <cell r="D405">
            <v>28.562500000000007</v>
          </cell>
          <cell r="G405">
            <v>87.747126435499993</v>
          </cell>
          <cell r="AC405">
            <v>422</v>
          </cell>
        </row>
        <row r="406">
          <cell r="D406">
            <v>38.307272727272725</v>
          </cell>
          <cell r="G406">
            <v>87.659466968499999</v>
          </cell>
          <cell r="AC406">
            <v>426.2</v>
          </cell>
        </row>
        <row r="407">
          <cell r="D407">
            <v>40.710454545454553</v>
          </cell>
          <cell r="G407">
            <v>87.8347859024</v>
          </cell>
          <cell r="AC407">
            <v>426.2</v>
          </cell>
        </row>
        <row r="408">
          <cell r="D408">
            <v>42.339047619047619</v>
          </cell>
          <cell r="G408">
            <v>87.8347859024</v>
          </cell>
          <cell r="AC408">
            <v>426.6</v>
          </cell>
        </row>
        <row r="409">
          <cell r="D409">
            <v>39.63428571428571</v>
          </cell>
          <cell r="G409">
            <v>87.747126435499993</v>
          </cell>
          <cell r="AC409">
            <v>427.9</v>
          </cell>
        </row>
        <row r="410">
          <cell r="D410">
            <v>39.3959090909091</v>
          </cell>
          <cell r="G410">
            <v>88.010104836400004</v>
          </cell>
          <cell r="AC410">
            <v>431.8</v>
          </cell>
        </row>
        <row r="411">
          <cell r="D411">
            <v>40.937368421052639</v>
          </cell>
          <cell r="G411">
            <v>87.8347859024</v>
          </cell>
          <cell r="AC411">
            <v>435.7</v>
          </cell>
        </row>
        <row r="412">
          <cell r="D412">
            <v>47.024999999999984</v>
          </cell>
          <cell r="G412">
            <v>87.747126435499993</v>
          </cell>
          <cell r="AC412">
            <v>438.3</v>
          </cell>
        </row>
        <row r="413">
          <cell r="D413">
            <v>52.008421052631569</v>
          </cell>
          <cell r="G413">
            <v>87.658678033300006</v>
          </cell>
          <cell r="AC413">
            <v>439.2</v>
          </cell>
        </row>
        <row r="414">
          <cell r="D414">
            <v>59.046315789473681</v>
          </cell>
          <cell r="G414">
            <v>87.922445369399995</v>
          </cell>
          <cell r="AC414">
            <v>442.7</v>
          </cell>
        </row>
        <row r="415">
          <cell r="D415">
            <v>62.333043478260862</v>
          </cell>
          <cell r="G415">
            <v>88.4499800416</v>
          </cell>
          <cell r="AC415">
            <v>448.5</v>
          </cell>
        </row>
        <row r="416">
          <cell r="D416">
            <v>61.716666666666661</v>
          </cell>
          <cell r="G416">
            <v>88.713747377700003</v>
          </cell>
          <cell r="AC416">
            <v>452.1</v>
          </cell>
        </row>
        <row r="417">
          <cell r="D417">
            <v>65.169500000000014</v>
          </cell>
          <cell r="G417">
            <v>89.065437159200002</v>
          </cell>
          <cell r="AC417">
            <v>454.4</v>
          </cell>
        </row>
        <row r="418">
          <cell r="D418">
            <v>71.378181818181815</v>
          </cell>
          <cell r="G418">
            <v>89.153359604599999</v>
          </cell>
          <cell r="AC418">
            <v>459.9</v>
          </cell>
        </row>
        <row r="419">
          <cell r="D419">
            <v>72.485238095238103</v>
          </cell>
          <cell r="G419">
            <v>89.505049385999996</v>
          </cell>
          <cell r="AC419">
            <v>465.4</v>
          </cell>
        </row>
        <row r="420">
          <cell r="D420">
            <v>67.730454545454549</v>
          </cell>
          <cell r="G420">
            <v>89.768816722099999</v>
          </cell>
          <cell r="AC420">
            <v>467.3</v>
          </cell>
        </row>
        <row r="421">
          <cell r="D421">
            <v>71.582857142857137</v>
          </cell>
          <cell r="G421">
            <v>89.944661612900006</v>
          </cell>
          <cell r="AC421">
            <v>471</v>
          </cell>
        </row>
        <row r="422">
          <cell r="D422">
            <v>81.476666666666688</v>
          </cell>
          <cell r="G422">
            <v>90.032584058300003</v>
          </cell>
          <cell r="AC422">
            <v>477.6</v>
          </cell>
        </row>
        <row r="423">
          <cell r="D423">
            <v>79.147500000000008</v>
          </cell>
          <cell r="G423">
            <v>89.944661612900006</v>
          </cell>
          <cell r="AC423">
            <v>485.7</v>
          </cell>
        </row>
        <row r="424">
          <cell r="D424">
            <v>71.711818181818174</v>
          </cell>
          <cell r="G424">
            <v>90.208428948999995</v>
          </cell>
          <cell r="AC424">
            <v>495.9</v>
          </cell>
        </row>
        <row r="425">
          <cell r="D425">
            <v>83.221999999999994</v>
          </cell>
          <cell r="G425">
            <v>90.384273839700001</v>
          </cell>
          <cell r="AC425">
            <v>503.8</v>
          </cell>
        </row>
        <row r="426">
          <cell r="D426">
            <v>91.641052631578944</v>
          </cell>
          <cell r="G426">
            <v>90.999730957300002</v>
          </cell>
          <cell r="AC426">
            <v>511.9</v>
          </cell>
        </row>
        <row r="427">
          <cell r="D427">
            <v>108.50260869565219</v>
          </cell>
          <cell r="G427">
            <v>91.527265629499993</v>
          </cell>
          <cell r="AC427">
            <v>517</v>
          </cell>
        </row>
        <row r="428">
          <cell r="D428">
            <v>101.77749999999999</v>
          </cell>
          <cell r="G428">
            <v>92.230645192500006</v>
          </cell>
          <cell r="AC428">
            <v>525.29999999999995</v>
          </cell>
        </row>
        <row r="429">
          <cell r="D429">
            <v>112.19500000000001</v>
          </cell>
          <cell r="G429">
            <v>92.758179864699997</v>
          </cell>
          <cell r="AC429">
            <v>536.29999999999995</v>
          </cell>
        </row>
        <row r="430">
          <cell r="D430">
            <v>114.73500000000001</v>
          </cell>
          <cell r="G430">
            <v>93.109869646199996</v>
          </cell>
          <cell r="AC430">
            <v>543.79999999999995</v>
          </cell>
        </row>
        <row r="431">
          <cell r="D431">
            <v>101.61899999999999</v>
          </cell>
          <cell r="G431">
            <v>94.164938990600007</v>
          </cell>
          <cell r="AC431">
            <v>553.6</v>
          </cell>
        </row>
        <row r="432">
          <cell r="D432">
            <v>93.360476190476192</v>
          </cell>
          <cell r="G432">
            <v>93.901171654500004</v>
          </cell>
          <cell r="AC432">
            <v>559.70000000000005</v>
          </cell>
        </row>
        <row r="433">
          <cell r="D433">
            <v>84.258095238095251</v>
          </cell>
          <cell r="G433">
            <v>94.077016545199996</v>
          </cell>
          <cell r="AC433">
            <v>565.29999999999995</v>
          </cell>
        </row>
        <row r="434">
          <cell r="D434">
            <v>87.554761904761904</v>
          </cell>
          <cell r="G434">
            <v>94.604551217500003</v>
          </cell>
          <cell r="AC434">
            <v>567</v>
          </cell>
        </row>
        <row r="435">
          <cell r="D435">
            <v>84.370476190476182</v>
          </cell>
          <cell r="G435">
            <v>94.692473662799998</v>
          </cell>
          <cell r="AC435">
            <v>567.6</v>
          </cell>
        </row>
        <row r="436">
          <cell r="D436">
            <v>76.437142857142888</v>
          </cell>
          <cell r="G436">
            <v>94.9562409989</v>
          </cell>
          <cell r="AC436">
            <v>568.70000000000005</v>
          </cell>
        </row>
        <row r="437">
          <cell r="D437">
            <v>77.417000000000016</v>
          </cell>
          <cell r="G437">
            <v>95.251396647999997</v>
          </cell>
          <cell r="AC437">
            <v>568.70000000000005</v>
          </cell>
        </row>
        <row r="438">
          <cell r="D438">
            <v>76.832631578947371</v>
          </cell>
          <cell r="G438">
            <v>95.716945996299998</v>
          </cell>
          <cell r="AC438">
            <v>568.70000000000005</v>
          </cell>
        </row>
        <row r="439">
          <cell r="D439">
            <v>73.277826086956523</v>
          </cell>
          <cell r="G439">
            <v>96.089385474899998</v>
          </cell>
          <cell r="AC439">
            <v>567.6</v>
          </cell>
        </row>
        <row r="440">
          <cell r="D440">
            <v>79.446315789473672</v>
          </cell>
          <cell r="G440">
            <v>96.834264431999998</v>
          </cell>
          <cell r="AC440">
            <v>564.79999999999995</v>
          </cell>
        </row>
        <row r="441">
          <cell r="D441">
            <v>71.578181818181804</v>
          </cell>
          <cell r="G441">
            <v>97.020484171299998</v>
          </cell>
          <cell r="AC441">
            <v>561.4</v>
          </cell>
        </row>
        <row r="442">
          <cell r="D442">
            <v>72.435714285714283</v>
          </cell>
          <cell r="G442">
            <v>97.020484171299998</v>
          </cell>
          <cell r="AC442">
            <v>560.29999999999995</v>
          </cell>
        </row>
        <row r="443">
          <cell r="D443">
            <v>76.069499999999977</v>
          </cell>
          <cell r="G443">
            <v>97.299813780299999</v>
          </cell>
          <cell r="AC443">
            <v>559.20000000000005</v>
          </cell>
        </row>
        <row r="444">
          <cell r="D444">
            <v>81.432857142857145</v>
          </cell>
          <cell r="G444">
            <v>97.765363128499999</v>
          </cell>
          <cell r="AC444">
            <v>558.6</v>
          </cell>
        </row>
        <row r="445">
          <cell r="D445">
            <v>89.425000000000026</v>
          </cell>
          <cell r="G445">
            <v>97.672253258799998</v>
          </cell>
          <cell r="AC445">
            <v>557.5</v>
          </cell>
        </row>
        <row r="446">
          <cell r="D446">
            <v>85.639523809523794</v>
          </cell>
          <cell r="G446">
            <v>98.137802607099999</v>
          </cell>
          <cell r="AC446">
            <v>554.70000000000005</v>
          </cell>
        </row>
        <row r="447">
          <cell r="D447">
            <v>77.684999999999988</v>
          </cell>
          <cell r="G447">
            <v>97.858472998099998</v>
          </cell>
          <cell r="AC447">
            <v>558</v>
          </cell>
        </row>
        <row r="448">
          <cell r="D448">
            <v>71.900000000000006</v>
          </cell>
          <cell r="G448">
            <v>97.765363128499999</v>
          </cell>
          <cell r="AC448">
            <v>563</v>
          </cell>
        </row>
        <row r="449">
          <cell r="D449">
            <v>74.382857142857148</v>
          </cell>
          <cell r="G449">
            <v>97.765363128499999</v>
          </cell>
          <cell r="AC449">
            <v>569.20000000000005</v>
          </cell>
        </row>
        <row r="450">
          <cell r="D450">
            <v>77.248999999999995</v>
          </cell>
          <cell r="G450">
            <v>98.137802607099999</v>
          </cell>
          <cell r="AC450">
            <v>574.9</v>
          </cell>
        </row>
        <row r="451">
          <cell r="D451">
            <v>81.278000000000006</v>
          </cell>
          <cell r="G451">
            <v>98.696461825</v>
          </cell>
          <cell r="AC451">
            <v>579.5</v>
          </cell>
        </row>
        <row r="452">
          <cell r="D452">
            <v>85.347272727272724</v>
          </cell>
          <cell r="G452">
            <v>99.5344506518</v>
          </cell>
          <cell r="AC452">
            <v>583.6</v>
          </cell>
        </row>
        <row r="453">
          <cell r="D453">
            <v>80.024545454545489</v>
          </cell>
          <cell r="G453">
            <v>99.720670391100001</v>
          </cell>
          <cell r="AC453">
            <v>587.1</v>
          </cell>
        </row>
        <row r="454">
          <cell r="D454">
            <v>79.767368421052609</v>
          </cell>
          <cell r="G454">
            <v>99.8137802607</v>
          </cell>
          <cell r="AC454">
            <v>591.79999999999995</v>
          </cell>
        </row>
        <row r="455">
          <cell r="D455">
            <v>81.800454545454542</v>
          </cell>
          <cell r="G455">
            <v>100.3724394786</v>
          </cell>
          <cell r="AC455">
            <v>593</v>
          </cell>
        </row>
        <row r="456">
          <cell r="D456">
            <v>76.683181818181822</v>
          </cell>
          <cell r="G456">
            <v>101.303538175</v>
          </cell>
          <cell r="AC456">
            <v>592.4</v>
          </cell>
        </row>
        <row r="457">
          <cell r="D457">
            <v>70.236000000000004</v>
          </cell>
          <cell r="G457">
            <v>101.1173184358</v>
          </cell>
          <cell r="AC457">
            <v>593.6</v>
          </cell>
        </row>
        <row r="458">
          <cell r="D458">
            <v>71.984999999999999</v>
          </cell>
          <cell r="G458">
            <v>101.582867784</v>
          </cell>
          <cell r="AC458">
            <v>596.6</v>
          </cell>
        </row>
        <row r="459">
          <cell r="D459">
            <v>69.987000000000009</v>
          </cell>
          <cell r="G459">
            <v>101.2104283054</v>
          </cell>
          <cell r="AC459">
            <v>599</v>
          </cell>
        </row>
        <row r="460">
          <cell r="D460">
            <v>70.118095238095222</v>
          </cell>
          <cell r="G460">
            <v>100.9310986965</v>
          </cell>
          <cell r="AC460">
            <v>606.20000000000005</v>
          </cell>
        </row>
        <row r="461">
          <cell r="D461">
            <v>74.086500000000001</v>
          </cell>
          <cell r="G461">
            <v>101.5</v>
          </cell>
          <cell r="AC461">
            <v>609.79999999999995</v>
          </cell>
        </row>
        <row r="462">
          <cell r="D462">
            <v>71.533157894736831</v>
          </cell>
          <cell r="G462">
            <v>101.5</v>
          </cell>
          <cell r="AC462">
            <v>608.6</v>
          </cell>
        </row>
        <row r="463">
          <cell r="D463">
            <v>68.239047619047625</v>
          </cell>
          <cell r="G463">
            <v>102</v>
          </cell>
          <cell r="AC463">
            <v>607.4</v>
          </cell>
        </row>
        <row r="464">
          <cell r="D464">
            <v>63.536666666666655</v>
          </cell>
          <cell r="G464">
            <v>103.1</v>
          </cell>
          <cell r="AC464">
            <v>605</v>
          </cell>
        </row>
        <row r="465">
          <cell r="D465">
            <v>62.167619047619048</v>
          </cell>
          <cell r="G465">
            <v>102.8</v>
          </cell>
          <cell r="AC465">
            <v>602.6</v>
          </cell>
        </row>
        <row r="466">
          <cell r="D466">
            <v>68.169000000000011</v>
          </cell>
          <cell r="G466">
            <v>103.1</v>
          </cell>
          <cell r="AC466">
            <v>602</v>
          </cell>
        </row>
        <row r="467">
          <cell r="D467">
            <v>68.390909090909091</v>
          </cell>
          <cell r="G467">
            <v>103.5</v>
          </cell>
          <cell r="AC467">
            <v>600.79999999999995</v>
          </cell>
        </row>
        <row r="468">
          <cell r="D468">
            <v>64.864285714285714</v>
          </cell>
          <cell r="G468">
            <v>104.2</v>
          </cell>
          <cell r="AC468">
            <v>597.20000000000005</v>
          </cell>
        </row>
        <row r="469">
          <cell r="D469">
            <v>63.959047619047624</v>
          </cell>
          <cell r="G469">
            <v>103.6</v>
          </cell>
          <cell r="AC469">
            <v>593</v>
          </cell>
        </row>
        <row r="470">
          <cell r="D470">
            <v>60.894545454545458</v>
          </cell>
          <cell r="G470">
            <v>104.1</v>
          </cell>
          <cell r="AC470">
            <v>596</v>
          </cell>
        </row>
        <row r="471">
          <cell r="D471">
            <v>60.062222222222218</v>
          </cell>
          <cell r="G471">
            <v>103.6</v>
          </cell>
          <cell r="AC471">
            <v>600.79999999999995</v>
          </cell>
        </row>
        <row r="472">
          <cell r="D472">
            <v>57.972272727272731</v>
          </cell>
          <cell r="G472">
            <v>103.6</v>
          </cell>
          <cell r="AC472">
            <v>600.20000000000005</v>
          </cell>
        </row>
        <row r="473">
          <cell r="D473">
            <v>60.301666666666655</v>
          </cell>
          <cell r="G473">
            <v>103.3</v>
          </cell>
          <cell r="AC473">
            <v>599.6</v>
          </cell>
        </row>
        <row r="474">
          <cell r="D474">
            <v>64.508421052631576</v>
          </cell>
          <cell r="G474">
            <v>103.5</v>
          </cell>
        </row>
        <row r="475">
          <cell r="D475">
            <v>91.38363636363637</v>
          </cell>
          <cell r="G475">
            <v>103.9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monthly change"/>
      <sheetName val="quarterly"/>
      <sheetName val="quarterly change"/>
      <sheetName val="yearly"/>
      <sheetName val="yearly change"/>
      <sheetName val="המרת נתוני משרות שכיר"/>
      <sheetName val="המרת נתוני שכר מקורי"/>
      <sheetName val="המרת נתוני שכר מנוכה"/>
      <sheetName val="quarterly old"/>
    </sheetNames>
    <sheetDataSet>
      <sheetData sheetId="0">
        <row r="102">
          <cell r="M102">
            <v>7427.31396484375</v>
          </cell>
          <cell r="R102">
            <v>2021.13024902344</v>
          </cell>
        </row>
        <row r="103">
          <cell r="M103">
            <v>7544.89111328125</v>
          </cell>
          <cell r="R103">
            <v>2016.67395019531</v>
          </cell>
        </row>
        <row r="104">
          <cell r="M104">
            <v>7546.61767578125</v>
          </cell>
          <cell r="R104">
            <v>2048.50512695312</v>
          </cell>
        </row>
        <row r="105">
          <cell r="M105">
            <v>7457.2373046875</v>
          </cell>
          <cell r="R105">
            <v>2059.99267578125</v>
          </cell>
        </row>
        <row r="106">
          <cell r="M106">
            <v>7634.60498046875</v>
          </cell>
          <cell r="R106">
            <v>2066.80346679688</v>
          </cell>
        </row>
        <row r="107">
          <cell r="M107">
            <v>7666.61376953125</v>
          </cell>
          <cell r="R107">
            <v>2072.44653320312</v>
          </cell>
        </row>
        <row r="108">
          <cell r="M108">
            <v>7711.33837890625</v>
          </cell>
          <cell r="R108">
            <v>2083.43090820312</v>
          </cell>
        </row>
        <row r="109">
          <cell r="M109">
            <v>7663.509765625</v>
          </cell>
          <cell r="R109">
            <v>2090.76782226562</v>
          </cell>
        </row>
        <row r="110">
          <cell r="M110">
            <v>7623.0068359375</v>
          </cell>
          <cell r="R110">
            <v>2100.96118164062</v>
          </cell>
        </row>
        <row r="111">
          <cell r="M111">
            <v>7583.44970703125</v>
          </cell>
          <cell r="R111">
            <v>2105.47338867188</v>
          </cell>
        </row>
        <row r="112">
          <cell r="M112">
            <v>7649.24755859375</v>
          </cell>
          <cell r="R112">
            <v>2108.09301757812</v>
          </cell>
        </row>
        <row r="113">
          <cell r="M113">
            <v>7579.8232421875</v>
          </cell>
          <cell r="R113">
            <v>2113.39965820312</v>
          </cell>
        </row>
        <row r="114">
          <cell r="M114">
            <v>7629.40185546875</v>
          </cell>
          <cell r="R114">
            <v>2141.7998046875</v>
          </cell>
        </row>
        <row r="115">
          <cell r="M115">
            <v>7658.28369140625</v>
          </cell>
          <cell r="R115">
            <v>2137.3857421875</v>
          </cell>
        </row>
        <row r="116">
          <cell r="M116">
            <v>7670.72509765625</v>
          </cell>
          <cell r="R116">
            <v>2133.59985351562</v>
          </cell>
        </row>
        <row r="117">
          <cell r="M117">
            <v>7650.9833984375</v>
          </cell>
          <cell r="R117">
            <v>2139.04638671875</v>
          </cell>
        </row>
        <row r="118">
          <cell r="M118">
            <v>7659.22119140625</v>
          </cell>
          <cell r="R118">
            <v>2153.7314453125</v>
          </cell>
        </row>
        <row r="119">
          <cell r="M119">
            <v>7677.96435546875</v>
          </cell>
          <cell r="R119">
            <v>2167.02197265625</v>
          </cell>
        </row>
        <row r="120">
          <cell r="M120">
            <v>7588.0751953125</v>
          </cell>
          <cell r="R120">
            <v>2185.6748046875</v>
          </cell>
        </row>
        <row r="121">
          <cell r="M121">
            <v>7884.833984375</v>
          </cell>
          <cell r="R121">
            <v>2194.02319335938</v>
          </cell>
        </row>
        <row r="122">
          <cell r="M122">
            <v>7750.2275390625</v>
          </cell>
          <cell r="R122">
            <v>2198.29370117188</v>
          </cell>
        </row>
        <row r="123">
          <cell r="M123">
            <v>7801.09326171875</v>
          </cell>
          <cell r="R123">
            <v>2221.02221679688</v>
          </cell>
        </row>
        <row r="124">
          <cell r="M124">
            <v>7744.5322265625</v>
          </cell>
          <cell r="R124">
            <v>2207.97778320312</v>
          </cell>
        </row>
        <row r="125">
          <cell r="M125">
            <v>7839.373046875</v>
          </cell>
          <cell r="R125">
            <v>2215.29663085938</v>
          </cell>
        </row>
        <row r="126">
          <cell r="M126">
            <v>7852.73974609375</v>
          </cell>
          <cell r="R126">
            <v>2213.8173828125</v>
          </cell>
        </row>
        <row r="127">
          <cell r="M127">
            <v>7773.84814453125</v>
          </cell>
          <cell r="R127">
            <v>2212.90283203125</v>
          </cell>
        </row>
        <row r="128">
          <cell r="M128">
            <v>7682.26025390625</v>
          </cell>
          <cell r="R128">
            <v>2217.36059570312</v>
          </cell>
        </row>
        <row r="129">
          <cell r="M129">
            <v>7852.5185546875</v>
          </cell>
          <cell r="R129">
            <v>2220.12475585938</v>
          </cell>
        </row>
        <row r="130">
          <cell r="M130">
            <v>7835.73583984375</v>
          </cell>
          <cell r="R130">
            <v>2223.27416992188</v>
          </cell>
        </row>
        <row r="131">
          <cell r="M131">
            <v>7872.74169921875</v>
          </cell>
          <cell r="R131">
            <v>2225.48193359375</v>
          </cell>
        </row>
        <row r="132">
          <cell r="M132">
            <v>7910.0673828125</v>
          </cell>
          <cell r="R132">
            <v>2223.77856445312</v>
          </cell>
        </row>
        <row r="133">
          <cell r="M133">
            <v>7883.53955078125</v>
          </cell>
          <cell r="R133">
            <v>2200.95532226562</v>
          </cell>
        </row>
        <row r="134">
          <cell r="M134">
            <v>8131.03955078125</v>
          </cell>
          <cell r="R134">
            <v>2249.26904296875</v>
          </cell>
        </row>
        <row r="135">
          <cell r="M135">
            <v>7963.6572265625</v>
          </cell>
          <cell r="R135">
            <v>2221.2685546875</v>
          </cell>
        </row>
        <row r="136">
          <cell r="M136">
            <v>8009.83935546875</v>
          </cell>
          <cell r="R136">
            <v>2234.02587890625</v>
          </cell>
        </row>
        <row r="137">
          <cell r="M137">
            <v>8020.92041015625</v>
          </cell>
          <cell r="R137">
            <v>2245.02709960938</v>
          </cell>
        </row>
        <row r="138">
          <cell r="M138">
            <v>8016.20751953125</v>
          </cell>
          <cell r="R138">
            <v>2244.41870117188</v>
          </cell>
        </row>
        <row r="139">
          <cell r="M139">
            <v>8115.29541015625</v>
          </cell>
          <cell r="R139">
            <v>2244.38891601562</v>
          </cell>
        </row>
        <row r="140">
          <cell r="M140">
            <v>8105.77880859375</v>
          </cell>
          <cell r="R140">
            <v>2250.48193359375</v>
          </cell>
        </row>
        <row r="141">
          <cell r="M141">
            <v>8069.83154296875</v>
          </cell>
          <cell r="R141">
            <v>2251.20043945312</v>
          </cell>
        </row>
        <row r="142">
          <cell r="M142">
            <v>8084.23388671875</v>
          </cell>
          <cell r="R142">
            <v>2247.85961914062</v>
          </cell>
        </row>
        <row r="143">
          <cell r="M143">
            <v>8150.34619140625</v>
          </cell>
          <cell r="R143">
            <v>2251.60131835938</v>
          </cell>
        </row>
        <row r="144">
          <cell r="M144">
            <v>8145.77294921875</v>
          </cell>
          <cell r="R144">
            <v>2248.8798828125</v>
          </cell>
        </row>
        <row r="145">
          <cell r="M145">
            <v>8157.22021484375</v>
          </cell>
          <cell r="R145">
            <v>2255.33911132812</v>
          </cell>
        </row>
        <row r="146">
          <cell r="M146">
            <v>8196.2939453125</v>
          </cell>
          <cell r="R146">
            <v>2265.45190429688</v>
          </cell>
        </row>
        <row r="147">
          <cell r="M147">
            <v>7864.50537109375</v>
          </cell>
          <cell r="R147">
            <v>2268.99682617188</v>
          </cell>
        </row>
        <row r="148">
          <cell r="M148">
            <v>7955.04541015625</v>
          </cell>
          <cell r="R148">
            <v>2283.73803710938</v>
          </cell>
        </row>
        <row r="149">
          <cell r="M149">
            <v>7977.43310546875</v>
          </cell>
          <cell r="R149">
            <v>2285.14770507812</v>
          </cell>
        </row>
        <row r="150">
          <cell r="M150">
            <v>8023.69140625</v>
          </cell>
          <cell r="R150">
            <v>2283.43994140625</v>
          </cell>
        </row>
        <row r="151">
          <cell r="M151">
            <v>8078.3427734375</v>
          </cell>
          <cell r="R151">
            <v>2288.35302734375</v>
          </cell>
        </row>
        <row r="152">
          <cell r="M152">
            <v>8115.41845703125</v>
          </cell>
          <cell r="R152">
            <v>2294.95654296875</v>
          </cell>
        </row>
        <row r="153">
          <cell r="M153">
            <v>8151.00537109375</v>
          </cell>
          <cell r="R153">
            <v>2300.25341796875</v>
          </cell>
        </row>
        <row r="154">
          <cell r="M154">
            <v>8195.25390625</v>
          </cell>
          <cell r="R154">
            <v>2302.39868164062</v>
          </cell>
        </row>
        <row r="155">
          <cell r="M155">
            <v>8380.6572265625</v>
          </cell>
          <cell r="R155">
            <v>2305.7080078125</v>
          </cell>
        </row>
        <row r="156">
          <cell r="M156">
            <v>8258.3466796875</v>
          </cell>
          <cell r="R156">
            <v>2297.83935546875</v>
          </cell>
        </row>
        <row r="157">
          <cell r="M157">
            <v>8280.6171875</v>
          </cell>
          <cell r="R157">
            <v>2315.83666992188</v>
          </cell>
        </row>
        <row r="158">
          <cell r="M158">
            <v>8189.337890625</v>
          </cell>
          <cell r="R158">
            <v>2329.6982421875</v>
          </cell>
        </row>
        <row r="159">
          <cell r="M159">
            <v>8178.314453125</v>
          </cell>
          <cell r="R159">
            <v>2345.9296875</v>
          </cell>
        </row>
        <row r="160">
          <cell r="M160">
            <v>8736.4921875</v>
          </cell>
          <cell r="R160">
            <v>2344.42822265625</v>
          </cell>
        </row>
        <row r="161">
          <cell r="M161">
            <v>8697.9287109375</v>
          </cell>
          <cell r="R161">
            <v>2337.72021484375</v>
          </cell>
        </row>
        <row r="162">
          <cell r="M162">
            <v>8609.2568359375</v>
          </cell>
          <cell r="R162">
            <v>2348.62573242188</v>
          </cell>
        </row>
        <row r="163">
          <cell r="M163">
            <v>8605.6181640625</v>
          </cell>
          <cell r="R163">
            <v>2361.95385742188</v>
          </cell>
        </row>
        <row r="164">
          <cell r="M164">
            <v>8758.6640625</v>
          </cell>
          <cell r="R164">
            <v>2368.55639648438</v>
          </cell>
        </row>
        <row r="165">
          <cell r="M165">
            <v>8651.7177734375</v>
          </cell>
          <cell r="R165">
            <v>2375.34252929688</v>
          </cell>
        </row>
        <row r="166">
          <cell r="M166">
            <v>8695.2939453125</v>
          </cell>
          <cell r="R166">
            <v>2382.158203125</v>
          </cell>
        </row>
        <row r="167">
          <cell r="M167">
            <v>8686.265625</v>
          </cell>
          <cell r="R167">
            <v>2382.91235351562</v>
          </cell>
        </row>
        <row r="168">
          <cell r="M168">
            <v>8704.7900390625</v>
          </cell>
          <cell r="R168">
            <v>2399.64721679688</v>
          </cell>
        </row>
        <row r="169">
          <cell r="M169">
            <v>8883.220703125</v>
          </cell>
          <cell r="R169">
            <v>2412.197265625</v>
          </cell>
        </row>
        <row r="170">
          <cell r="M170">
            <v>8913.7529296875</v>
          </cell>
          <cell r="R170">
            <v>2447.77587890625</v>
          </cell>
        </row>
        <row r="171">
          <cell r="M171">
            <v>9014.3642578125</v>
          </cell>
          <cell r="R171">
            <v>2406.71362304688</v>
          </cell>
        </row>
        <row r="172">
          <cell r="M172">
            <v>8993.8203125</v>
          </cell>
          <cell r="R172">
            <v>2405.62133789062</v>
          </cell>
        </row>
        <row r="173">
          <cell r="M173">
            <v>8961.8447265625</v>
          </cell>
          <cell r="R173">
            <v>2412.95874023438</v>
          </cell>
        </row>
        <row r="174">
          <cell r="M174">
            <v>9067.5166015625</v>
          </cell>
          <cell r="R174">
            <v>2422.38671875</v>
          </cell>
        </row>
        <row r="175">
          <cell r="M175">
            <v>9261.0322265625</v>
          </cell>
          <cell r="R175">
            <v>2426.8486328125</v>
          </cell>
        </row>
        <row r="176">
          <cell r="M176">
            <v>8992.7119140625</v>
          </cell>
          <cell r="R176">
            <v>2435.8759765625</v>
          </cell>
        </row>
        <row r="177">
          <cell r="M177">
            <v>9187.9228515625</v>
          </cell>
          <cell r="R177">
            <v>2447.9140625</v>
          </cell>
        </row>
        <row r="178">
          <cell r="M178">
            <v>9302.6552734375</v>
          </cell>
          <cell r="R178">
            <v>2434.22119140625</v>
          </cell>
        </row>
        <row r="179">
          <cell r="M179">
            <v>9165.9052734375</v>
          </cell>
          <cell r="R179">
            <v>2425.88818359375</v>
          </cell>
        </row>
        <row r="180">
          <cell r="M180">
            <v>9068.7099609375</v>
          </cell>
          <cell r="R180">
            <v>2409.9404296875</v>
          </cell>
        </row>
        <row r="181">
          <cell r="M181">
            <v>8983.74609375</v>
          </cell>
          <cell r="R181">
            <v>2412.35180664062</v>
          </cell>
        </row>
        <row r="182">
          <cell r="M182">
            <v>8895.3271484375</v>
          </cell>
          <cell r="R182">
            <v>2405.05151367188</v>
          </cell>
        </row>
        <row r="183">
          <cell r="M183">
            <v>8886.125</v>
          </cell>
          <cell r="R183">
            <v>2413.99462890625</v>
          </cell>
        </row>
        <row r="184">
          <cell r="M184">
            <v>8920.3525390625</v>
          </cell>
          <cell r="R184">
            <v>2414.84741210938</v>
          </cell>
        </row>
        <row r="185">
          <cell r="M185">
            <v>8922.171875</v>
          </cell>
          <cell r="R185">
            <v>2413.9814453125</v>
          </cell>
        </row>
        <row r="186">
          <cell r="M186">
            <v>8958.009765625</v>
          </cell>
          <cell r="R186">
            <v>2422.84228515625</v>
          </cell>
        </row>
        <row r="187">
          <cell r="M187">
            <v>8784.7958984375</v>
          </cell>
          <cell r="R187">
            <v>2421.19775390625</v>
          </cell>
        </row>
        <row r="188">
          <cell r="M188">
            <v>8600.7490234375</v>
          </cell>
          <cell r="R188">
            <v>2417.724609375</v>
          </cell>
        </row>
        <row r="189">
          <cell r="M189">
            <v>8593.703125</v>
          </cell>
          <cell r="R189">
            <v>2419.90844726562</v>
          </cell>
        </row>
        <row r="190">
          <cell r="M190">
            <v>8509.80078125</v>
          </cell>
          <cell r="R190">
            <v>2423.85009765625</v>
          </cell>
        </row>
        <row r="191">
          <cell r="M191">
            <v>8885.61328125</v>
          </cell>
          <cell r="R191">
            <v>2428.01782226562</v>
          </cell>
        </row>
        <row r="192">
          <cell r="M192">
            <v>8345.966796875</v>
          </cell>
          <cell r="R192">
            <v>2433.22607421875</v>
          </cell>
        </row>
        <row r="193">
          <cell r="M193">
            <v>8325.365234375</v>
          </cell>
          <cell r="R193">
            <v>2441.07348632812</v>
          </cell>
        </row>
        <row r="194">
          <cell r="M194">
            <v>8339.7783203125</v>
          </cell>
          <cell r="R194">
            <v>2429.07690429688</v>
          </cell>
        </row>
        <row r="195">
          <cell r="M195">
            <v>8178.9609375</v>
          </cell>
          <cell r="R195">
            <v>2445.69702148438</v>
          </cell>
        </row>
        <row r="196">
          <cell r="M196">
            <v>8230.0302734375</v>
          </cell>
          <cell r="R196">
            <v>2435.08520507812</v>
          </cell>
        </row>
        <row r="197">
          <cell r="M197">
            <v>8235.6572265625</v>
          </cell>
          <cell r="R197">
            <v>2435.2822265625</v>
          </cell>
        </row>
        <row r="198">
          <cell r="M198">
            <v>8217.9150390625</v>
          </cell>
          <cell r="R198">
            <v>2437.91918945312</v>
          </cell>
        </row>
        <row r="199">
          <cell r="M199">
            <v>8247.271484375</v>
          </cell>
          <cell r="R199">
            <v>2422.35205078125</v>
          </cell>
        </row>
        <row r="200">
          <cell r="M200">
            <v>8154.59375</v>
          </cell>
          <cell r="R200">
            <v>2416.05078125</v>
          </cell>
        </row>
        <row r="201">
          <cell r="M201">
            <v>8178.96826171875</v>
          </cell>
          <cell r="R201">
            <v>2418.2236328125</v>
          </cell>
        </row>
        <row r="202">
          <cell r="M202">
            <v>8133.44970703125</v>
          </cell>
          <cell r="R202">
            <v>2417.39599609375</v>
          </cell>
        </row>
        <row r="203">
          <cell r="M203">
            <v>7964.77197265625</v>
          </cell>
          <cell r="R203">
            <v>2420.5859375</v>
          </cell>
        </row>
        <row r="204">
          <cell r="M204">
            <v>8352.595703125</v>
          </cell>
          <cell r="R204">
            <v>2426.19116210938</v>
          </cell>
        </row>
        <row r="205">
          <cell r="M205">
            <v>8291.2587890625</v>
          </cell>
          <cell r="R205">
            <v>2417.5927734375</v>
          </cell>
        </row>
        <row r="206">
          <cell r="M206">
            <v>8369.4990234375</v>
          </cell>
          <cell r="R206">
            <v>2447.45336914062</v>
          </cell>
        </row>
        <row r="207">
          <cell r="M207">
            <v>8413.22265625</v>
          </cell>
          <cell r="R207">
            <v>2415.78930664062</v>
          </cell>
        </row>
        <row r="208">
          <cell r="M208">
            <v>8336.1123046875</v>
          </cell>
          <cell r="R208">
            <v>2421.55517578125</v>
          </cell>
        </row>
        <row r="209">
          <cell r="M209">
            <v>8302.3837890625</v>
          </cell>
          <cell r="R209">
            <v>2427.70483398438</v>
          </cell>
        </row>
        <row r="210">
          <cell r="M210">
            <v>8944.6103515625</v>
          </cell>
          <cell r="R210">
            <v>2423.94702148438</v>
          </cell>
        </row>
        <row r="211">
          <cell r="M211">
            <v>8589.5107421875</v>
          </cell>
          <cell r="R211">
            <v>2438.279296875</v>
          </cell>
        </row>
        <row r="212">
          <cell r="M212">
            <v>8539.21875</v>
          </cell>
          <cell r="R212">
            <v>2441.51904296875</v>
          </cell>
        </row>
        <row r="213">
          <cell r="M213">
            <v>8272.90625</v>
          </cell>
          <cell r="R213">
            <v>2446.89599609375</v>
          </cell>
        </row>
        <row r="214">
          <cell r="M214">
            <v>8347.4287109375</v>
          </cell>
          <cell r="R214">
            <v>2453.80151367188</v>
          </cell>
        </row>
        <row r="215">
          <cell r="M215">
            <v>8061.99658203125</v>
          </cell>
          <cell r="R215">
            <v>2470.96459960938</v>
          </cell>
        </row>
        <row r="216">
          <cell r="M216">
            <v>8330.6767578125</v>
          </cell>
          <cell r="R216">
            <v>2465.224609375</v>
          </cell>
        </row>
        <row r="217">
          <cell r="M217">
            <v>8339.0751953125</v>
          </cell>
          <cell r="R217">
            <v>2483.9814453125</v>
          </cell>
        </row>
        <row r="218">
          <cell r="M218">
            <v>8327.220703125</v>
          </cell>
          <cell r="R218">
            <v>2470.73291015625</v>
          </cell>
        </row>
        <row r="219">
          <cell r="M219">
            <v>8415.521484375</v>
          </cell>
          <cell r="R219">
            <v>2484.375</v>
          </cell>
        </row>
        <row r="220">
          <cell r="M220">
            <v>8408.6767578125</v>
          </cell>
          <cell r="R220">
            <v>2495.86083984375</v>
          </cell>
        </row>
        <row r="221">
          <cell r="M221">
            <v>8839.5283203125</v>
          </cell>
          <cell r="R221">
            <v>2506.97265625</v>
          </cell>
        </row>
        <row r="222">
          <cell r="M222">
            <v>8686.1630859375</v>
          </cell>
          <cell r="R222">
            <v>2512.22094726562</v>
          </cell>
        </row>
        <row r="223">
          <cell r="M223">
            <v>8485.529296875</v>
          </cell>
          <cell r="R223">
            <v>2519.95043945312</v>
          </cell>
        </row>
        <row r="224">
          <cell r="M224">
            <v>8534.8466796875</v>
          </cell>
          <cell r="R224">
            <v>2533.904296875</v>
          </cell>
        </row>
        <row r="225">
          <cell r="M225">
            <v>8523.712890625</v>
          </cell>
          <cell r="R225">
            <v>2561.21166992188</v>
          </cell>
        </row>
        <row r="226">
          <cell r="M226">
            <v>8581.5654296875</v>
          </cell>
          <cell r="R226">
            <v>2553.52416992188</v>
          </cell>
        </row>
        <row r="227">
          <cell r="M227">
            <v>8482.5009765625</v>
          </cell>
          <cell r="R227">
            <v>2562.61889648438</v>
          </cell>
        </row>
        <row r="228">
          <cell r="M228">
            <v>8496.2490234375</v>
          </cell>
          <cell r="R228">
            <v>2573.03735351562</v>
          </cell>
        </row>
        <row r="229">
          <cell r="M229">
            <v>8509.408203125</v>
          </cell>
          <cell r="R229">
            <v>2572.89868164062</v>
          </cell>
        </row>
        <row r="230">
          <cell r="M230">
            <v>8707.357421875</v>
          </cell>
          <cell r="R230">
            <v>2590.291015625</v>
          </cell>
        </row>
        <row r="231">
          <cell r="M231">
            <v>8517.541015625</v>
          </cell>
          <cell r="R231">
            <v>2539.76782226562</v>
          </cell>
        </row>
        <row r="232">
          <cell r="M232">
            <v>8481.6044921875</v>
          </cell>
          <cell r="R232">
            <v>2593.60180664062</v>
          </cell>
        </row>
        <row r="233">
          <cell r="M233">
            <v>8513.859375</v>
          </cell>
          <cell r="R233">
            <v>2600.40942382812</v>
          </cell>
        </row>
        <row r="234">
          <cell r="M234">
            <v>8567.78515625</v>
          </cell>
          <cell r="R234">
            <v>2618.22924804688</v>
          </cell>
        </row>
        <row r="235">
          <cell r="M235">
            <v>8656.9833984375</v>
          </cell>
          <cell r="R235">
            <v>2634.93090820312</v>
          </cell>
        </row>
        <row r="236">
          <cell r="M236">
            <v>8569.9111328125</v>
          </cell>
          <cell r="R236">
            <v>2649.01708984375</v>
          </cell>
        </row>
        <row r="237">
          <cell r="M237">
            <v>8549.2880859375</v>
          </cell>
          <cell r="R237">
            <v>2648.51806640625</v>
          </cell>
        </row>
        <row r="238">
          <cell r="M238">
            <v>8567.0517578125</v>
          </cell>
          <cell r="R238">
            <v>2661.3955078125</v>
          </cell>
        </row>
        <row r="239">
          <cell r="M239">
            <v>8591.5146484375</v>
          </cell>
          <cell r="R239">
            <v>2671.48828125</v>
          </cell>
        </row>
        <row r="240">
          <cell r="M240">
            <v>8628.5625</v>
          </cell>
          <cell r="R240">
            <v>2673.08032226562</v>
          </cell>
        </row>
        <row r="241">
          <cell r="M241">
            <v>8660.908203125</v>
          </cell>
          <cell r="R241">
            <v>2686.29907226562</v>
          </cell>
        </row>
        <row r="242">
          <cell r="M242">
            <v>8720.4912109375</v>
          </cell>
          <cell r="R242">
            <v>2706.89086914062</v>
          </cell>
        </row>
        <row r="243">
          <cell r="M243">
            <v>8744.619140625</v>
          </cell>
          <cell r="R243">
            <v>2713.67138671875</v>
          </cell>
        </row>
        <row r="244">
          <cell r="M244">
            <v>8819.017578125</v>
          </cell>
          <cell r="R244">
            <v>2728.72265625</v>
          </cell>
        </row>
        <row r="245">
          <cell r="M245">
            <v>8790.607421875</v>
          </cell>
          <cell r="R245">
            <v>2736.181640625</v>
          </cell>
        </row>
        <row r="246">
          <cell r="M246">
            <v>8688.4814453125</v>
          </cell>
          <cell r="R246">
            <v>2749.8076171875</v>
          </cell>
        </row>
        <row r="247">
          <cell r="M247">
            <v>8766.5380859375</v>
          </cell>
          <cell r="R247">
            <v>2757.41870117188</v>
          </cell>
        </row>
        <row r="248">
          <cell r="M248">
            <v>8833.8818359375</v>
          </cell>
          <cell r="R248">
            <v>2760.06665039062</v>
          </cell>
        </row>
        <row r="249">
          <cell r="M249">
            <v>8904.08984375</v>
          </cell>
          <cell r="R249">
            <v>2780.35400390625</v>
          </cell>
        </row>
        <row r="250">
          <cell r="M250">
            <v>8919.9482421875</v>
          </cell>
          <cell r="R250">
            <v>2793.06665039062</v>
          </cell>
        </row>
        <row r="251">
          <cell r="M251">
            <v>8796.1728515625</v>
          </cell>
          <cell r="R251">
            <v>2802.7236328125</v>
          </cell>
        </row>
        <row r="252">
          <cell r="M252">
            <v>8765.064453125</v>
          </cell>
          <cell r="R252">
            <v>2820.85180664062</v>
          </cell>
        </row>
        <row r="253">
          <cell r="M253">
            <v>8799.7080078125</v>
          </cell>
          <cell r="R253">
            <v>2844.30395507812</v>
          </cell>
        </row>
        <row r="254">
          <cell r="M254">
            <v>8777.79296875</v>
          </cell>
          <cell r="R254">
            <v>2814.76318359375</v>
          </cell>
        </row>
        <row r="255">
          <cell r="M255">
            <v>8713.7138671875</v>
          </cell>
          <cell r="R255">
            <v>2872.39770507812</v>
          </cell>
        </row>
        <row r="256">
          <cell r="M256">
            <v>8705.78125</v>
          </cell>
          <cell r="R256">
            <v>2861.69750976562</v>
          </cell>
        </row>
        <row r="257">
          <cell r="M257">
            <v>8879.6396484375</v>
          </cell>
          <cell r="R257">
            <v>2881.751953125</v>
          </cell>
        </row>
        <row r="258">
          <cell r="M258">
            <v>8845.8173828125</v>
          </cell>
          <cell r="R258">
            <v>2894.0966796875</v>
          </cell>
        </row>
        <row r="259">
          <cell r="M259">
            <v>8875.251953125</v>
          </cell>
          <cell r="R259">
            <v>2895.55615234375</v>
          </cell>
        </row>
        <row r="260">
          <cell r="M260">
            <v>8827.2998046875</v>
          </cell>
          <cell r="R260">
            <v>2908.09521484375</v>
          </cell>
        </row>
        <row r="261">
          <cell r="M261">
            <v>8772.1982421875</v>
          </cell>
          <cell r="R261">
            <v>2937.61547851562</v>
          </cell>
        </row>
        <row r="262">
          <cell r="M262">
            <v>8916.8583984375</v>
          </cell>
          <cell r="R262">
            <v>2904.66577148438</v>
          </cell>
        </row>
        <row r="263">
          <cell r="M263">
            <v>8797.0546875</v>
          </cell>
          <cell r="R263">
            <v>2911.1416015625</v>
          </cell>
        </row>
        <row r="264">
          <cell r="M264">
            <v>8666.0009765625</v>
          </cell>
          <cell r="R264">
            <v>2940.7607421875</v>
          </cell>
        </row>
        <row r="265">
          <cell r="M265">
            <v>8630.984375</v>
          </cell>
          <cell r="R265">
            <v>2932.46752929688</v>
          </cell>
        </row>
        <row r="266">
          <cell r="M266">
            <v>8633.83203125</v>
          </cell>
          <cell r="R266">
            <v>2952.65283203125</v>
          </cell>
        </row>
        <row r="267">
          <cell r="M267">
            <v>8677.5576171875</v>
          </cell>
          <cell r="R267">
            <v>2906.16040039062</v>
          </cell>
        </row>
        <row r="268">
          <cell r="M268">
            <v>8580.28515625</v>
          </cell>
          <cell r="R268">
            <v>2946.0078125</v>
          </cell>
        </row>
        <row r="269">
          <cell r="M269">
            <v>8557.7919921875</v>
          </cell>
          <cell r="R269">
            <v>2935.08081054688</v>
          </cell>
        </row>
        <row r="270">
          <cell r="M270">
            <v>8648.0419921875</v>
          </cell>
          <cell r="R270">
            <v>2907.69360351562</v>
          </cell>
        </row>
        <row r="271">
          <cell r="M271">
            <v>8606.6376953125</v>
          </cell>
          <cell r="R271">
            <v>2912.00659179688</v>
          </cell>
        </row>
        <row r="272">
          <cell r="M272">
            <v>8575.6875</v>
          </cell>
          <cell r="R272">
            <v>2909.18896484375</v>
          </cell>
        </row>
        <row r="273">
          <cell r="M273">
            <v>8549.474609375</v>
          </cell>
          <cell r="R273">
            <v>2902.79541015625</v>
          </cell>
        </row>
        <row r="274">
          <cell r="M274">
            <v>8448.146484375</v>
          </cell>
          <cell r="R274">
            <v>2908.78002929688</v>
          </cell>
        </row>
        <row r="275">
          <cell r="M275">
            <v>8511.6513671875</v>
          </cell>
          <cell r="R275">
            <v>2919.31787109375</v>
          </cell>
        </row>
        <row r="276">
          <cell r="M276">
            <v>8543.3271484375</v>
          </cell>
          <cell r="R276">
            <v>2919.271484375</v>
          </cell>
        </row>
        <row r="277">
          <cell r="M277">
            <v>8445.3427734375</v>
          </cell>
          <cell r="R277">
            <v>2937.00390625</v>
          </cell>
        </row>
        <row r="278">
          <cell r="M278">
            <v>8491.0693359375</v>
          </cell>
          <cell r="R278">
            <v>2946.50732421875</v>
          </cell>
        </row>
        <row r="279">
          <cell r="M279">
            <v>8418.1689453125</v>
          </cell>
          <cell r="R279">
            <v>2955.86938476562</v>
          </cell>
        </row>
        <row r="280">
          <cell r="M280">
            <v>8420.28125</v>
          </cell>
          <cell r="R280">
            <v>2963.31176757812</v>
          </cell>
        </row>
        <row r="281">
          <cell r="M281">
            <v>8383.8671875</v>
          </cell>
          <cell r="R281">
            <v>2973.31372070312</v>
          </cell>
        </row>
        <row r="282">
          <cell r="M282">
            <v>8511.2841796875</v>
          </cell>
          <cell r="R282">
            <v>2983.10327148438</v>
          </cell>
        </row>
        <row r="283">
          <cell r="M283">
            <v>8605.4794921875</v>
          </cell>
          <cell r="R283">
            <v>2996.21484375</v>
          </cell>
        </row>
        <row r="284">
          <cell r="M284">
            <v>8576.0693359375</v>
          </cell>
          <cell r="R284">
            <v>3004.8271484375</v>
          </cell>
        </row>
        <row r="285">
          <cell r="M285">
            <v>8499.21484375</v>
          </cell>
          <cell r="R285">
            <v>3019.92504882812</v>
          </cell>
        </row>
        <row r="286">
          <cell r="M286">
            <v>8543.49609375</v>
          </cell>
          <cell r="R286">
            <v>3035.6728515625</v>
          </cell>
        </row>
        <row r="287">
          <cell r="M287">
            <v>8604.5361328125</v>
          </cell>
          <cell r="R287">
            <v>3045.05712890625</v>
          </cell>
        </row>
        <row r="288">
          <cell r="M288">
            <v>8562.5234375</v>
          </cell>
          <cell r="R288">
            <v>3045.43286132812</v>
          </cell>
        </row>
        <row r="289">
          <cell r="M289">
            <v>8671.658203125</v>
          </cell>
          <cell r="R289">
            <v>3062.00659179688</v>
          </cell>
        </row>
        <row r="290">
          <cell r="M290">
            <v>8506.826171875</v>
          </cell>
          <cell r="R290">
            <v>3040.36499023438</v>
          </cell>
        </row>
        <row r="291">
          <cell r="M291">
            <v>8486.1435546875</v>
          </cell>
          <cell r="R291">
            <v>3092.6005859375</v>
          </cell>
        </row>
        <row r="292">
          <cell r="M292">
            <v>8615.5966796875</v>
          </cell>
          <cell r="R292">
            <v>3107.13256835938</v>
          </cell>
        </row>
        <row r="293">
          <cell r="M293">
            <v>8555.1708984375</v>
          </cell>
          <cell r="R293">
            <v>3106.52099609375</v>
          </cell>
        </row>
        <row r="294">
          <cell r="M294">
            <v>8586.0400390625</v>
          </cell>
          <cell r="R294">
            <v>3115.44018554688</v>
          </cell>
        </row>
        <row r="295">
          <cell r="M295">
            <v>8514.4638671875</v>
          </cell>
          <cell r="R295">
            <v>3120.01123046875</v>
          </cell>
        </row>
        <row r="296">
          <cell r="M296">
            <v>8589.1845703125</v>
          </cell>
          <cell r="R296">
            <v>3132.29663085938</v>
          </cell>
        </row>
        <row r="297">
          <cell r="M297">
            <v>8603.056640625</v>
          </cell>
          <cell r="R297">
            <v>3143.00732421875</v>
          </cell>
        </row>
        <row r="298">
          <cell r="M298">
            <v>8545.6005859375</v>
          </cell>
          <cell r="R298">
            <v>3152.11547851562</v>
          </cell>
        </row>
        <row r="299">
          <cell r="M299">
            <v>8531.2509765625</v>
          </cell>
          <cell r="R299">
            <v>3163.74633789062</v>
          </cell>
        </row>
        <row r="300">
          <cell r="M300">
            <v>8565.3681640625</v>
          </cell>
          <cell r="R300">
            <v>3177.7626953125</v>
          </cell>
        </row>
        <row r="301">
          <cell r="M301">
            <v>8567.015625</v>
          </cell>
          <cell r="R301">
            <v>3187.68969726562</v>
          </cell>
        </row>
        <row r="302">
          <cell r="M302">
            <v>8623.22265625</v>
          </cell>
          <cell r="R302">
            <v>3228.30981445312</v>
          </cell>
        </row>
        <row r="303">
          <cell r="M303">
            <v>8698.0087890625</v>
          </cell>
          <cell r="R303">
            <v>3180.56176757812</v>
          </cell>
        </row>
        <row r="304">
          <cell r="M304">
            <v>8651.537109375</v>
          </cell>
          <cell r="R304">
            <v>3215.03442382812</v>
          </cell>
        </row>
        <row r="305">
          <cell r="M305">
            <v>8630.23046875</v>
          </cell>
          <cell r="R305">
            <v>3219.54711914062</v>
          </cell>
        </row>
        <row r="306">
          <cell r="M306">
            <v>8502.4081936861803</v>
          </cell>
          <cell r="R306">
            <v>3246.69995117188</v>
          </cell>
          <cell r="AY306">
            <v>5.7187235244281272E-2</v>
          </cell>
          <cell r="AZ306">
            <v>0.77899078784545583</v>
          </cell>
          <cell r="BA306">
            <v>0.73444245840780975</v>
          </cell>
        </row>
        <row r="307">
          <cell r="M307">
            <v>8615.8580141334896</v>
          </cell>
          <cell r="R307">
            <v>3253</v>
          </cell>
          <cell r="AY307">
            <v>5.9773430903461863E-2</v>
          </cell>
          <cell r="AZ307">
            <v>0.78072898069052665</v>
          </cell>
          <cell r="BA307">
            <v>0.73406213090889116</v>
          </cell>
        </row>
        <row r="308">
          <cell r="M308">
            <v>8591.4369676247898</v>
          </cell>
          <cell r="R308">
            <v>3268</v>
          </cell>
          <cell r="AY308">
            <v>6.0282574568288859E-2</v>
          </cell>
          <cell r="AZ308">
            <v>0.78525641025641024</v>
          </cell>
          <cell r="BA308">
            <v>0.73791913214990135</v>
          </cell>
        </row>
        <row r="309">
          <cell r="M309">
            <v>8569.4523562592203</v>
          </cell>
          <cell r="R309">
            <v>3272.39990234375</v>
          </cell>
          <cell r="AY309">
            <v>5.9340352834530367E-2</v>
          </cell>
          <cell r="AZ309">
            <v>0.78593741436948528</v>
          </cell>
          <cell r="BA309">
            <v>0.73929961089494156</v>
          </cell>
        </row>
        <row r="310">
          <cell r="M310">
            <v>8663.0009691650503</v>
          </cell>
          <cell r="R310">
            <v>3275.39990234375</v>
          </cell>
          <cell r="AY310">
            <v>6.1226614834611781E-2</v>
          </cell>
          <cell r="AZ310">
            <v>0.78768078300571398</v>
          </cell>
          <cell r="BA310">
            <v>0.73945375509199773</v>
          </cell>
        </row>
        <row r="311">
          <cell r="M311">
            <v>8668.4413137399206</v>
          </cell>
          <cell r="R311">
            <v>3270</v>
          </cell>
          <cell r="AY311">
            <v>5.9680321062828674E-2</v>
          </cell>
          <cell r="AZ311">
            <v>0.79011535727953641</v>
          </cell>
          <cell r="BA311">
            <v>0.74296101908042211</v>
          </cell>
        </row>
        <row r="312">
          <cell r="M312">
            <v>8631.3605251145309</v>
          </cell>
          <cell r="R312">
            <v>3289.60009765625</v>
          </cell>
          <cell r="AY312">
            <v>5.8193700896892166E-2</v>
          </cell>
          <cell r="AZ312">
            <v>0.78722530855751072</v>
          </cell>
          <cell r="BA312">
            <v>0.74144112093265102</v>
          </cell>
        </row>
        <row r="313">
          <cell r="M313">
            <v>8582.5050600786599</v>
          </cell>
          <cell r="R313">
            <v>3295.19995117188</v>
          </cell>
          <cell r="AY313">
            <v>5.6901602619334822E-2</v>
          </cell>
          <cell r="AZ313">
            <v>0.7948008546540295</v>
          </cell>
          <cell r="BA313">
            <v>0.74957541226099822</v>
          </cell>
        </row>
        <row r="314">
          <cell r="M314">
            <v>8621.9047418402606</v>
          </cell>
          <cell r="R314">
            <v>3290.80004882812</v>
          </cell>
          <cell r="AY314">
            <v>5.8503636993418776E-2</v>
          </cell>
          <cell r="AZ314">
            <v>0.78877626294363545</v>
          </cell>
          <cell r="BA314">
            <v>0.74262998278735548</v>
          </cell>
        </row>
        <row r="315">
          <cell r="M315">
            <v>8660.7394598163391</v>
          </cell>
          <cell r="R315">
            <v>3301.39990234375</v>
          </cell>
          <cell r="AY315">
            <v>6.0629052283073533E-2</v>
          </cell>
          <cell r="AZ315">
            <v>0.79003868998964633</v>
          </cell>
          <cell r="BA315">
            <v>0.7421393929486132</v>
          </cell>
        </row>
        <row r="316">
          <cell r="M316">
            <v>8701.2853656471398</v>
          </cell>
          <cell r="R316">
            <v>3298.80004882812</v>
          </cell>
          <cell r="AY316">
            <v>5.8203260492542493E-2</v>
          </cell>
          <cell r="AZ316">
            <v>0.78583694496688206</v>
          </cell>
          <cell r="BA316">
            <v>0.74009867255431083</v>
          </cell>
        </row>
        <row r="317">
          <cell r="M317">
            <v>8759.6366638245308</v>
          </cell>
          <cell r="R317">
            <v>3309.89990234375</v>
          </cell>
          <cell r="AY317">
            <v>5.7139883430474596E-2</v>
          </cell>
          <cell r="AZ317">
            <v>0.78340988775038733</v>
          </cell>
          <cell r="BA317">
            <v>0.73867311716902673</v>
          </cell>
        </row>
        <row r="318">
          <cell r="M318">
            <v>8663.4385658555493</v>
          </cell>
          <cell r="R318">
            <v>3326.60009765625</v>
          </cell>
          <cell r="AY318">
            <v>5.6337052179336156E-2</v>
          </cell>
          <cell r="AZ318">
            <v>0.78664486236031617</v>
          </cell>
          <cell r="BA318">
            <v>0.74235486508585435</v>
          </cell>
        </row>
        <row r="319">
          <cell r="M319">
            <v>8733.2001393884202</v>
          </cell>
          <cell r="R319">
            <v>3331.39990234375</v>
          </cell>
          <cell r="AY319">
            <v>5.8552201301160026E-2</v>
          </cell>
          <cell r="AZ319">
            <v>0.79076160923294669</v>
          </cell>
          <cell r="BA319">
            <v>0.74446077630791008</v>
          </cell>
        </row>
        <row r="320">
          <cell r="M320">
            <v>8694.3412877265891</v>
          </cell>
          <cell r="R320">
            <v>3324.10009765625</v>
          </cell>
          <cell r="AY320">
            <v>5.7011209682965414E-2</v>
          </cell>
          <cell r="AZ320">
            <v>0.78919945725915874</v>
          </cell>
          <cell r="BA320">
            <v>0.74420624151967441</v>
          </cell>
        </row>
        <row r="321">
          <cell r="M321">
            <v>8729.5809222200405</v>
          </cell>
          <cell r="R321">
            <v>3349.60009765625</v>
          </cell>
          <cell r="AY321">
            <v>5.7725827950374245E-2</v>
          </cell>
          <cell r="AZ321">
            <v>0.7933353217103658</v>
          </cell>
          <cell r="BA321">
            <v>0.74756649765461891</v>
          </cell>
        </row>
        <row r="322">
          <cell r="M322">
            <v>8727.2318899697693</v>
          </cell>
          <cell r="R322">
            <v>3356.60009765625</v>
          </cell>
          <cell r="AY322">
            <v>5.668002210555402E-2</v>
          </cell>
          <cell r="AZ322">
            <v>0.78545849158979919</v>
          </cell>
          <cell r="BA322">
            <v>0.74093868692349429</v>
          </cell>
        </row>
        <row r="323">
          <cell r="M323">
            <v>8826.78117597251</v>
          </cell>
          <cell r="R323">
            <v>3363.5</v>
          </cell>
          <cell r="AY323">
            <v>5.5101900775406575E-2</v>
          </cell>
          <cell r="AZ323">
            <v>0.78821970414041165</v>
          </cell>
          <cell r="BA323">
            <v>0.74478730021364636</v>
          </cell>
        </row>
        <row r="324">
          <cell r="M324">
            <v>8726.0663584648591</v>
          </cell>
          <cell r="R324">
            <v>3368.60009765625</v>
          </cell>
          <cell r="AY324">
            <v>5.4518781344887593E-2</v>
          </cell>
          <cell r="AZ324">
            <v>0.79026691830682128</v>
          </cell>
          <cell r="BA324">
            <v>0.74718252898355353</v>
          </cell>
        </row>
        <row r="325">
          <cell r="M325">
            <v>8790.3243065221795</v>
          </cell>
          <cell r="R325">
            <v>3375.10009765625</v>
          </cell>
          <cell r="AY325">
            <v>5.2417563642576458E-2</v>
          </cell>
          <cell r="AZ325">
            <v>0.78703205679862309</v>
          </cell>
          <cell r="BA325">
            <v>0.74577775387263334</v>
          </cell>
        </row>
        <row r="326">
          <cell r="M326">
            <v>8853.9131461275701</v>
          </cell>
          <cell r="R326">
            <v>3354.19995117188</v>
          </cell>
          <cell r="AY326">
            <v>5.0542498554470933E-2</v>
          </cell>
          <cell r="AZ326">
            <v>0.78782925587502339</v>
          </cell>
          <cell r="BA326">
            <v>0.74801039684879012</v>
          </cell>
        </row>
        <row r="327">
          <cell r="M327">
            <v>8704.8762063346003</v>
          </cell>
          <cell r="R327">
            <v>3398.30004882812</v>
          </cell>
          <cell r="AY327">
            <v>4.9632352941176475E-2</v>
          </cell>
          <cell r="AZ327">
            <v>0.78897751994198684</v>
          </cell>
          <cell r="BA327">
            <v>0.74981870920957217</v>
          </cell>
        </row>
        <row r="328">
          <cell r="M328">
            <v>8699.5041512343196</v>
          </cell>
          <cell r="R328">
            <v>3393.30004882812</v>
          </cell>
          <cell r="AY328">
            <v>5.1554439315775184E-2</v>
          </cell>
          <cell r="AZ328">
            <v>0.78873541064353792</v>
          </cell>
          <cell r="BA328">
            <v>0.74809936824071099</v>
          </cell>
        </row>
        <row r="329">
          <cell r="M329">
            <v>8714.6621222989706</v>
          </cell>
          <cell r="R329">
            <v>3400.19995117188</v>
          </cell>
          <cell r="AY329">
            <v>5.07731520815633E-2</v>
          </cell>
          <cell r="AZ329">
            <v>0.78477130284037877</v>
          </cell>
          <cell r="BA329">
            <v>0.74492599013201755</v>
          </cell>
        </row>
        <row r="330">
          <cell r="M330">
            <v>8750.8671257066508</v>
          </cell>
          <cell r="R330">
            <v>3429.19995117188</v>
          </cell>
          <cell r="AY330">
            <v>5.2965461685630856E-2</v>
          </cell>
          <cell r="AZ330">
            <v>0.79435290353543442</v>
          </cell>
          <cell r="BA330">
            <v>0.75227963525835873</v>
          </cell>
        </row>
        <row r="331">
          <cell r="M331">
            <v>8708.1038935643592</v>
          </cell>
          <cell r="R331">
            <v>3432.19995117188</v>
          </cell>
          <cell r="AY331">
            <v>4.9443177244062796E-2</v>
          </cell>
          <cell r="AZ331">
            <v>0.79749612112781554</v>
          </cell>
          <cell r="BA331">
            <v>0.75806537905944049</v>
          </cell>
        </row>
        <row r="332">
          <cell r="M332">
            <v>8758.3012286444191</v>
          </cell>
          <cell r="R332">
            <v>3440.80004882812</v>
          </cell>
          <cell r="AY332">
            <v>5.0008362602441882E-2</v>
          </cell>
          <cell r="AZ332">
            <v>0.7979447484318698</v>
          </cell>
          <cell r="BA332">
            <v>0.7580675296943814</v>
          </cell>
        </row>
        <row r="333">
          <cell r="M333">
            <v>8692.0253540255908</v>
          </cell>
          <cell r="R333">
            <v>3446.5</v>
          </cell>
          <cell r="AY333">
            <v>5.2027569593147749E-2</v>
          </cell>
          <cell r="AZ333">
            <v>0.79565541475881163</v>
          </cell>
          <cell r="BA333">
            <v>0.7542593972952828</v>
          </cell>
        </row>
        <row r="334">
          <cell r="M334">
            <v>8822.1799228235905</v>
          </cell>
          <cell r="R334">
            <v>3450.39990234375</v>
          </cell>
          <cell r="AY334">
            <v>5.1797987847395165E-2</v>
          </cell>
          <cell r="AZ334">
            <v>0.79750556085160462</v>
          </cell>
          <cell r="BA334">
            <v>0.75619637750238311</v>
          </cell>
        </row>
        <row r="335">
          <cell r="M335">
            <v>8817.3650928133993</v>
          </cell>
          <cell r="R335">
            <v>3460.19995117188</v>
          </cell>
          <cell r="AY335">
            <v>4.9854840324356796E-2</v>
          </cell>
          <cell r="AZ335">
            <v>0.79319745897300153</v>
          </cell>
          <cell r="BA335">
            <v>0.75365272631021707</v>
          </cell>
        </row>
        <row r="336">
          <cell r="M336">
            <v>8838.8748104599508</v>
          </cell>
          <cell r="R336">
            <v>3446.30004882812</v>
          </cell>
          <cell r="AY336">
            <v>5.0510085401920708E-2</v>
          </cell>
          <cell r="AZ336">
            <v>0.79344530281857262</v>
          </cell>
          <cell r="BA336">
            <v>0.75336831281145367</v>
          </cell>
        </row>
        <row r="337">
          <cell r="M337">
            <v>8865.4594588319596</v>
          </cell>
          <cell r="R337">
            <v>3447.89990234375</v>
          </cell>
          <cell r="AY337">
            <v>5.1138260230990044E-2</v>
          </cell>
          <cell r="AZ337">
            <v>0.79189024873780767</v>
          </cell>
          <cell r="BA337">
            <v>0.75136792577515799</v>
          </cell>
        </row>
        <row r="338">
          <cell r="M338">
            <v>8827.0138022807296</v>
          </cell>
          <cell r="R338">
            <v>3502.19995117188</v>
          </cell>
          <cell r="AY338">
            <v>5.0879000365557807E-2</v>
          </cell>
          <cell r="AZ338">
            <v>0.7960160838050897</v>
          </cell>
          <cell r="BA338">
            <v>0.75548912755938846</v>
          </cell>
        </row>
        <row r="339">
          <cell r="M339">
            <v>8896.2666208395494</v>
          </cell>
          <cell r="R339">
            <v>3472</v>
          </cell>
          <cell r="AY339">
            <v>4.72972972972973E-2</v>
          </cell>
          <cell r="AZ339">
            <v>0.78937501650252151</v>
          </cell>
          <cell r="BA339">
            <v>0.75203971166794281</v>
          </cell>
        </row>
        <row r="340">
          <cell r="M340">
            <v>8829.4644950023994</v>
          </cell>
          <cell r="R340">
            <v>3497.89990234375</v>
          </cell>
          <cell r="AY340">
            <v>4.847462113692013E-2</v>
          </cell>
          <cell r="AZ340">
            <v>0.79711979743630312</v>
          </cell>
          <cell r="BA340">
            <v>0.75847971725483987</v>
          </cell>
        </row>
        <row r="341">
          <cell r="M341">
            <v>8886.0348634840502</v>
          </cell>
          <cell r="R341">
            <v>3513.19995117188</v>
          </cell>
          <cell r="AY341">
            <v>4.9645623866820504E-2</v>
          </cell>
          <cell r="AZ341">
            <v>0.79833149113111213</v>
          </cell>
          <cell r="BA341">
            <v>0.75869782620137904</v>
          </cell>
        </row>
        <row r="342">
          <cell r="M342">
            <v>8923.6196563676604</v>
          </cell>
          <cell r="R342">
            <v>3510.89990234375</v>
          </cell>
          <cell r="AY342">
            <v>4.9077332982467678E-2</v>
          </cell>
          <cell r="AZ342">
            <v>0.79713146992500916</v>
          </cell>
          <cell r="BA342">
            <v>0.75803660391210859</v>
          </cell>
        </row>
        <row r="343">
          <cell r="M343">
            <v>8964.4240440450303</v>
          </cell>
          <cell r="R343">
            <v>3518.89990234375</v>
          </cell>
          <cell r="AY343">
            <v>4.6596166556510242E-2</v>
          </cell>
          <cell r="AZ343">
            <v>0.79453853223053694</v>
          </cell>
          <cell r="BA343">
            <v>0.75751608244715762</v>
          </cell>
        </row>
        <row r="344">
          <cell r="M344">
            <v>8862.1805725347895</v>
          </cell>
          <cell r="R344">
            <v>3539.69995117188</v>
          </cell>
          <cell r="AY344">
            <v>4.608569161597461E-2</v>
          </cell>
          <cell r="AZ344">
            <v>0.79845841142464957</v>
          </cell>
          <cell r="BA344">
            <v>0.76168730037219856</v>
          </cell>
        </row>
        <row r="345">
          <cell r="M345">
            <v>9034.0004113270297</v>
          </cell>
          <cell r="R345">
            <v>3534.69995117188</v>
          </cell>
          <cell r="AY345">
            <v>4.2930625164864143E-2</v>
          </cell>
          <cell r="AZ345">
            <v>0.79753859100113089</v>
          </cell>
          <cell r="BA345">
            <v>0.76329976069634731</v>
          </cell>
        </row>
        <row r="346">
          <cell r="M346">
            <v>9037.1363650356307</v>
          </cell>
          <cell r="R346">
            <v>3549.69995117188</v>
          </cell>
          <cell r="AY346">
            <v>4.4321693956730454E-2</v>
          </cell>
          <cell r="AZ346">
            <v>0.79682464827477795</v>
          </cell>
          <cell r="BA346">
            <v>0.76150803007676382</v>
          </cell>
        </row>
        <row r="347">
          <cell r="M347">
            <v>8991.5298171085105</v>
          </cell>
          <cell r="R347">
            <v>3565.30004882812</v>
          </cell>
          <cell r="AY347">
            <v>4.4862138974392556E-2</v>
          </cell>
          <cell r="AZ347">
            <v>0.80049280452960758</v>
          </cell>
          <cell r="BA347">
            <v>0.7645809850847991</v>
          </cell>
        </row>
        <row r="348">
          <cell r="M348">
            <v>8968.0425211674101</v>
          </cell>
          <cell r="R348">
            <v>3573.69995117188</v>
          </cell>
          <cell r="AY348">
            <v>4.6379756793077452E-2</v>
          </cell>
          <cell r="AZ348">
            <v>0.79887405079863838</v>
          </cell>
          <cell r="BA348">
            <v>0.76179628174914904</v>
          </cell>
        </row>
        <row r="349">
          <cell r="M349">
            <v>9082.5166220102492</v>
          </cell>
          <cell r="R349">
            <v>3579.80004882812</v>
          </cell>
          <cell r="AY349">
            <v>4.3880208333333337E-2</v>
          </cell>
          <cell r="AZ349">
            <v>0.80070896105927125</v>
          </cell>
          <cell r="BA349">
            <v>0.76557368503362344</v>
          </cell>
        </row>
        <row r="350">
          <cell r="M350">
            <v>9162.7247036314202</v>
          </cell>
          <cell r="R350">
            <v>3560.80004882812</v>
          </cell>
          <cell r="AY350">
            <v>4.4720213666862102E-2</v>
          </cell>
          <cell r="AZ350">
            <v>0.80103318722604877</v>
          </cell>
          <cell r="BA350">
            <v>0.76518472135253601</v>
          </cell>
        </row>
        <row r="351">
          <cell r="M351">
            <v>9133.6912400425299</v>
          </cell>
          <cell r="R351">
            <v>3593.5</v>
          </cell>
          <cell r="AY351">
            <v>4.5450118494951786E-2</v>
          </cell>
          <cell r="AZ351">
            <v>0.80074347509618382</v>
          </cell>
          <cell r="BA351">
            <v>0.76437558490173652</v>
          </cell>
        </row>
        <row r="352">
          <cell r="M352">
            <v>9157.6853421305404</v>
          </cell>
          <cell r="R352">
            <v>3608.10009765625</v>
          </cell>
          <cell r="AY352">
            <v>4.4104204753199268E-2</v>
          </cell>
          <cell r="AZ352">
            <v>0.79446014990792846</v>
          </cell>
          <cell r="BA352">
            <v>0.75942111678813184</v>
          </cell>
        </row>
        <row r="353">
          <cell r="M353">
            <v>9192.4419260698796</v>
          </cell>
          <cell r="R353">
            <v>3626</v>
          </cell>
          <cell r="AY353">
            <v>4.5015242913666736E-2</v>
          </cell>
          <cell r="AZ353">
            <v>0.79862208293403092</v>
          </cell>
          <cell r="BA353">
            <v>0.76267191587453698</v>
          </cell>
        </row>
        <row r="354">
          <cell r="M354">
            <v>9212.2044538187092</v>
          </cell>
          <cell r="R354">
            <v>3617.60009765625</v>
          </cell>
          <cell r="AY354">
            <v>4.5479701793794965E-2</v>
          </cell>
          <cell r="AZ354">
            <v>0.79452161092573914</v>
          </cell>
          <cell r="BA354">
            <v>0.75841287085176279</v>
          </cell>
        </row>
        <row r="355">
          <cell r="M355">
            <v>9193.3013760888207</v>
          </cell>
          <cell r="R355">
            <v>3643.10009765625</v>
          </cell>
          <cell r="AY355">
            <v>4.5398333767248111E-2</v>
          </cell>
          <cell r="AZ355">
            <v>0.79433357460448772</v>
          </cell>
          <cell r="BA355">
            <v>0.75827215386206182</v>
          </cell>
        </row>
        <row r="356">
          <cell r="M356">
            <v>9283.7432651752697</v>
          </cell>
          <cell r="R356">
            <v>3652.19995117188</v>
          </cell>
          <cell r="AY356">
            <v>4.5451598262335469E-2</v>
          </cell>
          <cell r="AZ356">
            <v>0.79822995109075379</v>
          </cell>
          <cell r="BA356">
            <v>0.76192324612478324</v>
          </cell>
        </row>
        <row r="357">
          <cell r="M357">
            <v>9308.8444130913304</v>
          </cell>
          <cell r="R357">
            <v>3672</v>
          </cell>
          <cell r="AY357">
            <v>4.3264725839283986E-2</v>
          </cell>
          <cell r="AZ357">
            <v>0.80066746003000988</v>
          </cell>
          <cell r="BA357">
            <v>0.76602680188337557</v>
          </cell>
        </row>
        <row r="358">
          <cell r="M358">
            <v>9203.3508575623291</v>
          </cell>
          <cell r="R358">
            <v>3672.39990234375</v>
          </cell>
          <cell r="AY358">
            <v>4.0177558889284905E-2</v>
          </cell>
          <cell r="AZ358">
            <v>0.79997407983411095</v>
          </cell>
          <cell r="BA358">
            <v>0.76783307413167445</v>
          </cell>
        </row>
        <row r="359">
          <cell r="M359">
            <v>9276.3212871619107</v>
          </cell>
          <cell r="R359">
            <v>3688.89990234375</v>
          </cell>
          <cell r="AY359">
            <v>3.7633540974082558E-2</v>
          </cell>
          <cell r="AZ359">
            <v>0.79877797256883576</v>
          </cell>
          <cell r="BA359">
            <v>0.76871712900897171</v>
          </cell>
        </row>
        <row r="360">
          <cell r="M360">
            <v>9351.8728963108006</v>
          </cell>
          <cell r="R360">
            <v>3702.39990234375</v>
          </cell>
          <cell r="AY360">
            <v>3.9916706711516897E-2</v>
          </cell>
          <cell r="AZ360">
            <v>0.80248341817059998</v>
          </cell>
          <cell r="BA360">
            <v>0.77045092292662865</v>
          </cell>
        </row>
        <row r="361">
          <cell r="M361">
            <v>9330.2873609368999</v>
          </cell>
          <cell r="R361">
            <v>3710.19995117188</v>
          </cell>
          <cell r="AY361">
            <v>4.153190944314579E-2</v>
          </cell>
          <cell r="AZ361">
            <v>0.80203919151449787</v>
          </cell>
          <cell r="BA361">
            <v>0.76875465495544093</v>
          </cell>
        </row>
        <row r="362">
          <cell r="M362">
            <v>9232.8323191221098</v>
          </cell>
          <cell r="R362">
            <v>3765.30004882812</v>
          </cell>
          <cell r="AY362">
            <v>4.2991736068683874E-2</v>
          </cell>
          <cell r="AZ362">
            <v>0.79941905300498695</v>
          </cell>
          <cell r="BA362">
            <v>0.7650506400699193</v>
          </cell>
        </row>
        <row r="363">
          <cell r="M363">
            <v>9536.2061077763901</v>
          </cell>
          <cell r="R363">
            <v>3662.69995117188</v>
          </cell>
          <cell r="AY363">
            <v>3.9669844519802926E-2</v>
          </cell>
          <cell r="AZ363">
            <v>0.79960094136907811</v>
          </cell>
          <cell r="BA363">
            <v>0.76788089634707879</v>
          </cell>
        </row>
        <row r="364">
          <cell r="M364">
            <v>9491.0915008171905</v>
          </cell>
          <cell r="R364">
            <v>3726.39990234375</v>
          </cell>
          <cell r="AY364">
            <v>3.8995606580508609E-2</v>
          </cell>
          <cell r="AZ364">
            <v>0.79913379974885324</v>
          </cell>
          <cell r="BA364">
            <v>0.76797109248865991</v>
          </cell>
        </row>
        <row r="365">
          <cell r="M365">
            <v>9428.1701952536096</v>
          </cell>
          <cell r="R365">
            <v>3730.69995117188</v>
          </cell>
          <cell r="AY365">
            <v>3.8743556082097917E-2</v>
          </cell>
          <cell r="AZ365">
            <v>0.80028187059577194</v>
          </cell>
          <cell r="BA365">
            <v>0.76925048046124278</v>
          </cell>
        </row>
        <row r="366">
          <cell r="M366">
            <v>9434.4412125763301</v>
          </cell>
          <cell r="R366">
            <v>3756.10009765625</v>
          </cell>
          <cell r="AY366">
            <v>3.8734874191689604E-2</v>
          </cell>
          <cell r="AZ366">
            <v>0.7987419775499246</v>
          </cell>
          <cell r="BA366">
            <v>0.76777723797591346</v>
          </cell>
        </row>
        <row r="367">
          <cell r="M367">
            <v>9514.6829764706799</v>
          </cell>
          <cell r="R367">
            <v>3773.80004882812</v>
          </cell>
          <cell r="AY367">
            <v>3.7619153887843912E-2</v>
          </cell>
          <cell r="AZ367">
            <v>0.79948514043941477</v>
          </cell>
          <cell r="BA367">
            <v>0.76940918591017993</v>
          </cell>
        </row>
        <row r="368">
          <cell r="M368">
            <v>9437.1849580774197</v>
          </cell>
          <cell r="R368">
            <v>3788.60009765625</v>
          </cell>
          <cell r="AY368">
            <v>3.8406465777834346E-2</v>
          </cell>
          <cell r="AZ368">
            <v>0.79952680184191105</v>
          </cell>
          <cell r="BA368">
            <v>0.76881980308850839</v>
          </cell>
        </row>
        <row r="369">
          <cell r="M369">
            <v>9478.4645152940793</v>
          </cell>
          <cell r="R369">
            <v>3787.39990234375</v>
          </cell>
          <cell r="AY369">
            <v>3.8241646550628894E-2</v>
          </cell>
          <cell r="AZ369">
            <v>0.80028469027223514</v>
          </cell>
          <cell r="BA369">
            <v>0.76968048600696481</v>
          </cell>
        </row>
        <row r="370">
          <cell r="M370">
            <v>9649.55107911907</v>
          </cell>
          <cell r="R370">
            <v>3806.39990234375</v>
          </cell>
          <cell r="AY370">
            <v>3.8440800532842781E-2</v>
          </cell>
          <cell r="AZ370">
            <v>0.80248924635394137</v>
          </cell>
          <cell r="BA370">
            <v>0.7716409173050981</v>
          </cell>
        </row>
        <row r="371">
          <cell r="M371">
            <v>9531.4459733982294</v>
          </cell>
          <cell r="R371">
            <v>3807.19995117188</v>
          </cell>
          <cell r="AY371">
            <v>3.8085844283941579E-2</v>
          </cell>
          <cell r="AZ371">
            <v>0.79951666242686337</v>
          </cell>
          <cell r="BA371">
            <v>0.76906639531925713</v>
          </cell>
        </row>
        <row r="372">
          <cell r="M372">
            <v>9573.0902342296195</v>
          </cell>
          <cell r="R372">
            <v>3812.60009765625</v>
          </cell>
          <cell r="AY372">
            <v>3.5907837606566725E-2</v>
          </cell>
          <cell r="AZ372">
            <v>0.80032974001268231</v>
          </cell>
          <cell r="BA372">
            <v>0.77159162967660111</v>
          </cell>
        </row>
        <row r="373">
          <cell r="M373">
            <v>9659.7137715004992</v>
          </cell>
          <cell r="R373">
            <v>3809.39990234375</v>
          </cell>
          <cell r="AY373">
            <v>3.5828025477707005E-2</v>
          </cell>
          <cell r="AZ373">
            <v>0.79465505896644228</v>
          </cell>
          <cell r="BA373">
            <v>0.76620944475375807</v>
          </cell>
        </row>
        <row r="374">
          <cell r="M374">
            <v>9604.5471234568795</v>
          </cell>
          <cell r="R374">
            <v>3829</v>
          </cell>
          <cell r="AY374">
            <v>3.4701810941499954E-2</v>
          </cell>
          <cell r="AZ374">
            <v>0.80134228187919465</v>
          </cell>
          <cell r="BA374">
            <v>0.77353425351399274</v>
          </cell>
        </row>
        <row r="375">
          <cell r="M375">
            <v>9605.6034343813699</v>
          </cell>
          <cell r="R375">
            <v>3832.5</v>
          </cell>
          <cell r="AY375">
            <v>3.5569137708326773E-2</v>
          </cell>
          <cell r="AZ375">
            <v>0.80166186795979189</v>
          </cell>
          <cell r="BA375">
            <v>0.77314744658281553</v>
          </cell>
        </row>
        <row r="376">
          <cell r="M376">
            <v>9639.0916562373204</v>
          </cell>
          <cell r="R376">
            <v>3847.89990234375</v>
          </cell>
          <cell r="AY376">
            <v>3.6043138244197782E-2</v>
          </cell>
          <cell r="AZ376">
            <v>0.80161779575328607</v>
          </cell>
          <cell r="BA376">
            <v>0.77272497472194135</v>
          </cell>
        </row>
        <row r="377">
          <cell r="M377">
            <v>9688.7327063877801</v>
          </cell>
          <cell r="R377">
            <v>3834.39990234375</v>
          </cell>
          <cell r="AY377">
            <v>3.4698825529771091E-2</v>
          </cell>
          <cell r="AZ377">
            <v>0.80223805193492981</v>
          </cell>
          <cell r="BA377">
            <v>0.77440133373749609</v>
          </cell>
        </row>
        <row r="378">
          <cell r="M378">
            <v>9737.2019626821002</v>
          </cell>
          <cell r="R378">
            <v>3862.60009765625</v>
          </cell>
          <cell r="AY378">
            <v>3.2557845492476929E-2</v>
          </cell>
          <cell r="AZ378">
            <v>0.79820356259776959</v>
          </cell>
          <cell r="BA378">
            <v>0.77221577433516675</v>
          </cell>
        </row>
        <row r="379">
          <cell r="M379">
            <v>9696.2265366077409</v>
          </cell>
          <cell r="R379">
            <v>3888</v>
          </cell>
          <cell r="AY379">
            <v>3.2268190093540081E-2</v>
          </cell>
          <cell r="AZ379">
            <v>0.80099565031554065</v>
          </cell>
          <cell r="BA379">
            <v>0.77514897040705999</v>
          </cell>
        </row>
        <row r="380">
          <cell r="M380">
            <v>9784.0219421953607</v>
          </cell>
          <cell r="R380">
            <v>3896.89990234375</v>
          </cell>
          <cell r="AY380">
            <v>3.2864293134384742E-2</v>
          </cell>
          <cell r="AZ380">
            <v>0.80266316294817697</v>
          </cell>
          <cell r="BA380">
            <v>0.77628420547287569</v>
          </cell>
        </row>
        <row r="381">
          <cell r="M381">
            <v>9797.9699596011797</v>
          </cell>
          <cell r="R381">
            <v>3903.39990234375</v>
          </cell>
          <cell r="AY381">
            <v>3.5250289578311361E-2</v>
          </cell>
          <cell r="AZ381">
            <v>0.80033573862497498</v>
          </cell>
          <cell r="BA381">
            <v>0.7721236720785728</v>
          </cell>
        </row>
        <row r="382">
          <cell r="M382">
            <v>9731.0513258154097</v>
          </cell>
          <cell r="R382">
            <v>3924.10009765625</v>
          </cell>
          <cell r="AY382">
            <v>3.5778844355793801E-2</v>
          </cell>
          <cell r="AZ382">
            <v>0.8089859311179467</v>
          </cell>
          <cell r="BA382">
            <v>0.78004134940245085</v>
          </cell>
        </row>
        <row r="383">
          <cell r="M383">
            <v>9781.4140253913592</v>
          </cell>
          <cell r="R383">
            <v>3907.89990234375</v>
          </cell>
          <cell r="AY383">
            <v>3.6320666708128613E-2</v>
          </cell>
          <cell r="AZ383">
            <v>0.80807116293094794</v>
          </cell>
          <cell r="BA383">
            <v>0.77872147954568305</v>
          </cell>
        </row>
        <row r="384">
          <cell r="M384">
            <v>9800.05368627805</v>
          </cell>
          <cell r="R384">
            <v>3886.19995117188</v>
          </cell>
          <cell r="AY384">
            <v>3.3933561005898789E-2</v>
          </cell>
          <cell r="AZ384">
            <v>0.80492802878848457</v>
          </cell>
          <cell r="BA384">
            <v>0.77761395441823267</v>
          </cell>
        </row>
        <row r="385">
          <cell r="M385">
            <v>9846.4726740755505</v>
          </cell>
          <cell r="R385">
            <v>3895.69995117188</v>
          </cell>
          <cell r="AY385">
            <v>3.3230941077911198E-2</v>
          </cell>
          <cell r="AZ385">
            <v>0.80383598543422952</v>
          </cell>
          <cell r="BA385">
            <v>0.77712375916595999</v>
          </cell>
        </row>
        <row r="386">
          <cell r="M386">
            <v>9982.2848876076496</v>
          </cell>
          <cell r="R386">
            <v>3852.10009765625</v>
          </cell>
          <cell r="AY386">
            <v>3.5493587553954598E-2</v>
          </cell>
          <cell r="AZ386">
            <v>0.80182759822717997</v>
          </cell>
          <cell r="BA386">
            <v>0.77336786016632642</v>
          </cell>
        </row>
        <row r="387">
          <cell r="M387">
            <v>9954.6216315289603</v>
          </cell>
          <cell r="R387">
            <v>3946.19995117188</v>
          </cell>
          <cell r="AY387">
            <v>3.6177156177156181E-2</v>
          </cell>
          <cell r="AZ387">
            <v>0.80091105966694043</v>
          </cell>
          <cell r="BA387">
            <v>0.77196126751798466</v>
          </cell>
        </row>
        <row r="388">
          <cell r="M388">
            <v>9976.3208702864704</v>
          </cell>
          <cell r="R388">
            <v>3940.19995117188</v>
          </cell>
          <cell r="AY388">
            <v>3.7524850894632207E-2</v>
          </cell>
          <cell r="AZ388">
            <v>0.7995032906991183</v>
          </cell>
          <cell r="BA388">
            <v>0.76950204892586616</v>
          </cell>
        </row>
        <row r="389">
          <cell r="M389">
            <v>9937.2265930631493</v>
          </cell>
          <cell r="R389">
            <v>3937.80004882812</v>
          </cell>
          <cell r="AY389">
            <v>3.6079133360081485E-2</v>
          </cell>
          <cell r="AZ389">
            <v>0.80459399056369507</v>
          </cell>
          <cell r="BA389">
            <v>0.77556493667742732</v>
          </cell>
        </row>
        <row r="390">
          <cell r="M390">
            <v>9948.7662977994296</v>
          </cell>
          <cell r="R390">
            <v>3951.30004882812</v>
          </cell>
          <cell r="AY390">
            <v>3.718639372017854E-2</v>
          </cell>
          <cell r="AZ390">
            <v>0.80510049815360973</v>
          </cell>
          <cell r="BA390">
            <v>0.77516171404495771</v>
          </cell>
        </row>
        <row r="391">
          <cell r="M391">
            <v>9905.0247713231001</v>
          </cell>
          <cell r="R391">
            <v>3978.69995117188</v>
          </cell>
          <cell r="AY391">
            <v>3.5694538305584569E-2</v>
          </cell>
          <cell r="AZ391">
            <v>0.80747097926381595</v>
          </cell>
          <cell r="BA391">
            <v>0.77864867546383565</v>
          </cell>
        </row>
        <row r="392">
          <cell r="M392">
            <v>9893.5973767749692</v>
          </cell>
          <cell r="R392">
            <v>3967.80004882812</v>
          </cell>
          <cell r="AY392">
            <v>3.3100562955671084E-2</v>
          </cell>
          <cell r="AZ392">
            <v>0.80640519957331747</v>
          </cell>
          <cell r="BA392">
            <v>0.77971273349706038</v>
          </cell>
        </row>
        <row r="393">
          <cell r="M393">
            <v>9853.1035966649106</v>
          </cell>
          <cell r="R393">
            <v>4004.30004882812</v>
          </cell>
          <cell r="AY393">
            <v>3.4295029527559057E-2</v>
          </cell>
          <cell r="AZ393">
            <v>0.80586952210985519</v>
          </cell>
          <cell r="BA393">
            <v>0.77823220305373775</v>
          </cell>
        </row>
        <row r="394">
          <cell r="M394">
            <v>9982.7430442922105</v>
          </cell>
          <cell r="R394">
            <v>3991.80004882812</v>
          </cell>
          <cell r="AY394">
            <v>3.2794939507461769E-2</v>
          </cell>
          <cell r="AZ394">
            <v>0.80513251582278478</v>
          </cell>
          <cell r="BA394">
            <v>0.77872824367088611</v>
          </cell>
        </row>
        <row r="395">
          <cell r="M395">
            <v>9973.3646050213192</v>
          </cell>
          <cell r="R395">
            <v>3990.60009765625</v>
          </cell>
          <cell r="AY395">
            <v>3.4226969128012555E-2</v>
          </cell>
          <cell r="AZ395">
            <v>0.80376536948615818</v>
          </cell>
          <cell r="BA395">
            <v>0.77627965661413623</v>
          </cell>
        </row>
        <row r="396">
          <cell r="M396">
            <v>10142.159684001001</v>
          </cell>
          <cell r="R396">
            <v>3964.19995117188</v>
          </cell>
          <cell r="AY396">
            <v>3.3206890118773709E-2</v>
          </cell>
          <cell r="AZ396">
            <v>0.79445693253958438</v>
          </cell>
          <cell r="BA396">
            <v>0.76807548847664453</v>
          </cell>
        </row>
        <row r="397">
          <cell r="M397">
            <v>10144.5997279856</v>
          </cell>
          <cell r="R397">
            <v>3942.5</v>
          </cell>
          <cell r="AY397">
            <v>3.2084244234381255E-2</v>
          </cell>
          <cell r="AZ397">
            <v>0.80095195817302944</v>
          </cell>
          <cell r="BA397">
            <v>0.77525401992700005</v>
          </cell>
        </row>
        <row r="398">
          <cell r="M398">
            <v>10038.683883657301</v>
          </cell>
          <cell r="R398">
            <v>4017.30004882812</v>
          </cell>
          <cell r="AY398">
            <v>3.1926258279156364E-2</v>
          </cell>
          <cell r="AZ398">
            <v>0.80704995566065629</v>
          </cell>
          <cell r="BA398">
            <v>0.78125923736328706</v>
          </cell>
        </row>
        <row r="399">
          <cell r="M399">
            <v>10218.7617792541</v>
          </cell>
          <cell r="R399">
            <v>3965.89990234375</v>
          </cell>
          <cell r="AY399">
            <v>3.0794214977325655E-2</v>
          </cell>
          <cell r="AZ399">
            <v>0.80184762045158597</v>
          </cell>
          <cell r="BA399">
            <v>0.77715535244834277</v>
          </cell>
        </row>
        <row r="400">
          <cell r="M400">
            <v>10141.5583331175</v>
          </cell>
          <cell r="R400">
            <v>4000.5</v>
          </cell>
          <cell r="AY400">
            <v>3.3888517415354688E-2</v>
          </cell>
          <cell r="AZ400">
            <v>0.80693579241673608</v>
          </cell>
          <cell r="BA400">
            <v>0.77961446019522251</v>
          </cell>
        </row>
        <row r="401">
          <cell r="M401">
            <v>10194.8488737549</v>
          </cell>
          <cell r="R401">
            <v>4003.69995117188</v>
          </cell>
          <cell r="AY401">
            <v>3.1851035158642654E-2</v>
          </cell>
          <cell r="AZ401">
            <v>0.80011762111298967</v>
          </cell>
          <cell r="BA401">
            <v>0.77463304663187038</v>
          </cell>
        </row>
        <row r="402">
          <cell r="M402">
            <v>10196.9031900913</v>
          </cell>
          <cell r="R402">
            <v>4038.10009765625</v>
          </cell>
          <cell r="AY402">
            <v>3.1880266480090041E-2</v>
          </cell>
          <cell r="AZ402">
            <v>0.80174137846934301</v>
          </cell>
          <cell r="BA402">
            <v>0.77618164967562564</v>
          </cell>
        </row>
        <row r="403">
          <cell r="M403">
            <v>10130.373199306699</v>
          </cell>
          <cell r="R403">
            <v>4068.80004882812</v>
          </cell>
          <cell r="AY403">
            <v>3.1882467690807118E-2</v>
          </cell>
          <cell r="AZ403">
            <v>0.8004879834085642</v>
          </cell>
          <cell r="BA403">
            <v>0.7749908503110895</v>
          </cell>
        </row>
        <row r="404">
          <cell r="M404">
            <v>9458.6435721877206</v>
          </cell>
          <cell r="R404">
            <v>3899.80004882812</v>
          </cell>
          <cell r="AY404">
            <v>3.1809389296570359E-2</v>
          </cell>
          <cell r="AZ404">
            <v>0.79183584157934395</v>
          </cell>
          <cell r="BA404">
            <v>0.76664802703556922</v>
          </cell>
        </row>
        <row r="405">
          <cell r="M405">
            <v>12128.6792927223</v>
          </cell>
          <cell r="R405">
            <v>2795.30004882812</v>
          </cell>
          <cell r="AY405">
            <v>3.145832693312034E-2</v>
          </cell>
          <cell r="AZ405">
            <v>0.78980443538603395</v>
          </cell>
          <cell r="BA405">
            <v>0.76495850924443154</v>
          </cell>
        </row>
        <row r="406">
          <cell r="M406">
            <v>11330.6992689783</v>
          </cell>
          <cell r="R406">
            <v>3249.80004882812</v>
          </cell>
          <cell r="AY406">
            <v>3.3220129669651127E-2</v>
          </cell>
          <cell r="AZ406">
            <v>0.78717768002527522</v>
          </cell>
          <cell r="BA406">
            <v>0.76102753542178048</v>
          </cell>
        </row>
        <row r="407">
          <cell r="M407">
            <v>10708.9751712417</v>
          </cell>
          <cell r="R407">
            <v>3636.19995117188</v>
          </cell>
          <cell r="AY407">
            <v>4.1556849524977013E-2</v>
          </cell>
          <cell r="AZ407">
            <v>0.79177889398461565</v>
          </cell>
          <cell r="BA407">
            <v>0.75887505763024432</v>
          </cell>
        </row>
        <row r="408">
          <cell r="M408">
            <v>10733.256613147199</v>
          </cell>
          <cell r="R408">
            <v>3603.69995117188</v>
          </cell>
          <cell r="AY408">
            <v>4.4029782149094587E-2</v>
          </cell>
          <cell r="AZ408">
            <v>0.79223711039906775</v>
          </cell>
          <cell r="BA408">
            <v>0.75735508301776866</v>
          </cell>
        </row>
        <row r="409">
          <cell r="M409">
            <v>10825.672730504</v>
          </cell>
          <cell r="R409">
            <v>3640.69995117188</v>
          </cell>
          <cell r="AY409">
            <v>4.3774854695625573E-2</v>
          </cell>
          <cell r="AZ409">
            <v>0.79414051112622686</v>
          </cell>
          <cell r="BA409">
            <v>0.75937712564376647</v>
          </cell>
        </row>
        <row r="410">
          <cell r="M410">
            <v>10554.3821753916</v>
          </cell>
          <cell r="R410">
            <v>3653.80004882812</v>
          </cell>
          <cell r="AY410">
            <v>4.0522755792244361E-2</v>
          </cell>
          <cell r="AZ410">
            <v>0.79168887811969957</v>
          </cell>
          <cell r="BA410">
            <v>0.75963169372425488</v>
          </cell>
        </row>
        <row r="411">
          <cell r="M411">
            <v>11452.442716416501</v>
          </cell>
          <cell r="R411">
            <v>3351.89990234375</v>
          </cell>
          <cell r="AY411">
            <v>4.1165700335672871E-2</v>
          </cell>
          <cell r="AZ411">
            <v>0.79127831168203999</v>
          </cell>
          <cell r="BA411">
            <v>0.75868063939730535</v>
          </cell>
        </row>
        <row r="412">
          <cell r="M412">
            <v>11048.4016069681</v>
          </cell>
          <cell r="R412">
            <v>3509.30004882812</v>
          </cell>
          <cell r="AY412">
            <v>4.337297694948504E-2</v>
          </cell>
          <cell r="AZ412">
            <v>0.7882858937805054</v>
          </cell>
          <cell r="BA412">
            <v>0.75409558787995934</v>
          </cell>
        </row>
        <row r="413">
          <cell r="M413">
            <v>11269.0271940696</v>
          </cell>
          <cell r="R413">
            <v>3578.19995117188</v>
          </cell>
          <cell r="AY413">
            <v>4.256435582443361E-2</v>
          </cell>
          <cell r="AZ413">
            <v>0.78163526261188465</v>
          </cell>
          <cell r="BA413">
            <v>0.74836546116914771</v>
          </cell>
        </row>
        <row r="414">
          <cell r="M414">
            <v>11269.8547515966</v>
          </cell>
          <cell r="R414">
            <v>3451.80004882812</v>
          </cell>
          <cell r="AY414">
            <v>4.0671560883437104E-2</v>
          </cell>
          <cell r="AZ414">
            <v>0.77865412445730831</v>
          </cell>
          <cell r="BA414">
            <v>0.74698504582730341</v>
          </cell>
        </row>
        <row r="415">
          <cell r="M415">
            <v>11148.6857354737</v>
          </cell>
          <cell r="R415">
            <v>3569.89990234375</v>
          </cell>
          <cell r="AY415">
            <v>4.7666120910691674E-2</v>
          </cell>
          <cell r="AZ415">
            <v>0.77940432908771329</v>
          </cell>
          <cell r="BA415">
            <v>0.74227722533888718</v>
          </cell>
        </row>
        <row r="416">
          <cell r="M416">
            <v>10886.566398668099</v>
          </cell>
          <cell r="R416">
            <v>3716.30004882812</v>
          </cell>
          <cell r="AY416">
            <v>5.0485258549429014E-2</v>
          </cell>
          <cell r="AZ416">
            <v>0.78700334915548276</v>
          </cell>
          <cell r="BA416">
            <v>0.74729537623786224</v>
          </cell>
        </row>
        <row r="417">
          <cell r="M417">
            <v>10798.151983113101</v>
          </cell>
          <cell r="R417">
            <v>3785.89990234375</v>
          </cell>
          <cell r="AY417">
            <v>5.0543709373671107E-2</v>
          </cell>
          <cell r="AZ417">
            <v>0.79080492901924038</v>
          </cell>
          <cell r="BA417">
            <v>0.75083471451562533</v>
          </cell>
        </row>
        <row r="418">
          <cell r="M418">
            <v>10768.405454588899</v>
          </cell>
          <cell r="R418">
            <v>3810.89990234375</v>
          </cell>
          <cell r="AY418">
            <v>4.9767242435379153E-2</v>
          </cell>
          <cell r="AZ418">
            <v>0.78341610883178581</v>
          </cell>
          <cell r="BA418">
            <v>0.744427649415773</v>
          </cell>
        </row>
        <row r="419">
          <cell r="M419">
            <v>10846.3806789796</v>
          </cell>
          <cell r="R419">
            <v>3877.5</v>
          </cell>
          <cell r="AY419">
            <v>5.0075369309617125E-2</v>
          </cell>
          <cell r="AZ419">
            <v>0.79354066985645932</v>
          </cell>
          <cell r="BA419">
            <v>0.75380382775119614</v>
          </cell>
        </row>
        <row r="420">
          <cell r="M420">
            <v>10785.4161179374</v>
          </cell>
          <cell r="R420">
            <v>3927.89990234375</v>
          </cell>
          <cell r="AY420">
            <v>4.781980245723922E-2</v>
          </cell>
          <cell r="AZ420">
            <v>0.79500131670297569</v>
          </cell>
          <cell r="BA420">
            <v>0.75698451078499429</v>
          </cell>
        </row>
        <row r="421">
          <cell r="M421">
            <v>10825.3690886779</v>
          </cell>
          <cell r="R421">
            <v>3953.69995117188</v>
          </cell>
          <cell r="AY421">
            <v>4.7800630535955561E-2</v>
          </cell>
          <cell r="AZ421">
            <v>0.79927524058652721</v>
          </cell>
          <cell r="BA421">
            <v>0.7610693801147137</v>
          </cell>
        </row>
        <row r="422">
          <cell r="M422">
            <v>11066.6372406189</v>
          </cell>
          <cell r="R422">
            <v>3909.80004882812</v>
          </cell>
          <cell r="AY422">
            <v>4.8085565342441128E-2</v>
          </cell>
          <cell r="AZ422">
            <v>0.80070047497960939</v>
          </cell>
          <cell r="BA422">
            <v>0.76219833997025377</v>
          </cell>
        </row>
        <row r="423">
          <cell r="M423">
            <v>10775.187880083</v>
          </cell>
          <cell r="R423">
            <v>4055</v>
          </cell>
          <cell r="AY423">
            <v>4.4086920183869616E-2</v>
          </cell>
          <cell r="AZ423">
            <v>0.80075529423012559</v>
          </cell>
          <cell r="BA423">
            <v>0.76547636120273432</v>
          </cell>
        </row>
        <row r="424">
          <cell r="M424">
            <v>10755.1223382806</v>
          </cell>
          <cell r="R424">
            <v>4094.39990234375</v>
          </cell>
          <cell r="AY424">
            <v>3.8365132257969392E-2</v>
          </cell>
          <cell r="AZ424">
            <v>0.80852129130704309</v>
          </cell>
          <cell r="BA424">
            <v>0.77752610748176054</v>
          </cell>
        </row>
        <row r="425">
          <cell r="M425">
            <v>10876.481314754001</v>
          </cell>
          <cell r="R425">
            <v>4100.7001953125</v>
          </cell>
          <cell r="AY425">
            <v>3.5877345429909571E-2</v>
          </cell>
          <cell r="AZ425">
            <v>0.80558587632290835</v>
          </cell>
          <cell r="BA425">
            <v>0.77665986426842581</v>
          </cell>
        </row>
        <row r="426">
          <cell r="M426">
            <v>10726.3116492108</v>
          </cell>
          <cell r="R426">
            <v>4129.2998046875</v>
          </cell>
          <cell r="AY426">
            <v>3.3561784863370296E-2</v>
          </cell>
          <cell r="AZ426">
            <v>0.80655263220326912</v>
          </cell>
          <cell r="BA426">
            <v>0.77948328628027796</v>
          </cell>
        </row>
        <row r="427">
          <cell r="M427">
            <v>10723.8931367523</v>
          </cell>
          <cell r="R427">
            <v>4160.39990234375</v>
          </cell>
          <cell r="AY427">
            <v>3.3772197517946932E-2</v>
          </cell>
          <cell r="AZ427">
            <v>0.8154283682900817</v>
          </cell>
          <cell r="BA427">
            <v>0.7878895603744519</v>
          </cell>
        </row>
        <row r="428">
          <cell r="M428">
            <v>10689.0552242951</v>
          </cell>
          <cell r="R428">
            <v>4150.60009765625</v>
          </cell>
          <cell r="AY428">
            <v>3.0369525147020099E-2</v>
          </cell>
          <cell r="AZ428">
            <v>0.80902785996638815</v>
          </cell>
          <cell r="BA428">
            <v>0.78448173834828505</v>
          </cell>
        </row>
        <row r="429">
          <cell r="M429">
            <v>10694.7277004921</v>
          </cell>
          <cell r="R429">
            <v>4165.10009765625</v>
          </cell>
          <cell r="AY429">
            <v>2.8463890849211949E-2</v>
          </cell>
          <cell r="AZ429">
            <v>0.80731157270029674</v>
          </cell>
          <cell r="BA429">
            <v>0.78433234421364983</v>
          </cell>
        </row>
        <row r="430">
          <cell r="M430">
            <v>10683.024630177501</v>
          </cell>
          <cell r="R430">
            <v>4195.2001953125</v>
          </cell>
          <cell r="AY430">
            <v>3.0182846811116621E-2</v>
          </cell>
          <cell r="AZ430">
            <v>0.80918894683436771</v>
          </cell>
          <cell r="BA430">
            <v>0.78474172310451429</v>
          </cell>
        </row>
        <row r="431">
          <cell r="M431">
            <v>10635.2161381977</v>
          </cell>
          <cell r="R431">
            <v>4188.5</v>
          </cell>
          <cell r="AY431">
            <v>3.0206215509729888E-2</v>
          </cell>
          <cell r="AZ431">
            <v>0.81244985605738829</v>
          </cell>
          <cell r="BA431">
            <v>0.78790882061446976</v>
          </cell>
        </row>
        <row r="432">
          <cell r="M432">
            <v>10616.542315122901</v>
          </cell>
          <cell r="R432">
            <v>4174.2998046875</v>
          </cell>
          <cell r="AY432">
            <v>3.0711959050721264E-2</v>
          </cell>
          <cell r="AZ432">
            <v>0.81180498170227833</v>
          </cell>
          <cell r="BA432">
            <v>0.78687286034706649</v>
          </cell>
        </row>
        <row r="433">
          <cell r="M433">
            <v>10714.8741624127</v>
          </cell>
          <cell r="R433">
            <v>4188.10009765625</v>
          </cell>
          <cell r="AY433">
            <v>3.32854681217691E-2</v>
          </cell>
          <cell r="AZ433">
            <v>0.8174668388308487</v>
          </cell>
          <cell r="BA433">
            <v>0.79025707242634113</v>
          </cell>
        </row>
        <row r="434">
          <cell r="M434">
            <v>10680.6664235261</v>
          </cell>
          <cell r="R434">
            <v>4225.5</v>
          </cell>
          <cell r="AY434">
            <v>3.1271616324648373E-2</v>
          </cell>
          <cell r="AZ434">
            <v>0.81293345829428298</v>
          </cell>
          <cell r="BA434">
            <v>0.78751171508903461</v>
          </cell>
        </row>
        <row r="435">
          <cell r="M435">
            <v>10787.3950596533</v>
          </cell>
          <cell r="R435">
            <v>4227.10009765625</v>
          </cell>
          <cell r="AY435">
            <v>3.6359445676913765E-2</v>
          </cell>
          <cell r="AZ435">
            <v>0.81300946313126587</v>
          </cell>
          <cell r="BA435">
            <v>0.78344888972172777</v>
          </cell>
        </row>
        <row r="436">
          <cell r="M436">
            <v>10715.677837881</v>
          </cell>
          <cell r="R436">
            <v>4270.10009765625</v>
          </cell>
          <cell r="AY436">
            <v>3.6227107276948216E-2</v>
          </cell>
          <cell r="AZ436">
            <v>0.81593470838595017</v>
          </cell>
          <cell r="BA436">
            <v>0.78637575417426686</v>
          </cell>
        </row>
        <row r="437">
          <cell r="M437">
            <v>10554.1346908829</v>
          </cell>
          <cell r="R437">
            <v>4268</v>
          </cell>
          <cell r="AY437">
            <v>3.6621887567382563E-2</v>
          </cell>
          <cell r="AZ437">
            <v>0.81520146945988059</v>
          </cell>
          <cell r="BA437">
            <v>0.78532400195307961</v>
          </cell>
        </row>
        <row r="438">
          <cell r="M438">
            <v>10819.586081612901</v>
          </cell>
          <cell r="R438">
            <v>4302.60009765625</v>
          </cell>
          <cell r="AY438">
            <v>3.4354186827574427E-2</v>
          </cell>
          <cell r="AZ438">
            <v>0.81557139209359553</v>
          </cell>
          <cell r="BA438">
            <v>0.78755310011838719</v>
          </cell>
        </row>
        <row r="439">
          <cell r="M439">
            <v>10571.080858212001</v>
          </cell>
          <cell r="R439">
            <v>4298.10009765625</v>
          </cell>
          <cell r="AY439">
            <v>3.4512022630834513E-2</v>
          </cell>
          <cell r="AZ439">
            <v>0.8208712613784136</v>
          </cell>
          <cell r="BA439">
            <v>0.79254133382872016</v>
          </cell>
        </row>
        <row r="440">
          <cell r="M440">
            <v>10901.511661340201</v>
          </cell>
          <cell r="R440">
            <v>4291</v>
          </cell>
          <cell r="AY440">
            <v>3.0770100964393789E-2</v>
          </cell>
          <cell r="AZ440">
            <v>0.81811661267931512</v>
          </cell>
          <cell r="BA440">
            <v>0.79291994447015268</v>
          </cell>
        </row>
        <row r="441">
          <cell r="M441">
            <v>10970.158636305599</v>
          </cell>
          <cell r="R441">
            <v>4271.2001953125</v>
          </cell>
          <cell r="AY441">
            <v>2.954713335984999E-2</v>
          </cell>
          <cell r="AZ441">
            <v>0.81316853413422663</v>
          </cell>
          <cell r="BA441">
            <v>0.78914173501212892</v>
          </cell>
        </row>
        <row r="442">
          <cell r="M442">
            <v>10807.054694046101</v>
          </cell>
          <cell r="R442">
            <v>4303.5</v>
          </cell>
          <cell r="AY442">
            <v>3.1443531133881319E-2</v>
          </cell>
          <cell r="AZ442">
            <v>0.81797876994634933</v>
          </cell>
          <cell r="BA442">
            <v>0.79225862902668731</v>
          </cell>
        </row>
        <row r="443">
          <cell r="M443">
            <v>10770.2366160325</v>
          </cell>
          <cell r="R443">
            <v>4301</v>
          </cell>
          <cell r="AY443">
            <v>3.3280774862034013E-2</v>
          </cell>
          <cell r="AZ443">
            <v>0.81634717050521755</v>
          </cell>
          <cell r="BA443">
            <v>0.78917850411437496</v>
          </cell>
        </row>
        <row r="444">
          <cell r="M444">
            <v>10795.2009840786</v>
          </cell>
          <cell r="R444">
            <v>4270</v>
          </cell>
          <cell r="AY444">
            <v>3.0039903332771317E-2</v>
          </cell>
          <cell r="AZ444">
            <v>0.81561275240081588</v>
          </cell>
          <cell r="BA444">
            <v>0.79111182416171977</v>
          </cell>
        </row>
        <row r="445">
          <cell r="M445">
            <v>10848.193854827199</v>
          </cell>
          <cell r="R445">
            <v>4300.5</v>
          </cell>
          <cell r="AY445">
            <v>2.8197183098591549E-2</v>
          </cell>
          <cell r="AZ445">
            <v>0.81539839676596926</v>
          </cell>
          <cell r="BA445">
            <v>0.79240645887406125</v>
          </cell>
        </row>
        <row r="446">
          <cell r="M446">
            <v>10863.480840639601</v>
          </cell>
          <cell r="R446">
            <v>4302.60009765625</v>
          </cell>
          <cell r="AY446">
            <v>2.9500606950286536E-2</v>
          </cell>
          <cell r="AZ446">
            <v>0.8125845892689193</v>
          </cell>
          <cell r="BA446">
            <v>0.7886128506870369</v>
          </cell>
        </row>
        <row r="447">
          <cell r="M447">
            <v>11045.8958563669</v>
          </cell>
          <cell r="R447">
            <v>4157.7001953125</v>
          </cell>
          <cell r="AY447">
            <v>2.8826143202654815E-2</v>
          </cell>
          <cell r="AZ447">
            <v>0.81154855643044621</v>
          </cell>
          <cell r="BA447">
            <v>0.78815474152687437</v>
          </cell>
        </row>
        <row r="448">
          <cell r="M448">
            <v>11423.214603435999</v>
          </cell>
          <cell r="R448">
            <v>3975.60009765625</v>
          </cell>
          <cell r="AY448">
            <v>2.7063099903447491E-2</v>
          </cell>
          <cell r="AZ448">
            <v>0.80406439091220461</v>
          </cell>
          <cell r="BA448">
            <v>0.78230391597214288</v>
          </cell>
        </row>
        <row r="449">
          <cell r="M449">
            <v>11368.791969362501</v>
          </cell>
          <cell r="R449">
            <v>4047.30004882812</v>
          </cell>
          <cell r="AY449">
            <v>2.6464011774362459E-2</v>
          </cell>
          <cell r="AZ449">
            <v>0.80357995769554436</v>
          </cell>
          <cell r="BA449">
            <v>0.78231400823344788</v>
          </cell>
        </row>
        <row r="450">
          <cell r="M450">
            <v>11273.8755619846</v>
          </cell>
          <cell r="R450">
            <v>4112.10009765625</v>
          </cell>
          <cell r="AY450">
            <v>3.0211394980782274E-2</v>
          </cell>
          <cell r="AZ450">
            <v>0.80359738372093026</v>
          </cell>
          <cell r="BA450">
            <v>0.779296875</v>
          </cell>
        </row>
        <row r="451">
          <cell r="M451">
            <v>11305.5188079778</v>
          </cell>
          <cell r="R451">
            <v>4152.89990234375</v>
          </cell>
          <cell r="AY451">
            <v>2.9661971830985914E-2</v>
          </cell>
          <cell r="AZ451">
            <v>0.8069098761222866</v>
          </cell>
          <cell r="BA451">
            <v>0.78299806796226845</v>
          </cell>
        </row>
        <row r="452">
          <cell r="M452">
            <v>11211.2857050315</v>
          </cell>
          <cell r="R452">
            <v>4162.10009765625</v>
          </cell>
          <cell r="AY452">
            <v>3.0054721481689348E-2</v>
          </cell>
          <cell r="AZ452">
            <v>0.80865500260966261</v>
          </cell>
          <cell r="BA452">
            <v>0.78435110173145439</v>
          </cell>
        </row>
        <row r="453">
          <cell r="M453">
            <v>11135.000978939401</v>
          </cell>
          <cell r="R453">
            <v>4191.60009765625</v>
          </cell>
          <cell r="AY453">
            <v>2.9792457040839097E-2</v>
          </cell>
          <cell r="AZ453">
            <v>0.81214318078840053</v>
          </cell>
          <cell r="BA453">
            <v>0.78794743996375172</v>
          </cell>
        </row>
        <row r="454">
          <cell r="M454">
            <v>11310.1651251975</v>
          </cell>
          <cell r="R454">
            <v>4196.39990234375</v>
          </cell>
          <cell r="AY454">
            <v>3.0287719298245617E-2</v>
          </cell>
          <cell r="AZ454">
            <v>0.80910742675448555</v>
          </cell>
          <cell r="BA454">
            <v>0.78460140813081991</v>
          </cell>
        </row>
        <row r="455">
          <cell r="M455">
            <v>11273.0821764955</v>
          </cell>
          <cell r="R455">
            <v>4209.60009765625</v>
          </cell>
          <cell r="AY455">
            <v>2.8042609108955181E-2</v>
          </cell>
          <cell r="AZ455">
            <v>0.80900680826038762</v>
          </cell>
          <cell r="BA455">
            <v>0.78632014656985816</v>
          </cell>
        </row>
        <row r="456">
          <cell r="M456">
            <v>11176.3109683933</v>
          </cell>
          <cell r="R456">
            <v>4239.7998046875</v>
          </cell>
          <cell r="AY456">
            <v>2.6469105372248055E-2</v>
          </cell>
          <cell r="AZ456">
            <v>0.80700723327305601</v>
          </cell>
          <cell r="BA456">
            <v>0.78564647377938512</v>
          </cell>
        </row>
        <row r="457">
          <cell r="M457">
            <v>11004.582719659</v>
          </cell>
          <cell r="R457">
            <v>4224.2998046875</v>
          </cell>
          <cell r="AY457">
            <v>2.5618078084796957E-2</v>
          </cell>
          <cell r="AZ457">
            <v>0.80562377486875603</v>
          </cell>
          <cell r="BA457">
            <v>0.78498524209719933</v>
          </cell>
        </row>
        <row r="458">
          <cell r="M458">
            <v>10977.2755992938</v>
          </cell>
          <cell r="R458">
            <v>4295.7998046875</v>
          </cell>
          <cell r="AY458">
            <v>2.5210084033613443E-2</v>
          </cell>
          <cell r="AZ458">
            <v>0.80526516939816994</v>
          </cell>
          <cell r="BA458">
            <v>0.78498684831725896</v>
          </cell>
        </row>
        <row r="459">
          <cell r="M459">
            <v>11234.5431261127</v>
          </cell>
          <cell r="R459">
            <v>4231.89990234375</v>
          </cell>
          <cell r="AY459">
            <v>2.5467178438349256E-2</v>
          </cell>
          <cell r="AZ459">
            <v>0.80384208274215707</v>
          </cell>
          <cell r="BA459">
            <v>0.78337049298470818</v>
          </cell>
        </row>
        <row r="460">
          <cell r="M460">
            <v>11157.0780228163</v>
          </cell>
          <cell r="R460">
            <v>4269</v>
          </cell>
          <cell r="AY460">
            <v>2.5650359833104645E-2</v>
          </cell>
          <cell r="AZ460">
            <v>0.80397586564005574</v>
          </cell>
          <cell r="BA460">
            <v>0.78337610878472685</v>
          </cell>
        </row>
        <row r="461">
          <cell r="M461">
            <v>11261.0161213188</v>
          </cell>
          <cell r="R461">
            <v>4307.60009765625</v>
          </cell>
          <cell r="AY461">
            <v>2.579996649355001E-2</v>
          </cell>
          <cell r="AZ461">
            <v>0.80394181556972255</v>
          </cell>
          <cell r="BA461">
            <v>0.78320014366525992</v>
          </cell>
        </row>
        <row r="462">
          <cell r="M462">
            <v>11095.761291139101</v>
          </cell>
          <cell r="R462">
            <v>4333.89990234375</v>
          </cell>
          <cell r="AY462">
            <v>2.6049744385088173E-2</v>
          </cell>
          <cell r="AZ462">
            <v>0.8087804878048781</v>
          </cell>
          <cell r="BA462">
            <v>0.78773519163763062</v>
          </cell>
        </row>
        <row r="463">
          <cell r="M463">
            <v>11145.6313101408</v>
          </cell>
          <cell r="R463">
            <v>4315.2998046875</v>
          </cell>
          <cell r="AY463">
            <v>2.7409448366913496E-2</v>
          </cell>
          <cell r="AZ463">
            <v>0.80514858806673761</v>
          </cell>
          <cell r="BA463">
            <v>0.78307990941442907</v>
          </cell>
        </row>
        <row r="464">
          <cell r="M464">
            <v>11190.7503797305</v>
          </cell>
          <cell r="R464">
            <v>4314.60009765625</v>
          </cell>
          <cell r="AY464">
            <v>2.854691075514874E-2</v>
          </cell>
          <cell r="AZ464">
            <v>0.80873507911538811</v>
          </cell>
          <cell r="BA464">
            <v>0.78564819098732297</v>
          </cell>
        </row>
        <row r="465">
          <cell r="M465">
            <v>11157.561982979199</v>
          </cell>
          <cell r="R465">
            <v>4350.10009765625</v>
          </cell>
          <cell r="AY465">
            <v>2.8809985181807819E-2</v>
          </cell>
          <cell r="AZ465">
            <v>0.81210802804841353</v>
          </cell>
          <cell r="BA465">
            <v>0.78871120779431159</v>
          </cell>
        </row>
        <row r="466">
          <cell r="M466">
            <v>11148.697597681101</v>
          </cell>
          <cell r="R466">
            <v>4340.89990234375</v>
          </cell>
          <cell r="AY466">
            <v>2.7398427074756537E-2</v>
          </cell>
          <cell r="AZ466">
            <v>0.81524431173761081</v>
          </cell>
          <cell r="BA466">
            <v>0.79290789991435773</v>
          </cell>
        </row>
        <row r="467">
          <cell r="M467">
            <v>11064.510092555</v>
          </cell>
          <cell r="R467">
            <v>4276.2001953125</v>
          </cell>
          <cell r="AY467">
            <v>2.5159208384498956E-2</v>
          </cell>
          <cell r="AZ467">
            <v>0.81052241742471576</v>
          </cell>
          <cell r="BA467">
            <v>0.79013031502441955</v>
          </cell>
        </row>
        <row r="468">
          <cell r="M468">
            <v>11238.4121696621</v>
          </cell>
          <cell r="R468">
            <v>4347.5</v>
          </cell>
          <cell r="AY468">
            <v>3.0581213585334659E-2</v>
          </cell>
          <cell r="AZ468">
            <v>0.81249278374321676</v>
          </cell>
          <cell r="BA468">
            <v>0.78766886040872874</v>
          </cell>
        </row>
        <row r="469">
          <cell r="M469">
            <v>11174.2410542834</v>
          </cell>
          <cell r="R469">
            <v>4358.2001953125</v>
          </cell>
          <cell r="AY469">
            <v>2.8912687702776423E-2</v>
          </cell>
          <cell r="AZ469">
            <v>0.80293704036701485</v>
          </cell>
          <cell r="BA469">
            <v>0.77972197247389163</v>
          </cell>
        </row>
        <row r="470">
          <cell r="M470">
            <v>11224.056377122</v>
          </cell>
          <cell r="R470">
            <v>4376.89990234375</v>
          </cell>
          <cell r="AY470">
            <v>2.9237938284934931E-2</v>
          </cell>
          <cell r="AZ470">
            <v>0.81196936138796616</v>
          </cell>
          <cell r="BA470">
            <v>0.78822905131044674</v>
          </cell>
        </row>
        <row r="471">
          <cell r="M471">
            <v>11327.521649459501</v>
          </cell>
          <cell r="R471">
            <v>4388.39990234375</v>
          </cell>
          <cell r="AY471">
            <v>2.8067680932745628E-2</v>
          </cell>
          <cell r="AZ471">
            <v>0.81306358381502886</v>
          </cell>
          <cell r="BA471">
            <v>0.79024277456647407</v>
          </cell>
        </row>
        <row r="472">
          <cell r="M472">
            <v>11295.179257023001</v>
          </cell>
          <cell r="R472">
            <v>4406.39990234375</v>
          </cell>
          <cell r="AY472">
            <v>2.97778655903356E-2</v>
          </cell>
          <cell r="AZ472">
            <v>0.81641165084339562</v>
          </cell>
          <cell r="BA472">
            <v>0.79212369803668536</v>
          </cell>
        </row>
        <row r="473">
          <cell r="M473">
            <v>11291.8432953666</v>
          </cell>
          <cell r="R473">
            <v>4419.7001953125</v>
          </cell>
          <cell r="AY473">
            <v>2.9150716007372748E-2</v>
          </cell>
          <cell r="AZ473">
            <v>0.81068965517241376</v>
          </cell>
          <cell r="BA473">
            <v>0.78705747126436776</v>
          </cell>
        </row>
        <row r="474">
          <cell r="M474">
            <v>11259.0451294922</v>
          </cell>
          <cell r="R474">
            <v>4390.89990234375</v>
          </cell>
          <cell r="AY474">
            <v>2.9261835694370127E-2</v>
          </cell>
          <cell r="AZ474">
            <v>0.81520341629167037</v>
          </cell>
          <cell r="BA474">
            <v>0.79134906786665438</v>
          </cell>
        </row>
        <row r="475">
          <cell r="AY475">
            <v>2.3337189942715244E-2</v>
          </cell>
          <cell r="AZ475">
            <v>0.81210468420570159</v>
          </cell>
          <cell r="BA475">
            <v>0.79315244293702436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_il"/>
      <sheetName val="daily_us"/>
      <sheetName val="daily_euro"/>
      <sheetName val="daily_uk"/>
      <sheetName val="daily_cn"/>
      <sheetName val="monthly"/>
      <sheetName val="monthly_change"/>
      <sheetName val="quarterly"/>
      <sheetName val="quarterly_change"/>
      <sheetName val="yearly"/>
      <sheetName val="yearly_change"/>
      <sheetName val="חישובים לגרפי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1">
          <cell r="D101">
            <v>165.50652173913042</v>
          </cell>
          <cell r="E101">
            <v>163.97826086956522</v>
          </cell>
          <cell r="F101">
            <v>758.01238095238091</v>
          </cell>
          <cell r="G101">
            <v>465.24999999999989</v>
          </cell>
        </row>
        <row r="102">
          <cell r="D102">
            <v>160.88699999999997</v>
          </cell>
          <cell r="E102">
            <v>161.739</v>
          </cell>
          <cell r="F102">
            <v>784.24368421052634</v>
          </cell>
          <cell r="G102">
            <v>481.92473684210523</v>
          </cell>
        </row>
        <row r="103">
          <cell r="D103">
            <v>160.50809523809525</v>
          </cell>
          <cell r="E103">
            <v>159.40047619047613</v>
          </cell>
          <cell r="F103">
            <v>807.16217391304349</v>
          </cell>
          <cell r="G103">
            <v>493.15304347826083</v>
          </cell>
        </row>
        <row r="104">
          <cell r="D104">
            <v>166.3595</v>
          </cell>
          <cell r="E104">
            <v>164.72450000000001</v>
          </cell>
          <cell r="F104">
            <v>825.33842105263159</v>
          </cell>
          <cell r="G104">
            <v>507.90578947368414</v>
          </cell>
        </row>
        <row r="105">
          <cell r="D105">
            <v>180.1638095238095</v>
          </cell>
          <cell r="E105">
            <v>176.94809523809522</v>
          </cell>
          <cell r="F105">
            <v>859.77045454545453</v>
          </cell>
          <cell r="G105">
            <v>523.81363636363631</v>
          </cell>
        </row>
        <row r="106">
          <cell r="D106">
            <v>190.041</v>
          </cell>
          <cell r="E106">
            <v>188.32849999999999</v>
          </cell>
          <cell r="F106">
            <v>906.03545454545463</v>
          </cell>
          <cell r="G106">
            <v>539.35409090909093</v>
          </cell>
        </row>
        <row r="107">
          <cell r="D107">
            <v>191.66227272727272</v>
          </cell>
          <cell r="E107">
            <v>189.12181818181818</v>
          </cell>
          <cell r="F107">
            <v>979.36399999999992</v>
          </cell>
          <cell r="G107">
            <v>557.36649999999997</v>
          </cell>
        </row>
        <row r="108">
          <cell r="D108">
            <v>203.87954545454548</v>
          </cell>
          <cell r="E108">
            <v>201.32590909090914</v>
          </cell>
          <cell r="F108">
            <v>1009.5860869565221</v>
          </cell>
          <cell r="G108">
            <v>559.1099999999999</v>
          </cell>
        </row>
        <row r="109">
          <cell r="D109">
            <v>209.76764705882348</v>
          </cell>
          <cell r="E109">
            <v>206.19411764705882</v>
          </cell>
          <cell r="F109">
            <v>1051</v>
          </cell>
          <cell r="G109">
            <v>578.76549999999997</v>
          </cell>
        </row>
        <row r="110">
          <cell r="D110">
            <v>198.53705882352941</v>
          </cell>
          <cell r="E110">
            <v>194.45411764705878</v>
          </cell>
          <cell r="F110">
            <v>1022.1481818181818</v>
          </cell>
          <cell r="G110">
            <v>582.91818181818167</v>
          </cell>
        </row>
        <row r="111">
          <cell r="D111">
            <v>195.40500000000003</v>
          </cell>
          <cell r="E111">
            <v>189.73863636363637</v>
          </cell>
          <cell r="F111">
            <v>1046.6366666666668</v>
          </cell>
          <cell r="G111">
            <v>595.532380952381</v>
          </cell>
        </row>
        <row r="112">
          <cell r="D112">
            <v>210.60380952380953</v>
          </cell>
          <cell r="E112">
            <v>203.42047619047619</v>
          </cell>
          <cell r="F112">
            <v>1047.0350000000001</v>
          </cell>
          <cell r="G112">
            <v>614.57100000000014</v>
          </cell>
        </row>
        <row r="113">
          <cell r="D113">
            <v>218.74565217391307</v>
          </cell>
          <cell r="E113">
            <v>210.57173913043479</v>
          </cell>
          <cell r="F113">
            <v>1024.9454545454544</v>
          </cell>
          <cell r="G113">
            <v>614.42000000000007</v>
          </cell>
        </row>
        <row r="114">
          <cell r="D114">
            <v>215.5404761904762</v>
          </cell>
          <cell r="E114">
            <v>206.92809523809518</v>
          </cell>
          <cell r="F114">
            <v>1094.0165000000002</v>
          </cell>
          <cell r="G114">
            <v>649.54200000000014</v>
          </cell>
        </row>
        <row r="115">
          <cell r="D115">
            <v>210.08199999999997</v>
          </cell>
          <cell r="E115">
            <v>200.44049999999999</v>
          </cell>
          <cell r="F115">
            <v>1092.6471428571431</v>
          </cell>
          <cell r="G115">
            <v>647.07476190476189</v>
          </cell>
        </row>
        <row r="116">
          <cell r="D116">
            <v>205.92687500000002</v>
          </cell>
          <cell r="E116">
            <v>195.68</v>
          </cell>
          <cell r="F116">
            <v>1135.6280952380951</v>
          </cell>
          <cell r="G116">
            <v>647.17285714285708</v>
          </cell>
        </row>
        <row r="117">
          <cell r="D117">
            <v>215.14400000000001</v>
          </cell>
          <cell r="E117">
            <v>203.9375</v>
          </cell>
          <cell r="F117">
            <v>1220.5404545454546</v>
          </cell>
          <cell r="G117">
            <v>661.23045454545468</v>
          </cell>
        </row>
        <row r="118">
          <cell r="D118">
            <v>214.71380952380954</v>
          </cell>
          <cell r="E118">
            <v>203.20142857142855</v>
          </cell>
          <cell r="F118">
            <v>1205.0754999999997</v>
          </cell>
          <cell r="G118">
            <v>668.49899999999991</v>
          </cell>
        </row>
        <row r="119">
          <cell r="D119">
            <v>193.38714285714283</v>
          </cell>
          <cell r="E119">
            <v>182.4433333333333</v>
          </cell>
          <cell r="F119">
            <v>1105.6127272727272</v>
          </cell>
          <cell r="G119">
            <v>644.0704545454546</v>
          </cell>
        </row>
        <row r="120">
          <cell r="D120">
            <v>187.31047619047618</v>
          </cell>
          <cell r="E120">
            <v>176.91</v>
          </cell>
          <cell r="F120">
            <v>1134.245909090909</v>
          </cell>
          <cell r="G120">
            <v>662.68227272727268</v>
          </cell>
        </row>
        <row r="121">
          <cell r="D121">
            <v>199.20684210526321</v>
          </cell>
          <cell r="E121">
            <v>189.71421052631581</v>
          </cell>
          <cell r="F121">
            <v>1186.4419999999998</v>
          </cell>
          <cell r="G121">
            <v>674.88550000000009</v>
          </cell>
        </row>
        <row r="122">
          <cell r="D122">
            <v>195.83608695652177</v>
          </cell>
          <cell r="E122">
            <v>185.80521739130435</v>
          </cell>
          <cell r="F122">
            <v>1234.0421739130434</v>
          </cell>
          <cell r="G122">
            <v>701.45565217391311</v>
          </cell>
        </row>
        <row r="123">
          <cell r="D123">
            <v>203.38550000000004</v>
          </cell>
          <cell r="E123">
            <v>193.69400000000002</v>
          </cell>
          <cell r="F123">
            <v>1259.8309999999997</v>
          </cell>
          <cell r="G123">
            <v>735.6690000000001</v>
          </cell>
        </row>
        <row r="124">
          <cell r="D124">
            <v>215.16409090909093</v>
          </cell>
          <cell r="E124">
            <v>206.18636363636369</v>
          </cell>
          <cell r="F124">
            <v>1292.1509523809525</v>
          </cell>
          <cell r="G124">
            <v>743.24904761904781</v>
          </cell>
        </row>
        <row r="125">
          <cell r="D125">
            <v>242.94428571428571</v>
          </cell>
          <cell r="E125">
            <v>234.48571428571427</v>
          </cell>
          <cell r="F125">
            <v>1345.4145454545453</v>
          </cell>
          <cell r="G125">
            <v>766.21681818181821</v>
          </cell>
        </row>
        <row r="126">
          <cell r="D126">
            <v>266.54349999999999</v>
          </cell>
          <cell r="E126">
            <v>258.34800000000007</v>
          </cell>
          <cell r="F126">
            <v>1349.17</v>
          </cell>
          <cell r="G126">
            <v>798.38421052631588</v>
          </cell>
        </row>
        <row r="127">
          <cell r="D127">
            <v>255.57761904761901</v>
          </cell>
          <cell r="E127">
            <v>247.98523809523812</v>
          </cell>
          <cell r="F127">
            <v>1282.8555000000001</v>
          </cell>
          <cell r="G127">
            <v>792.15550000000007</v>
          </cell>
        </row>
        <row r="128">
          <cell r="D128">
            <v>262.05388888888888</v>
          </cell>
          <cell r="E128">
            <v>252.45722222222219</v>
          </cell>
          <cell r="F128">
            <v>1225.0036363636364</v>
          </cell>
          <cell r="G128">
            <v>763.92818181818188</v>
          </cell>
        </row>
        <row r="129">
          <cell r="D129">
            <v>273.60999999999996</v>
          </cell>
          <cell r="E129">
            <v>265.21526315789481</v>
          </cell>
          <cell r="F129">
            <v>1352.5590476190478</v>
          </cell>
          <cell r="G129">
            <v>833.09142857142865</v>
          </cell>
        </row>
        <row r="130">
          <cell r="D130">
            <v>297.04449999999997</v>
          </cell>
          <cell r="E130">
            <v>288.97050000000007</v>
          </cell>
          <cell r="F130">
            <v>1422.4528571428573</v>
          </cell>
          <cell r="G130">
            <v>876.28619047619043</v>
          </cell>
        </row>
        <row r="131">
          <cell r="D131">
            <v>306.31304347826085</v>
          </cell>
          <cell r="E131">
            <v>299.47086956521741</v>
          </cell>
          <cell r="F131">
            <v>1531.1413636363636</v>
          </cell>
          <cell r="G131">
            <v>925.29454545454564</v>
          </cell>
        </row>
        <row r="132">
          <cell r="D132">
            <v>305.55900000000008</v>
          </cell>
          <cell r="E132">
            <v>298.33600000000001</v>
          </cell>
          <cell r="F132">
            <v>1596.7419047619048</v>
          </cell>
          <cell r="G132">
            <v>927.73571428571427</v>
          </cell>
        </row>
        <row r="133">
          <cell r="D133">
            <v>294.58700000000005</v>
          </cell>
          <cell r="E133">
            <v>286.61199999999997</v>
          </cell>
          <cell r="F133">
            <v>1660.1490476190479</v>
          </cell>
          <cell r="G133">
            <v>937.02428571428584</v>
          </cell>
        </row>
        <row r="134">
          <cell r="D134">
            <v>307.26624999999996</v>
          </cell>
          <cell r="E134">
            <v>298.86374999999998</v>
          </cell>
          <cell r="F134">
            <v>1682.173043478261</v>
          </cell>
          <cell r="G134">
            <v>951.15956521739122</v>
          </cell>
        </row>
        <row r="135">
          <cell r="D135">
            <v>290.24714285714293</v>
          </cell>
          <cell r="E135">
            <v>281.27047619047619</v>
          </cell>
          <cell r="F135">
            <v>1600.9742105263158</v>
          </cell>
          <cell r="G135">
            <v>938.92368421052652</v>
          </cell>
        </row>
        <row r="136">
          <cell r="D136">
            <v>295.96449999999999</v>
          </cell>
          <cell r="E136">
            <v>283.75000000000006</v>
          </cell>
          <cell r="F136">
            <v>1566.9968181818183</v>
          </cell>
          <cell r="G136">
            <v>962.36545454545444</v>
          </cell>
        </row>
        <row r="137">
          <cell r="D137">
            <v>284.03571428571428</v>
          </cell>
          <cell r="E137">
            <v>273.9561904761905</v>
          </cell>
          <cell r="F137">
            <v>1570.2345</v>
          </cell>
          <cell r="G137">
            <v>963.35900000000004</v>
          </cell>
        </row>
        <row r="138">
          <cell r="D138">
            <v>281.88250000000005</v>
          </cell>
          <cell r="E138">
            <v>271.03450000000004</v>
          </cell>
          <cell r="F138">
            <v>1714.8721052631574</v>
          </cell>
          <cell r="G138">
            <v>1023.742105263158</v>
          </cell>
        </row>
        <row r="139">
          <cell r="D139">
            <v>306.43590909090909</v>
          </cell>
          <cell r="E139">
            <v>294.80318181818177</v>
          </cell>
          <cell r="F139">
            <v>1781.2695454545451</v>
          </cell>
          <cell r="G139">
            <v>1076.8277272727273</v>
          </cell>
        </row>
        <row r="140">
          <cell r="D140">
            <v>327.08473684210531</v>
          </cell>
          <cell r="E140">
            <v>311.05684210526312</v>
          </cell>
          <cell r="F140">
            <v>1852.2999999999997</v>
          </cell>
          <cell r="G140">
            <v>1112.1961904761904</v>
          </cell>
        </row>
        <row r="141">
          <cell r="D141">
            <v>339.00100000000003</v>
          </cell>
          <cell r="E141">
            <v>323.00949999999995</v>
          </cell>
          <cell r="F141">
            <v>1836.3925000000004</v>
          </cell>
          <cell r="G141">
            <v>1108.4169999999999</v>
          </cell>
        </row>
        <row r="142">
          <cell r="D142">
            <v>340.04772727272734</v>
          </cell>
          <cell r="E142">
            <v>325.01272727272732</v>
          </cell>
          <cell r="F142">
            <v>1795.7445454545452</v>
          </cell>
          <cell r="G142">
            <v>1108.3895454545457</v>
          </cell>
        </row>
        <row r="143">
          <cell r="D143">
            <v>330.41863636363638</v>
          </cell>
          <cell r="E143">
            <v>316.77454545454543</v>
          </cell>
          <cell r="F143">
            <v>1941.5768181818182</v>
          </cell>
          <cell r="G143">
            <v>1156.5772727272727</v>
          </cell>
        </row>
        <row r="144">
          <cell r="D144">
            <v>323.73095238095237</v>
          </cell>
          <cell r="E144">
            <v>312.29714285714283</v>
          </cell>
          <cell r="F144">
            <v>1784.7504761904763</v>
          </cell>
          <cell r="G144">
            <v>1074.620476190476</v>
          </cell>
        </row>
        <row r="145">
          <cell r="D145">
            <v>294.78294117647062</v>
          </cell>
          <cell r="E145">
            <v>288.8135294117647</v>
          </cell>
          <cell r="F145">
            <v>1663.4271428571428</v>
          </cell>
          <cell r="G145">
            <v>1020.64</v>
          </cell>
        </row>
        <row r="146">
          <cell r="D146">
            <v>273.14352941176475</v>
          </cell>
          <cell r="E146">
            <v>268.81764705882358</v>
          </cell>
          <cell r="F146">
            <v>1615.6945454545455</v>
          </cell>
          <cell r="G146">
            <v>1032.4699999999998</v>
          </cell>
        </row>
        <row r="147">
          <cell r="D147">
            <v>290.30636363636364</v>
          </cell>
          <cell r="E147">
            <v>283.59863636363639</v>
          </cell>
          <cell r="F147">
            <v>1888.7210000000002</v>
          </cell>
          <cell r="G147">
            <v>1144.4335000000001</v>
          </cell>
        </row>
        <row r="148">
          <cell r="D148">
            <v>305.27782608695651</v>
          </cell>
          <cell r="E148">
            <v>296.56130434782614</v>
          </cell>
          <cell r="F148">
            <v>2071.0331818181821</v>
          </cell>
          <cell r="G148">
            <v>1190.0509090909093</v>
          </cell>
        </row>
        <row r="149">
          <cell r="D149">
            <v>310.37142857142851</v>
          </cell>
          <cell r="E149">
            <v>302.34380952380951</v>
          </cell>
          <cell r="F149">
            <v>2357.7999999999997</v>
          </cell>
          <cell r="G149">
            <v>1248.7747368421051</v>
          </cell>
        </row>
        <row r="150">
          <cell r="D150">
            <v>306.29099999999994</v>
          </cell>
          <cell r="E150">
            <v>298.06599999999997</v>
          </cell>
          <cell r="F150">
            <v>2356.9884210526311</v>
          </cell>
          <cell r="G150">
            <v>1246.5821052631577</v>
          </cell>
        </row>
        <row r="151">
          <cell r="D151">
            <v>348.51904761904763</v>
          </cell>
          <cell r="E151">
            <v>335.72523809523807</v>
          </cell>
          <cell r="F151">
            <v>2391.14</v>
          </cell>
          <cell r="G151">
            <v>1281.6639130434783</v>
          </cell>
        </row>
        <row r="152">
          <cell r="D152">
            <v>381.255</v>
          </cell>
          <cell r="E152">
            <v>368.676875</v>
          </cell>
          <cell r="F152">
            <v>2537.8871428571433</v>
          </cell>
          <cell r="G152">
            <v>1334.7566666666667</v>
          </cell>
        </row>
        <row r="153">
          <cell r="D153">
            <v>404.77249999999998</v>
          </cell>
          <cell r="E153">
            <v>392.89150000000006</v>
          </cell>
          <cell r="F153">
            <v>2512.5950000000003</v>
          </cell>
          <cell r="G153">
            <v>1332.0740000000001</v>
          </cell>
        </row>
        <row r="154">
          <cell r="D154">
            <v>408.46576923076924</v>
          </cell>
          <cell r="E154">
            <v>402.3138461538461</v>
          </cell>
          <cell r="F154">
            <v>2520.9586363636372</v>
          </cell>
          <cell r="G154">
            <v>1322.5527272727272</v>
          </cell>
        </row>
        <row r="155">
          <cell r="D155">
            <v>417.31500000000005</v>
          </cell>
          <cell r="E155">
            <v>423.25949999999995</v>
          </cell>
          <cell r="F155">
            <v>2741.2638095238099</v>
          </cell>
          <cell r="G155">
            <v>1380.99</v>
          </cell>
        </row>
        <row r="156">
          <cell r="D156">
            <v>381.05739130434779</v>
          </cell>
          <cell r="E156">
            <v>389.12478260869568</v>
          </cell>
          <cell r="F156">
            <v>2642.4495454545458</v>
          </cell>
          <cell r="G156">
            <v>1327.4886363636365</v>
          </cell>
        </row>
        <row r="157">
          <cell r="D157">
            <v>390.4489473684211</v>
          </cell>
          <cell r="E157">
            <v>398.46052631578954</v>
          </cell>
          <cell r="F157">
            <v>2807.9466666666667</v>
          </cell>
          <cell r="G157">
            <v>1318.1719047619047</v>
          </cell>
        </row>
        <row r="158">
          <cell r="D158">
            <v>395.52714285714291</v>
          </cell>
          <cell r="E158">
            <v>401.2114285714286</v>
          </cell>
          <cell r="F158">
            <v>2815.2766666666662</v>
          </cell>
          <cell r="G158">
            <v>1300.01</v>
          </cell>
        </row>
        <row r="159">
          <cell r="D159">
            <v>426.86727272727273</v>
          </cell>
          <cell r="E159">
            <v>432.94227272727272</v>
          </cell>
          <cell r="F159">
            <v>3230.5485714285714</v>
          </cell>
          <cell r="G159">
            <v>1391.0028571428568</v>
          </cell>
        </row>
        <row r="160">
          <cell r="D160">
            <v>458.29863636363638</v>
          </cell>
          <cell r="E160">
            <v>461.40227272727265</v>
          </cell>
          <cell r="F160">
            <v>3739.8786363636364</v>
          </cell>
          <cell r="G160">
            <v>1428.6840909090909</v>
          </cell>
        </row>
        <row r="161">
          <cell r="D161">
            <v>497.5057142857143</v>
          </cell>
          <cell r="E161">
            <v>504.43809523809529</v>
          </cell>
          <cell r="F161">
            <v>4013.4940000000011</v>
          </cell>
          <cell r="G161">
            <v>1425.5854999999999</v>
          </cell>
        </row>
        <row r="162">
          <cell r="D162">
            <v>518.96952380952371</v>
          </cell>
          <cell r="E162">
            <v>540.60666666666668</v>
          </cell>
          <cell r="F162">
            <v>4410.8710000000001</v>
          </cell>
          <cell r="G162">
            <v>1388.8744999999999</v>
          </cell>
        </row>
        <row r="163">
          <cell r="D163">
            <v>546.89666666666653</v>
          </cell>
          <cell r="E163">
            <v>554.96190476190475</v>
          </cell>
          <cell r="F163">
            <v>4802.9882608695652</v>
          </cell>
          <cell r="G163">
            <v>1442.2126086956521</v>
          </cell>
        </row>
        <row r="164">
          <cell r="D164">
            <v>494.33294117647057</v>
          </cell>
          <cell r="E164">
            <v>492.40705882352944</v>
          </cell>
          <cell r="F164">
            <v>3863.6373684210535</v>
          </cell>
          <cell r="G164">
            <v>1461.355263157895</v>
          </cell>
        </row>
        <row r="165">
          <cell r="D165">
            <v>512.14428571428562</v>
          </cell>
          <cell r="E165">
            <v>511.29095238095243</v>
          </cell>
          <cell r="F165">
            <v>3528.4168181818181</v>
          </cell>
          <cell r="G165">
            <v>1418.4795454545454</v>
          </cell>
        </row>
        <row r="166">
          <cell r="D166">
            <v>545.61299999999994</v>
          </cell>
          <cell r="E166">
            <v>543.55950000000007</v>
          </cell>
          <cell r="F166">
            <v>3865.4768181818176</v>
          </cell>
          <cell r="G166">
            <v>1461.9590909090909</v>
          </cell>
        </row>
        <row r="167">
          <cell r="D167">
            <v>548.39227272727283</v>
          </cell>
          <cell r="E167">
            <v>546.22409090909082</v>
          </cell>
          <cell r="F167">
            <v>4017.684999999999</v>
          </cell>
          <cell r="G167">
            <v>1473.0024999999998</v>
          </cell>
        </row>
        <row r="168">
          <cell r="D168">
            <v>551.09727272727287</v>
          </cell>
          <cell r="E168">
            <v>550.28409090909088</v>
          </cell>
          <cell r="F168">
            <v>3909.5969565217397</v>
          </cell>
          <cell r="G168">
            <v>1485.4582608695653</v>
          </cell>
        </row>
        <row r="169">
          <cell r="D169">
            <v>562.83400000000006</v>
          </cell>
          <cell r="E169">
            <v>561.4380000000001</v>
          </cell>
          <cell r="F169">
            <v>3875.8220000000015</v>
          </cell>
          <cell r="G169">
            <v>1468.0539999999999</v>
          </cell>
        </row>
        <row r="170">
          <cell r="D170">
            <v>497.41099999999994</v>
          </cell>
          <cell r="E170">
            <v>492.63899999999995</v>
          </cell>
          <cell r="F170">
            <v>3333.8245454545454</v>
          </cell>
          <cell r="G170">
            <v>1390.1440909090909</v>
          </cell>
        </row>
        <row r="171">
          <cell r="D171">
            <v>490.76272727272732</v>
          </cell>
          <cell r="E171">
            <v>483.41818181818184</v>
          </cell>
          <cell r="F171">
            <v>3055.4152380952378</v>
          </cell>
          <cell r="G171">
            <v>1375.037619047619</v>
          </cell>
        </row>
        <row r="172">
          <cell r="D172">
            <v>508.35476190476192</v>
          </cell>
          <cell r="E172">
            <v>491.85047619047623</v>
          </cell>
          <cell r="F172">
            <v>2657.8074999999999</v>
          </cell>
          <cell r="G172">
            <v>1330.9295000000002</v>
          </cell>
        </row>
        <row r="173">
          <cell r="D173">
            <v>473.86739130434785</v>
          </cell>
          <cell r="E173">
            <v>461.15999999999991</v>
          </cell>
          <cell r="F173">
            <v>2656.8642857142863</v>
          </cell>
          <cell r="G173">
            <v>1335.6390476190475</v>
          </cell>
        </row>
        <row r="174">
          <cell r="D174">
            <v>463.41578947368419</v>
          </cell>
          <cell r="E174">
            <v>450.81789473684216</v>
          </cell>
          <cell r="F174">
            <v>2449.5694736842111</v>
          </cell>
          <cell r="G174">
            <v>1305.7515789473684</v>
          </cell>
        </row>
        <row r="175">
          <cell r="D175">
            <v>421.94904761904763</v>
          </cell>
          <cell r="E175">
            <v>411.31523809523804</v>
          </cell>
          <cell r="F175">
            <v>1986.661818181818</v>
          </cell>
          <cell r="G175">
            <v>1185.8500000000001</v>
          </cell>
        </row>
        <row r="176">
          <cell r="D176">
            <v>401.84210526315792</v>
          </cell>
          <cell r="E176">
            <v>394.03894736842102</v>
          </cell>
          <cell r="F176">
            <v>1933.9279999999999</v>
          </cell>
          <cell r="G176">
            <v>1189.837</v>
          </cell>
        </row>
        <row r="177">
          <cell r="D177">
            <v>429.18142857142857</v>
          </cell>
          <cell r="E177">
            <v>419.23523809523806</v>
          </cell>
          <cell r="F177">
            <v>2181.1286363636364</v>
          </cell>
          <cell r="G177">
            <v>1270.3686363636364</v>
          </cell>
        </row>
        <row r="178">
          <cell r="D178">
            <v>416.2045</v>
          </cell>
          <cell r="E178">
            <v>407.5304999999999</v>
          </cell>
          <cell r="F178">
            <v>2112.0528571428572</v>
          </cell>
          <cell r="G178">
            <v>1238.7104761904761</v>
          </cell>
        </row>
        <row r="179">
          <cell r="D179">
            <v>437.69545454545454</v>
          </cell>
          <cell r="E179">
            <v>423.81136363636364</v>
          </cell>
          <cell r="F179">
            <v>2033.9785714285713</v>
          </cell>
          <cell r="G179">
            <v>1204.449523809524</v>
          </cell>
        </row>
        <row r="180">
          <cell r="D180">
            <v>441.86454545454541</v>
          </cell>
          <cell r="E180">
            <v>429.21090909090907</v>
          </cell>
          <cell r="F180">
            <v>1929.7126086956521</v>
          </cell>
          <cell r="G180">
            <v>1178.5039130434782</v>
          </cell>
        </row>
        <row r="181">
          <cell r="D181">
            <v>393.97624999999999</v>
          </cell>
          <cell r="E181">
            <v>382.71875</v>
          </cell>
          <cell r="F181">
            <v>1573.31</v>
          </cell>
          <cell r="G181">
            <v>1044.644</v>
          </cell>
        </row>
        <row r="182">
          <cell r="D182">
            <v>385.98210526315796</v>
          </cell>
          <cell r="E182">
            <v>372.65052631578953</v>
          </cell>
          <cell r="F182">
            <v>1656.4282608695655</v>
          </cell>
          <cell r="G182">
            <v>1076.5904347826088</v>
          </cell>
        </row>
        <row r="183">
          <cell r="D183">
            <v>402.95523809523809</v>
          </cell>
          <cell r="E183">
            <v>384.95714285714291</v>
          </cell>
          <cell r="F183">
            <v>1870.0623809523811</v>
          </cell>
          <cell r="G183">
            <v>1129.6833333333334</v>
          </cell>
        </row>
        <row r="184">
          <cell r="D184">
            <v>423.67136363636359</v>
          </cell>
          <cell r="E184">
            <v>408.63318181818181</v>
          </cell>
          <cell r="F184">
            <v>1977.7105000000004</v>
          </cell>
          <cell r="G184">
            <v>1144.9299999999998</v>
          </cell>
        </row>
        <row r="185">
          <cell r="D185">
            <v>463.22347826086946</v>
          </cell>
          <cell r="E185">
            <v>446.65391304347821</v>
          </cell>
          <cell r="F185">
            <v>1976.7685714285715</v>
          </cell>
          <cell r="G185">
            <v>1140.2076190476191</v>
          </cell>
        </row>
        <row r="186">
          <cell r="D186">
            <v>434.19105263157888</v>
          </cell>
          <cell r="E186">
            <v>417.21210526315792</v>
          </cell>
          <cell r="F186">
            <v>1799.7189473684211</v>
          </cell>
          <cell r="G186">
            <v>1100.668947368421</v>
          </cell>
        </row>
        <row r="187">
          <cell r="D187">
            <v>419.94473684210527</v>
          </cell>
          <cell r="E187">
            <v>403.65999999999997</v>
          </cell>
          <cell r="F187">
            <v>1863.0454999999997</v>
          </cell>
          <cell r="G187">
            <v>1153.7909999999999</v>
          </cell>
        </row>
        <row r="188">
          <cell r="D188">
            <v>389.52055555555552</v>
          </cell>
          <cell r="E188">
            <v>375.65944444444443</v>
          </cell>
          <cell r="F188">
            <v>1758.802272727273</v>
          </cell>
          <cell r="G188">
            <v>1112.0345454545452</v>
          </cell>
        </row>
        <row r="189">
          <cell r="D189">
            <v>388.12428571428563</v>
          </cell>
          <cell r="E189">
            <v>375.72142857142859</v>
          </cell>
          <cell r="F189">
            <v>1660.3109090909093</v>
          </cell>
          <cell r="G189">
            <v>1079.2672727272727</v>
          </cell>
        </row>
        <row r="190">
          <cell r="D190">
            <v>371.37238095238092</v>
          </cell>
          <cell r="E190">
            <v>361.22809523809525</v>
          </cell>
          <cell r="F190">
            <v>1505.4884999999999</v>
          </cell>
          <cell r="G190">
            <v>1014.0479999999998</v>
          </cell>
        </row>
        <row r="191">
          <cell r="D191">
            <v>371.06409090909085</v>
          </cell>
          <cell r="E191">
            <v>357.89136363636356</v>
          </cell>
          <cell r="F191">
            <v>1346.0854545454542</v>
          </cell>
          <cell r="G191">
            <v>903.58545454545447</v>
          </cell>
        </row>
        <row r="192">
          <cell r="D192">
            <v>370.05428571428575</v>
          </cell>
          <cell r="E192">
            <v>358.71238095238095</v>
          </cell>
          <cell r="F192">
            <v>1327.3604545454546</v>
          </cell>
          <cell r="G192">
            <v>912.55227272727279</v>
          </cell>
        </row>
        <row r="193">
          <cell r="D193">
            <v>361.92578947368423</v>
          </cell>
          <cell r="E193">
            <v>351.96789473684208</v>
          </cell>
          <cell r="F193">
            <v>1251.0690000000002</v>
          </cell>
          <cell r="G193">
            <v>867.81200000000013</v>
          </cell>
        </row>
        <row r="194">
          <cell r="D194">
            <v>336.98913043478257</v>
          </cell>
          <cell r="E194">
            <v>328.31521739130437</v>
          </cell>
          <cell r="F194">
            <v>1241.9121739130435</v>
          </cell>
          <cell r="G194">
            <v>854.63130434782613</v>
          </cell>
        </row>
        <row r="195">
          <cell r="D195">
            <v>343.59450000000004</v>
          </cell>
          <cell r="E195">
            <v>337.39700000000005</v>
          </cell>
          <cell r="F195">
            <v>1409.1509999999998</v>
          </cell>
          <cell r="G195">
            <v>909.92700000000002</v>
          </cell>
        </row>
        <row r="196">
          <cell r="D196">
            <v>360.10652173913041</v>
          </cell>
          <cell r="E196">
            <v>352.87478260869563</v>
          </cell>
          <cell r="F196">
            <v>1387.1519047619045</v>
          </cell>
          <cell r="G196">
            <v>899.17857142857122</v>
          </cell>
        </row>
        <row r="197">
          <cell r="D197">
            <v>320.20666666666665</v>
          </cell>
          <cell r="E197">
            <v>324.12476190476195</v>
          </cell>
          <cell r="F197">
            <v>1389.5595238095236</v>
          </cell>
          <cell r="G197">
            <v>895.8361904761905</v>
          </cell>
        </row>
        <row r="198">
          <cell r="D198">
            <v>305.19449999999995</v>
          </cell>
          <cell r="E198">
            <v>312.90849999999995</v>
          </cell>
          <cell r="F198">
            <v>1313.2615789473684</v>
          </cell>
          <cell r="G198">
            <v>837.61894736842112</v>
          </cell>
        </row>
        <row r="199">
          <cell r="D199">
            <v>330.97761904761904</v>
          </cell>
          <cell r="E199">
            <v>335.58428571428567</v>
          </cell>
          <cell r="F199">
            <v>1348.5038095238092</v>
          </cell>
          <cell r="G199">
            <v>846.62142857142874</v>
          </cell>
        </row>
        <row r="200">
          <cell r="D200">
            <v>368.06823529411764</v>
          </cell>
          <cell r="E200">
            <v>376.06058823529418</v>
          </cell>
          <cell r="F200">
            <v>1409.8309523809526</v>
          </cell>
          <cell r="G200">
            <v>890.02571428571412</v>
          </cell>
        </row>
        <row r="201">
          <cell r="D201">
            <v>403.91176470588232</v>
          </cell>
          <cell r="E201">
            <v>411.61</v>
          </cell>
          <cell r="F201">
            <v>1524.1828571428571</v>
          </cell>
          <cell r="G201">
            <v>935.96285714285716</v>
          </cell>
        </row>
        <row r="202">
          <cell r="D202">
            <v>428.02380952380963</v>
          </cell>
          <cell r="E202">
            <v>438.2657142857143</v>
          </cell>
          <cell r="F202">
            <v>1631.7509523809522</v>
          </cell>
          <cell r="G202">
            <v>987.99523809523816</v>
          </cell>
        </row>
        <row r="203">
          <cell r="D203">
            <v>423.62826086956517</v>
          </cell>
          <cell r="E203">
            <v>439.0282608695652</v>
          </cell>
          <cell r="F203">
            <v>1716.8513636363639</v>
          </cell>
          <cell r="G203">
            <v>992.54090909090917</v>
          </cell>
        </row>
        <row r="204">
          <cell r="D204">
            <v>394.25850000000003</v>
          </cell>
          <cell r="E204">
            <v>411.53750000000002</v>
          </cell>
          <cell r="F204">
            <v>1724.8228571428572</v>
          </cell>
          <cell r="G204">
            <v>989.53190476190468</v>
          </cell>
        </row>
        <row r="205">
          <cell r="D205">
            <v>404.86476190476191</v>
          </cell>
          <cell r="E205">
            <v>424.07666666666671</v>
          </cell>
          <cell r="F205">
            <v>1856.2247619047619</v>
          </cell>
          <cell r="G205">
            <v>1019.4419047619049</v>
          </cell>
        </row>
        <row r="206">
          <cell r="D206">
            <v>431.91850000000005</v>
          </cell>
          <cell r="E206">
            <v>452.93950000000007</v>
          </cell>
          <cell r="F206">
            <v>1907.891304347826</v>
          </cell>
          <cell r="G206">
            <v>1038.7343478260868</v>
          </cell>
        </row>
        <row r="207">
          <cell r="D207">
            <v>468.57000000000005</v>
          </cell>
          <cell r="E207">
            <v>497.10904761904766</v>
          </cell>
          <cell r="F207">
            <v>1939.2536842105262</v>
          </cell>
          <cell r="G207">
            <v>1049.8989473684212</v>
          </cell>
        </row>
        <row r="208">
          <cell r="D208">
            <v>485.13782608695647</v>
          </cell>
          <cell r="E208">
            <v>513.22956521739138</v>
          </cell>
          <cell r="F208">
            <v>1956.9845454545457</v>
          </cell>
          <cell r="G208">
            <v>1080.6359090909091</v>
          </cell>
        </row>
        <row r="209">
          <cell r="D209">
            <v>517.27600000000007</v>
          </cell>
          <cell r="E209">
            <v>562.37800000000004</v>
          </cell>
          <cell r="F209">
            <v>2098.0040000000004</v>
          </cell>
          <cell r="G209">
            <v>1132.5174999999999</v>
          </cell>
        </row>
        <row r="210">
          <cell r="D210">
            <v>522.07952380952383</v>
          </cell>
          <cell r="E210">
            <v>564.74095238095242</v>
          </cell>
          <cell r="F210">
            <v>2048.36</v>
          </cell>
          <cell r="G210">
            <v>1143.3563157894735</v>
          </cell>
        </row>
        <row r="211">
          <cell r="D211">
            <v>529.0554545454545</v>
          </cell>
          <cell r="E211">
            <v>571.10954545454547</v>
          </cell>
          <cell r="F211">
            <v>1979.4786956521737</v>
          </cell>
          <cell r="G211">
            <v>1123.9782608695652</v>
          </cell>
        </row>
        <row r="212">
          <cell r="D212">
            <v>537.66733333333343</v>
          </cell>
          <cell r="E212">
            <v>580.21333333333337</v>
          </cell>
          <cell r="F212">
            <v>2021.3228571428572</v>
          </cell>
          <cell r="G212">
            <v>1133.0785714285712</v>
          </cell>
        </row>
        <row r="213">
          <cell r="D213">
            <v>525.69899999999984</v>
          </cell>
          <cell r="E213">
            <v>564.77100000000007</v>
          </cell>
          <cell r="F213">
            <v>1930.0889999999999</v>
          </cell>
          <cell r="G213">
            <v>1102.7814999999998</v>
          </cell>
        </row>
        <row r="214">
          <cell r="D214">
            <v>545.44772727272732</v>
          </cell>
          <cell r="E214">
            <v>582.55499999999995</v>
          </cell>
          <cell r="F214">
            <v>2000.9795238095242</v>
          </cell>
          <cell r="G214">
            <v>1132.757142857143</v>
          </cell>
        </row>
        <row r="215">
          <cell r="D215">
            <v>553.80049999999994</v>
          </cell>
          <cell r="E215">
            <v>589.07950000000005</v>
          </cell>
          <cell r="F215">
            <v>1912.4242857142858</v>
          </cell>
          <cell r="G215">
            <v>1105.8466666666666</v>
          </cell>
        </row>
        <row r="216">
          <cell r="D216">
            <v>522.0847826086956</v>
          </cell>
          <cell r="E216">
            <v>549.8073913043479</v>
          </cell>
          <cell r="F216">
            <v>1821.5381818181816</v>
          </cell>
          <cell r="G216">
            <v>1088.9349999999999</v>
          </cell>
        </row>
        <row r="217">
          <cell r="D217">
            <v>530.62749999999994</v>
          </cell>
          <cell r="E217">
            <v>559.8175</v>
          </cell>
          <cell r="F217">
            <v>1884.7309523809522</v>
          </cell>
          <cell r="G217">
            <v>1117.6561904761907</v>
          </cell>
        </row>
        <row r="218">
          <cell r="D218">
            <v>528.29105263157908</v>
          </cell>
          <cell r="E218">
            <v>553.42157894736829</v>
          </cell>
          <cell r="F218">
            <v>1938.2523809523807</v>
          </cell>
          <cell r="G218">
            <v>1118.0680952380953</v>
          </cell>
        </row>
        <row r="219">
          <cell r="D219">
            <v>554.8659090909091</v>
          </cell>
          <cell r="E219">
            <v>580.65318181818191</v>
          </cell>
          <cell r="F219">
            <v>2062.87</v>
          </cell>
          <cell r="G219">
            <v>1168.9376190476189</v>
          </cell>
        </row>
        <row r="220">
          <cell r="D220">
            <v>599.15318181818191</v>
          </cell>
          <cell r="E220">
            <v>619.17500000000007</v>
          </cell>
          <cell r="F220">
            <v>2149.5318181818188</v>
          </cell>
          <cell r="G220">
            <v>1199.2095454545454</v>
          </cell>
        </row>
        <row r="221">
          <cell r="D221">
            <v>623.74590909090909</v>
          </cell>
          <cell r="E221">
            <v>649.05090909090916</v>
          </cell>
          <cell r="F221">
            <v>2071.8715000000002</v>
          </cell>
          <cell r="G221">
            <v>1181.4079999999999</v>
          </cell>
        </row>
        <row r="222">
          <cell r="D222">
            <v>641.99599999999987</v>
          </cell>
          <cell r="E222">
            <v>666.03250000000003</v>
          </cell>
          <cell r="F222">
            <v>2065.7357894736838</v>
          </cell>
          <cell r="G222">
            <v>1199.626842105263</v>
          </cell>
        </row>
        <row r="223">
          <cell r="D223">
            <v>651.24739130434784</v>
          </cell>
          <cell r="E223">
            <v>675.92</v>
          </cell>
          <cell r="F223">
            <v>2030.433636363636</v>
          </cell>
          <cell r="G223">
            <v>1194.8977272727273</v>
          </cell>
        </row>
        <row r="224">
          <cell r="D224">
            <v>650.77421052631598</v>
          </cell>
          <cell r="E224">
            <v>672.94526315789471</v>
          </cell>
          <cell r="F224">
            <v>1957.4928571428575</v>
          </cell>
          <cell r="G224">
            <v>1164.4276190476187</v>
          </cell>
        </row>
        <row r="225">
          <cell r="D225">
            <v>673.17333333333329</v>
          </cell>
          <cell r="E225">
            <v>692.77238095238079</v>
          </cell>
          <cell r="F225">
            <v>2005.2171428571435</v>
          </cell>
          <cell r="G225">
            <v>1178.275714285714</v>
          </cell>
        </row>
        <row r="226">
          <cell r="D226">
            <v>665.50199999999995</v>
          </cell>
          <cell r="E226">
            <v>679.19100000000003</v>
          </cell>
          <cell r="F226">
            <v>2074.0172727272725</v>
          </cell>
          <cell r="G226">
            <v>1202.2531818181815</v>
          </cell>
        </row>
        <row r="227">
          <cell r="D227">
            <v>662.93238095238087</v>
          </cell>
          <cell r="E227">
            <v>676.467619047619</v>
          </cell>
          <cell r="F227">
            <v>2145.1390000000001</v>
          </cell>
          <cell r="G227">
            <v>1222.2370000000001</v>
          </cell>
        </row>
        <row r="228">
          <cell r="D228">
            <v>701.19499999999994</v>
          </cell>
          <cell r="E228">
            <v>708.78045454545452</v>
          </cell>
          <cell r="F228">
            <v>2157.8482608695658</v>
          </cell>
          <cell r="G228">
            <v>1224.2699999999998</v>
          </cell>
        </row>
        <row r="229">
          <cell r="D229">
            <v>731.30476190476202</v>
          </cell>
          <cell r="E229">
            <v>736.79333333333329</v>
          </cell>
          <cell r="F229">
            <v>2144.611904761905</v>
          </cell>
          <cell r="G229">
            <v>1225.9147619047621</v>
          </cell>
        </row>
        <row r="230">
          <cell r="D230">
            <v>756.39999999999986</v>
          </cell>
          <cell r="E230">
            <v>757.13153846153841</v>
          </cell>
          <cell r="F230">
            <v>2087.0928571428572</v>
          </cell>
          <cell r="G230">
            <v>1191.9642857142858</v>
          </cell>
        </row>
        <row r="231">
          <cell r="D231">
            <v>762.9799999999999</v>
          </cell>
          <cell r="E231">
            <v>771.51409090909101</v>
          </cell>
          <cell r="F231">
            <v>2202.8357142857144</v>
          </cell>
          <cell r="G231">
            <v>1237.3685714285714</v>
          </cell>
        </row>
        <row r="232">
          <cell r="D232">
            <v>808.93333333333328</v>
          </cell>
          <cell r="E232">
            <v>813.74904761904759</v>
          </cell>
          <cell r="F232">
            <v>2246.0871428571427</v>
          </cell>
          <cell r="G232">
            <v>1262.0719047619048</v>
          </cell>
        </row>
        <row r="233">
          <cell r="D233">
            <v>833.67304347826064</v>
          </cell>
          <cell r="E233">
            <v>848.44739130434766</v>
          </cell>
          <cell r="F233">
            <v>2289.9915000000005</v>
          </cell>
          <cell r="G233">
            <v>1278.7275000000002</v>
          </cell>
        </row>
        <row r="234">
          <cell r="D234">
            <v>803.09800000000007</v>
          </cell>
          <cell r="E234">
            <v>824.39</v>
          </cell>
          <cell r="F234">
            <v>2273.6663157894741</v>
          </cell>
          <cell r="G234">
            <v>1276.6452631578948</v>
          </cell>
        </row>
        <row r="235">
          <cell r="D235">
            <v>825.17250000000001</v>
          </cell>
          <cell r="E235">
            <v>847.80049999999994</v>
          </cell>
          <cell r="F235">
            <v>2300.2556521739134</v>
          </cell>
          <cell r="G235">
            <v>1293.7347826086959</v>
          </cell>
        </row>
        <row r="236">
          <cell r="D236">
            <v>845.62470588235306</v>
          </cell>
          <cell r="E236">
            <v>867.68882352941171</v>
          </cell>
          <cell r="F236">
            <v>2338.6773684210525</v>
          </cell>
          <cell r="G236">
            <v>1302.165263157895</v>
          </cell>
        </row>
        <row r="237">
          <cell r="D237">
            <v>877.91428571428594</v>
          </cell>
          <cell r="E237">
            <v>895.0447619047618</v>
          </cell>
          <cell r="F237">
            <v>2245.2818181818179</v>
          </cell>
          <cell r="G237">
            <v>1290.0136363636366</v>
          </cell>
        </row>
        <row r="238">
          <cell r="D238">
            <v>817.20799999999986</v>
          </cell>
          <cell r="E238">
            <v>829.55899999999986</v>
          </cell>
          <cell r="F238">
            <v>2137.4136363636367</v>
          </cell>
          <cell r="G238">
            <v>1253.1681818181819</v>
          </cell>
        </row>
        <row r="239">
          <cell r="D239">
            <v>792.03227272727281</v>
          </cell>
          <cell r="E239">
            <v>807.33636363636367</v>
          </cell>
          <cell r="F239">
            <v>2086.2075</v>
          </cell>
          <cell r="G239">
            <v>1260.2345000000003</v>
          </cell>
        </row>
        <row r="240">
          <cell r="D240">
            <v>804.28499999999997</v>
          </cell>
          <cell r="E240">
            <v>820.88363636363636</v>
          </cell>
          <cell r="F240">
            <v>2117.7708695652177</v>
          </cell>
          <cell r="G240">
            <v>1287.1495652173912</v>
          </cell>
        </row>
        <row r="241">
          <cell r="D241">
            <v>806.01631578947365</v>
          </cell>
          <cell r="E241">
            <v>820.46526315789481</v>
          </cell>
          <cell r="F241">
            <v>2221.9389999999994</v>
          </cell>
          <cell r="G241">
            <v>1317.7429999999997</v>
          </cell>
        </row>
        <row r="242">
          <cell r="D242">
            <v>871.37285714285701</v>
          </cell>
          <cell r="E242">
            <v>886.7595238095239</v>
          </cell>
          <cell r="F242">
            <v>2330.1745454545453</v>
          </cell>
          <cell r="G242">
            <v>1363.3772727272728</v>
          </cell>
        </row>
        <row r="243">
          <cell r="D243">
            <v>916.44545454545448</v>
          </cell>
          <cell r="E243">
            <v>926.50636363636374</v>
          </cell>
          <cell r="F243">
            <v>2408.7000000000007</v>
          </cell>
          <cell r="G243">
            <v>1388.6347619047619</v>
          </cell>
        </row>
        <row r="244">
          <cell r="D244">
            <v>935.44380952380948</v>
          </cell>
          <cell r="E244">
            <v>937.40619047619043</v>
          </cell>
          <cell r="F244">
            <v>2431.9079999999999</v>
          </cell>
          <cell r="G244">
            <v>1416.4199999999998</v>
          </cell>
        </row>
        <row r="245">
          <cell r="D245">
            <v>937.69260869565221</v>
          </cell>
          <cell r="E245">
            <v>945.0504347826087</v>
          </cell>
          <cell r="F245">
            <v>2453.1869999999999</v>
          </cell>
          <cell r="G245">
            <v>1424.1610000000001</v>
          </cell>
        </row>
        <row r="246">
          <cell r="D246">
            <v>982.23249999999985</v>
          </cell>
          <cell r="E246">
            <v>986.97500000000036</v>
          </cell>
          <cell r="F246">
            <v>2479.8642105263161</v>
          </cell>
          <cell r="G246">
            <v>1444.7947368421053</v>
          </cell>
        </row>
        <row r="247">
          <cell r="D247">
            <v>966.50650000000007</v>
          </cell>
          <cell r="E247">
            <v>968.9195000000002</v>
          </cell>
          <cell r="F247">
            <v>2401.4909090909086</v>
          </cell>
          <cell r="G247">
            <v>1406.9518181818182</v>
          </cell>
        </row>
        <row r="248">
          <cell r="D248">
            <v>1046.06</v>
          </cell>
          <cell r="E248">
            <v>1041.9818750000002</v>
          </cell>
          <cell r="F248">
            <v>2499.5680000000002</v>
          </cell>
          <cell r="G248">
            <v>1463.6404999999997</v>
          </cell>
        </row>
        <row r="249">
          <cell r="D249">
            <v>1105.1109523809525</v>
          </cell>
          <cell r="E249">
            <v>1098.7509523809524</v>
          </cell>
          <cell r="F249">
            <v>2562.1409090909092</v>
          </cell>
          <cell r="G249">
            <v>1511.1368181818179</v>
          </cell>
        </row>
        <row r="250">
          <cell r="D250">
            <v>1118.0255000000002</v>
          </cell>
          <cell r="E250">
            <v>1109.8425</v>
          </cell>
          <cell r="F250">
            <v>2595.3961904761904</v>
          </cell>
          <cell r="G250">
            <v>1514.4895238095237</v>
          </cell>
        </row>
        <row r="251">
          <cell r="D251">
            <v>1140.4481818181816</v>
          </cell>
          <cell r="E251">
            <v>1129.9440909090908</v>
          </cell>
          <cell r="F251">
            <v>2655.0761904761903</v>
          </cell>
          <cell r="G251">
            <v>1520.7047619047621</v>
          </cell>
        </row>
        <row r="252">
          <cell r="D252">
            <v>1068.7740909090912</v>
          </cell>
          <cell r="E252">
            <v>1045.4481818181819</v>
          </cell>
          <cell r="F252">
            <v>2539.4986956521739</v>
          </cell>
          <cell r="G252">
            <v>1454.616956521739</v>
          </cell>
        </row>
        <row r="253">
          <cell r="D253">
            <v>1079.0882352941173</v>
          </cell>
          <cell r="E253">
            <v>1053.4382352941177</v>
          </cell>
          <cell r="F253">
            <v>2634.47</v>
          </cell>
          <cell r="G253">
            <v>1497.1163157894739</v>
          </cell>
        </row>
        <row r="254">
          <cell r="D254">
            <v>1191.0719047619048</v>
          </cell>
          <cell r="E254">
            <v>1154.4419047619047</v>
          </cell>
          <cell r="F254">
            <v>2780.4156521739133</v>
          </cell>
          <cell r="G254">
            <v>1539.6586956521737</v>
          </cell>
        </row>
        <row r="255">
          <cell r="D255">
            <v>1199.4895238095237</v>
          </cell>
          <cell r="E255">
            <v>1145.7523809523811</v>
          </cell>
          <cell r="F255">
            <v>2662.8023809523806</v>
          </cell>
          <cell r="G255">
            <v>1463.3852380952383</v>
          </cell>
        </row>
        <row r="256">
          <cell r="D256">
            <v>1209.9640909090908</v>
          </cell>
          <cell r="E256">
            <v>1152.2595454545456</v>
          </cell>
          <cell r="F256">
            <v>2661.5484999999994</v>
          </cell>
          <cell r="G256">
            <v>1479.2235000000001</v>
          </cell>
        </row>
        <row r="257">
          <cell r="D257">
            <v>1135.1508695652174</v>
          </cell>
          <cell r="E257">
            <v>1071.187391304348</v>
          </cell>
          <cell r="F257">
            <v>2418.0938095238098</v>
          </cell>
          <cell r="G257">
            <v>1378.7638095238096</v>
          </cell>
        </row>
        <row r="258">
          <cell r="D258">
            <v>1088.3775000000001</v>
          </cell>
          <cell r="E258">
            <v>1018.7115</v>
          </cell>
          <cell r="F258">
            <v>2325.8254999999999</v>
          </cell>
          <cell r="G258">
            <v>1354.8724999999999</v>
          </cell>
        </row>
        <row r="259">
          <cell r="D259">
            <v>1032.125</v>
          </cell>
          <cell r="E259">
            <v>953.97363636363661</v>
          </cell>
          <cell r="F259">
            <v>2254.8180000000002</v>
          </cell>
          <cell r="G259">
            <v>1316.943</v>
          </cell>
        </row>
        <row r="260">
          <cell r="D260">
            <v>1069.0066666666667</v>
          </cell>
          <cell r="E260">
            <v>992.68428571428547</v>
          </cell>
          <cell r="F260">
            <v>2368.0995454545459</v>
          </cell>
          <cell r="G260">
            <v>1370.4690909090907</v>
          </cell>
        </row>
        <row r="261">
          <cell r="D261">
            <v>1095.3578947368424</v>
          </cell>
          <cell r="E261">
            <v>1017.4910526315792</v>
          </cell>
          <cell r="F261">
            <v>2483.2409523809515</v>
          </cell>
          <cell r="G261">
            <v>1403.2176190476189</v>
          </cell>
        </row>
        <row r="262">
          <cell r="D262">
            <v>1113.2710526315791</v>
          </cell>
          <cell r="E262">
            <v>1021.4605263157891</v>
          </cell>
          <cell r="F262">
            <v>2427.4542857142856</v>
          </cell>
          <cell r="G262">
            <v>1341.2509523809526</v>
          </cell>
        </row>
        <row r="263">
          <cell r="D263">
            <v>1023.2650000000001</v>
          </cell>
          <cell r="E263">
            <v>929.76409090909078</v>
          </cell>
          <cell r="F263">
            <v>2278.1372727272724</v>
          </cell>
          <cell r="G263">
            <v>1257.3263636363636</v>
          </cell>
        </row>
        <row r="264">
          <cell r="D264">
            <v>1022.1944999999998</v>
          </cell>
          <cell r="E264">
            <v>932.23549999999977</v>
          </cell>
          <cell r="F264">
            <v>2389.267142857143</v>
          </cell>
          <cell r="G264">
            <v>1281.4723809523809</v>
          </cell>
        </row>
        <row r="265">
          <cell r="D265">
            <v>931.17100000000028</v>
          </cell>
          <cell r="E265">
            <v>846.99050000000022</v>
          </cell>
          <cell r="F265">
            <v>2205.6580952380955</v>
          </cell>
          <cell r="G265">
            <v>1217.0228571428572</v>
          </cell>
        </row>
        <row r="266">
          <cell r="D266">
            <v>762.34466666666663</v>
          </cell>
          <cell r="E266">
            <v>681.77133333333336</v>
          </cell>
          <cell r="F266">
            <v>1730.3195652173906</v>
          </cell>
          <cell r="G266">
            <v>968.80086956521734</v>
          </cell>
        </row>
        <row r="267">
          <cell r="D267">
            <v>698.33571428571429</v>
          </cell>
          <cell r="E267">
            <v>616.2395238095238</v>
          </cell>
          <cell r="F267">
            <v>1542.695789473684</v>
          </cell>
          <cell r="G267">
            <v>883.04052631578952</v>
          </cell>
        </row>
        <row r="268">
          <cell r="D268">
            <v>663.13043478260863</v>
          </cell>
          <cell r="E268">
            <v>581.66565217391314</v>
          </cell>
          <cell r="F268">
            <v>1525.8904545454543</v>
          </cell>
          <cell r="G268">
            <v>877.56181818181801</v>
          </cell>
        </row>
        <row r="269">
          <cell r="D269">
            <v>669.53666666666663</v>
          </cell>
          <cell r="E269">
            <v>596.31714285714293</v>
          </cell>
          <cell r="F269">
            <v>1537.2005000000001</v>
          </cell>
          <cell r="G269">
            <v>865.57550000000015</v>
          </cell>
        </row>
        <row r="270">
          <cell r="D270">
            <v>677.37736842105278</v>
          </cell>
          <cell r="E270">
            <v>616.32789473684227</v>
          </cell>
          <cell r="F270">
            <v>1485.9768421052631</v>
          </cell>
          <cell r="G270">
            <v>805.22736842105257</v>
          </cell>
        </row>
        <row r="271">
          <cell r="D271">
            <v>676.7590909090909</v>
          </cell>
          <cell r="E271">
            <v>613.67818181818177</v>
          </cell>
          <cell r="F271">
            <v>1432.2331818181819</v>
          </cell>
          <cell r="G271">
            <v>757.12681818181841</v>
          </cell>
        </row>
        <row r="272">
          <cell r="D272">
            <v>774.05687499999999</v>
          </cell>
          <cell r="E272">
            <v>709.72250000000008</v>
          </cell>
          <cell r="F272">
            <v>1641.1476190476187</v>
          </cell>
          <cell r="G272">
            <v>848.15190476190469</v>
          </cell>
        </row>
        <row r="273">
          <cell r="D273">
            <v>843.38499999999988</v>
          </cell>
          <cell r="E273">
            <v>771.76400000000001</v>
          </cell>
          <cell r="F273">
            <v>1726.0775000000001</v>
          </cell>
          <cell r="G273">
            <v>902.40849999999989</v>
          </cell>
        </row>
        <row r="274">
          <cell r="D274">
            <v>866.66272727272735</v>
          </cell>
          <cell r="E274">
            <v>801.79272727272723</v>
          </cell>
          <cell r="F274">
            <v>1826.9881818181818</v>
          </cell>
          <cell r="G274">
            <v>926.1149999999999</v>
          </cell>
        </row>
        <row r="275">
          <cell r="D275">
            <v>883.68619047619063</v>
          </cell>
          <cell r="E275">
            <v>820.39571428571435</v>
          </cell>
          <cell r="F275">
            <v>1873.8377272727275</v>
          </cell>
          <cell r="G275">
            <v>935.82136363636346</v>
          </cell>
        </row>
        <row r="276">
          <cell r="D276">
            <v>961.09954545454525</v>
          </cell>
          <cell r="E276">
            <v>897.25681818181806</v>
          </cell>
          <cell r="F276">
            <v>1997.1552380952382</v>
          </cell>
          <cell r="G276">
            <v>1009.7247619047617</v>
          </cell>
        </row>
        <row r="277">
          <cell r="D277">
            <v>971.5852631578947</v>
          </cell>
          <cell r="E277">
            <v>904.94157894736838</v>
          </cell>
          <cell r="F277">
            <v>2084.7471428571425</v>
          </cell>
          <cell r="G277">
            <v>1044.5523809523809</v>
          </cell>
        </row>
        <row r="278">
          <cell r="D278">
            <v>1033.915238095238</v>
          </cell>
          <cell r="E278">
            <v>965.12333333333356</v>
          </cell>
          <cell r="F278">
            <v>2122.8495454545455</v>
          </cell>
          <cell r="G278">
            <v>1067.6636363636362</v>
          </cell>
        </row>
        <row r="279">
          <cell r="D279">
            <v>1052.699090909091</v>
          </cell>
          <cell r="E279">
            <v>984.05227272727268</v>
          </cell>
          <cell r="F279">
            <v>2143.5325000000003</v>
          </cell>
          <cell r="G279">
            <v>1088.0690000000002</v>
          </cell>
        </row>
        <row r="280">
          <cell r="D280">
            <v>1123.1878260869564</v>
          </cell>
          <cell r="E280">
            <v>1043.3682608695651</v>
          </cell>
          <cell r="F280">
            <v>2220.6</v>
          </cell>
          <cell r="G280">
            <v>1110.3777272727273</v>
          </cell>
        </row>
        <row r="281">
          <cell r="D281">
            <v>1151.1300000000001</v>
          </cell>
          <cell r="E281">
            <v>1083.7842857142857</v>
          </cell>
          <cell r="F281">
            <v>2267.7747368421055</v>
          </cell>
          <cell r="G281">
            <v>1123.5815789473684</v>
          </cell>
        </row>
        <row r="282">
          <cell r="D282">
            <v>1149.3663157894739</v>
          </cell>
          <cell r="E282">
            <v>1082.623157894737</v>
          </cell>
          <cell r="F282">
            <v>2194.44</v>
          </cell>
          <cell r="G282">
            <v>1089.1600000000001</v>
          </cell>
        </row>
        <row r="283">
          <cell r="D283">
            <v>1211.2114285714285</v>
          </cell>
          <cell r="E283">
            <v>1144.1576190476189</v>
          </cell>
          <cell r="F283">
            <v>2362.2439130434782</v>
          </cell>
          <cell r="G283">
            <v>1152.0486956521738</v>
          </cell>
        </row>
        <row r="284">
          <cell r="D284">
            <v>1211.8688235294119</v>
          </cell>
          <cell r="E284">
            <v>1139.359411764706</v>
          </cell>
          <cell r="F284">
            <v>2475.7199999999998</v>
          </cell>
          <cell r="G284">
            <v>1197.3161904761905</v>
          </cell>
        </row>
        <row r="285">
          <cell r="D285">
            <v>1130.2324999999998</v>
          </cell>
          <cell r="E285">
            <v>1055.6065000000003</v>
          </cell>
          <cell r="F285">
            <v>2319.239</v>
          </cell>
          <cell r="G285">
            <v>1125.0620000000001</v>
          </cell>
        </row>
        <row r="286">
          <cell r="D286">
            <v>1095.1786363636365</v>
          </cell>
          <cell r="E286">
            <v>1020.7</v>
          </cell>
          <cell r="F286">
            <v>2235.229545454546</v>
          </cell>
          <cell r="G286">
            <v>1083.3609090909092</v>
          </cell>
        </row>
        <row r="287">
          <cell r="D287">
            <v>1100.9639999999995</v>
          </cell>
          <cell r="E287">
            <v>1021.0265000000003</v>
          </cell>
          <cell r="F287">
            <v>2210.2738095238092</v>
          </cell>
          <cell r="G287">
            <v>1079.8033333333333</v>
          </cell>
        </row>
        <row r="288">
          <cell r="D288">
            <v>1148.7060869565219</v>
          </cell>
          <cell r="E288">
            <v>1057.4104347826085</v>
          </cell>
          <cell r="F288">
            <v>2205.2813636363639</v>
          </cell>
          <cell r="G288">
            <v>1087.282272727273</v>
          </cell>
        </row>
        <row r="289">
          <cell r="D289">
            <v>1189.1437500000002</v>
          </cell>
          <cell r="E289">
            <v>1099.8043749999999</v>
          </cell>
          <cell r="F289">
            <v>2298.3461904761903</v>
          </cell>
          <cell r="G289">
            <v>1122.0819047619048</v>
          </cell>
        </row>
        <row r="290">
          <cell r="D290">
            <v>1250.8847619047617</v>
          </cell>
          <cell r="E290">
            <v>1153.2209523809524</v>
          </cell>
          <cell r="F290">
            <v>2441.2957142857144</v>
          </cell>
          <cell r="G290">
            <v>1171.5838095238091</v>
          </cell>
        </row>
        <row r="291">
          <cell r="D291">
            <v>1259.8627272727274</v>
          </cell>
          <cell r="E291">
            <v>1161.8559090909091</v>
          </cell>
          <cell r="F291">
            <v>2530.9895238095237</v>
          </cell>
          <cell r="G291">
            <v>1198.8885714285711</v>
          </cell>
        </row>
        <row r="292">
          <cell r="D292">
            <v>1300.1845454545453</v>
          </cell>
          <cell r="E292">
            <v>1200.6645454545455</v>
          </cell>
          <cell r="F292">
            <v>2631.5604545454548</v>
          </cell>
          <cell r="G292">
            <v>1241.5254545454545</v>
          </cell>
        </row>
        <row r="293">
          <cell r="D293">
            <v>1329.3127272727274</v>
          </cell>
          <cell r="E293">
            <v>1235.4386363636363</v>
          </cell>
          <cell r="F293">
            <v>2717.2085000000002</v>
          </cell>
          <cell r="G293">
            <v>1282.6185</v>
          </cell>
        </row>
        <row r="294">
          <cell r="D294">
            <v>1310.5545</v>
          </cell>
          <cell r="E294">
            <v>1213.9845</v>
          </cell>
          <cell r="F294">
            <v>2783.535789473684</v>
          </cell>
          <cell r="G294">
            <v>1321.1178947368419</v>
          </cell>
        </row>
        <row r="295">
          <cell r="D295">
            <v>1278.0859090909087</v>
          </cell>
          <cell r="E295">
            <v>1171.7290909090909</v>
          </cell>
          <cell r="F295">
            <v>2722.2891304347831</v>
          </cell>
          <cell r="G295">
            <v>1304.4865217391302</v>
          </cell>
        </row>
        <row r="296">
          <cell r="D296">
            <v>1330.684375</v>
          </cell>
          <cell r="E296">
            <v>1210.953125</v>
          </cell>
          <cell r="F296">
            <v>2797.0720000000001</v>
          </cell>
          <cell r="G296">
            <v>1331.5050000000001</v>
          </cell>
        </row>
        <row r="297">
          <cell r="D297">
            <v>1274.8371428571429</v>
          </cell>
          <cell r="E297">
            <v>1158.1385714285711</v>
          </cell>
          <cell r="F297">
            <v>2815.0757142857146</v>
          </cell>
          <cell r="G297">
            <v>1338.3104761904758</v>
          </cell>
        </row>
        <row r="298">
          <cell r="D298">
            <v>1217.6730000000002</v>
          </cell>
          <cell r="E298">
            <v>1105.7729999999999</v>
          </cell>
          <cell r="F298">
            <v>2687.7627272727268</v>
          </cell>
          <cell r="G298">
            <v>1287.2886363636362</v>
          </cell>
        </row>
        <row r="299">
          <cell r="D299">
            <v>1251.5471428571429</v>
          </cell>
          <cell r="E299">
            <v>1137.6571428571428</v>
          </cell>
          <cell r="F299">
            <v>2810.5754999999999</v>
          </cell>
          <cell r="G299">
            <v>1325.1844999999998</v>
          </cell>
        </row>
        <row r="300">
          <cell r="D300">
            <v>1109.99</v>
          </cell>
          <cell r="E300">
            <v>999.18545454545449</v>
          </cell>
          <cell r="F300">
            <v>2504.623043478261</v>
          </cell>
          <cell r="G300">
            <v>1185.3056521739127</v>
          </cell>
        </row>
        <row r="301">
          <cell r="D301">
            <v>1056.522105263158</v>
          </cell>
          <cell r="E301">
            <v>951.38052631578944</v>
          </cell>
          <cell r="F301">
            <v>2524.1361904761911</v>
          </cell>
          <cell r="G301">
            <v>1173.8790476190479</v>
          </cell>
        </row>
        <row r="302">
          <cell r="D302">
            <v>1100.6366666666665</v>
          </cell>
          <cell r="E302">
            <v>995.38777777777773</v>
          </cell>
          <cell r="F302">
            <v>2594.7819047619046</v>
          </cell>
          <cell r="G302">
            <v>1207.2161904761904</v>
          </cell>
        </row>
        <row r="303">
          <cell r="D303">
            <v>1085.1700000000003</v>
          </cell>
          <cell r="E303">
            <v>984.75045454545432</v>
          </cell>
          <cell r="F303">
            <v>2606.2890476190478</v>
          </cell>
          <cell r="G303">
            <v>1226.4147619047619</v>
          </cell>
        </row>
        <row r="304">
          <cell r="D304">
            <v>1092.3142857142859</v>
          </cell>
          <cell r="E304">
            <v>987.49952380952391</v>
          </cell>
          <cell r="F304">
            <v>2601.6700000000005</v>
          </cell>
          <cell r="G304">
            <v>1243.3228571428572</v>
          </cell>
        </row>
        <row r="305">
          <cell r="D305">
            <v>1120.6378260869565</v>
          </cell>
          <cell r="E305">
            <v>1015.8969565217393</v>
          </cell>
          <cell r="F305">
            <v>2743.7949999999996</v>
          </cell>
          <cell r="G305">
            <v>1300.5780000000002</v>
          </cell>
        </row>
        <row r="306">
          <cell r="D306">
            <v>1107.2242105263156</v>
          </cell>
          <cell r="E306">
            <v>1008.9189473684212</v>
          </cell>
          <cell r="F306">
            <v>2928.9805000000006</v>
          </cell>
          <cell r="G306">
            <v>1352.4875</v>
          </cell>
        </row>
        <row r="307">
          <cell r="D307">
            <v>1107.9384999999997</v>
          </cell>
          <cell r="E307">
            <v>1015.793</v>
          </cell>
          <cell r="F307">
            <v>3035.9159090909093</v>
          </cell>
          <cell r="G307">
            <v>1389.24</v>
          </cell>
        </row>
        <row r="308">
          <cell r="D308">
            <v>1143.3521052631579</v>
          </cell>
          <cell r="E308">
            <v>1051.4126315789474</v>
          </cell>
          <cell r="F308">
            <v>3035.1014999999993</v>
          </cell>
          <cell r="G308">
            <v>1386.4289999999996</v>
          </cell>
        </row>
        <row r="309">
          <cell r="D309">
            <v>1102.028181818182</v>
          </cell>
          <cell r="E309">
            <v>1010.9859090909089</v>
          </cell>
          <cell r="F309">
            <v>2900.409090909091</v>
          </cell>
          <cell r="G309">
            <v>1341.2727272727273</v>
          </cell>
        </row>
        <row r="310">
          <cell r="D310">
            <v>1069.0335000000002</v>
          </cell>
          <cell r="E310">
            <v>983.25500000000011</v>
          </cell>
          <cell r="F310">
            <v>2850.3538095238091</v>
          </cell>
          <cell r="G310">
            <v>1323.4842857142858</v>
          </cell>
        </row>
        <row r="311">
          <cell r="D311">
            <v>1075.9586363636365</v>
          </cell>
          <cell r="E311">
            <v>980.54363636363632</v>
          </cell>
          <cell r="F311">
            <v>2920.1123809523806</v>
          </cell>
          <cell r="G311">
            <v>1359.7761904761905</v>
          </cell>
        </row>
        <row r="312">
          <cell r="D312">
            <v>1105.7922727272723</v>
          </cell>
          <cell r="E312">
            <v>988.28136363636372</v>
          </cell>
          <cell r="F312">
            <v>3032.666521739131</v>
          </cell>
          <cell r="G312">
            <v>1403.448260869565</v>
          </cell>
        </row>
        <row r="313">
          <cell r="D313">
            <v>1134.2506666666666</v>
          </cell>
          <cell r="E313">
            <v>1010.5766666666667</v>
          </cell>
          <cell r="F313">
            <v>3136.802631578948</v>
          </cell>
          <cell r="G313">
            <v>1443.4194736842105</v>
          </cell>
        </row>
        <row r="314">
          <cell r="D314">
            <v>1213.7190000000003</v>
          </cell>
          <cell r="E314">
            <v>1075.3390000000002</v>
          </cell>
          <cell r="F314">
            <v>3060.2619047619046</v>
          </cell>
          <cell r="G314">
            <v>1437.8166666666666</v>
          </cell>
        </row>
        <row r="315">
          <cell r="D315">
            <v>1212.8638095238098</v>
          </cell>
          <cell r="E315">
            <v>1072.5809523809523</v>
          </cell>
          <cell r="F315">
            <v>2941.0147619047616</v>
          </cell>
          <cell r="G315">
            <v>1394.5123809523811</v>
          </cell>
        </row>
        <row r="316">
          <cell r="D316">
            <v>1215.9640909090906</v>
          </cell>
          <cell r="E316">
            <v>1073.471818181818</v>
          </cell>
          <cell r="F316">
            <v>3003.7920000000004</v>
          </cell>
          <cell r="G316">
            <v>1422.2854999999997</v>
          </cell>
        </row>
        <row r="317">
          <cell r="D317">
            <v>1203.8918181818183</v>
          </cell>
          <cell r="E317">
            <v>1069.2804545454546</v>
          </cell>
          <cell r="F317">
            <v>3125.9138095238095</v>
          </cell>
          <cell r="G317">
            <v>1480.3952380952383</v>
          </cell>
        </row>
        <row r="318">
          <cell r="D318">
            <v>1216.7152631578949</v>
          </cell>
          <cell r="E318">
            <v>1084.9652631578949</v>
          </cell>
          <cell r="F318">
            <v>3169.2131578947369</v>
          </cell>
          <cell r="G318">
            <v>1512.3115789473684</v>
          </cell>
        </row>
        <row r="319">
          <cell r="D319">
            <v>1236.5022222222224</v>
          </cell>
          <cell r="E319">
            <v>1101.8861111111112</v>
          </cell>
          <cell r="F319">
            <v>3236.1664999999998</v>
          </cell>
          <cell r="G319">
            <v>1550.8289999999995</v>
          </cell>
        </row>
        <row r="320">
          <cell r="D320">
            <v>1218.0599999999997</v>
          </cell>
          <cell r="E320">
            <v>1086.9710526315791</v>
          </cell>
          <cell r="F320">
            <v>3251.3518181818176</v>
          </cell>
          <cell r="G320">
            <v>1570.7022727272727</v>
          </cell>
        </row>
        <row r="321">
          <cell r="D321">
            <v>1217.3235</v>
          </cell>
          <cell r="E321">
            <v>1093.1699999999998</v>
          </cell>
          <cell r="F321">
            <v>3440.3754545454549</v>
          </cell>
          <cell r="G321">
            <v>1639.8427272727274</v>
          </cell>
        </row>
        <row r="322">
          <cell r="D322">
            <v>1218.0395238095239</v>
          </cell>
          <cell r="E322">
            <v>1094.0109523809526</v>
          </cell>
          <cell r="F322">
            <v>3416.7415000000001</v>
          </cell>
          <cell r="G322">
            <v>1618.7725</v>
          </cell>
        </row>
        <row r="323">
          <cell r="D323">
            <v>1214.369090909091</v>
          </cell>
          <cell r="E323">
            <v>1097.3695454545452</v>
          </cell>
          <cell r="F323">
            <v>3559.7109090909084</v>
          </cell>
          <cell r="G323">
            <v>1668.6754545454546</v>
          </cell>
        </row>
        <row r="324">
          <cell r="D324">
            <v>1198.7642857142855</v>
          </cell>
          <cell r="E324">
            <v>1094.4709523809524</v>
          </cell>
          <cell r="F324">
            <v>3639.9286363636365</v>
          </cell>
          <cell r="G324">
            <v>1670.0936363636363</v>
          </cell>
        </row>
        <row r="325">
          <cell r="D325">
            <v>1219.0574999999999</v>
          </cell>
          <cell r="E325">
            <v>1108.7937499999998</v>
          </cell>
          <cell r="F325">
            <v>3731.2619999999997</v>
          </cell>
          <cell r="G325">
            <v>1687.1735000000001</v>
          </cell>
        </row>
        <row r="326">
          <cell r="D326">
            <v>1288.7921739130436</v>
          </cell>
          <cell r="E326">
            <v>1164.248260869565</v>
          </cell>
          <cell r="F326">
            <v>3848.202608695653</v>
          </cell>
          <cell r="G326">
            <v>1720.0265217391304</v>
          </cell>
        </row>
        <row r="327">
          <cell r="D327">
            <v>1325.5605</v>
          </cell>
          <cell r="E327">
            <v>1197.8679999999999</v>
          </cell>
          <cell r="F327">
            <v>3957.5330000000004</v>
          </cell>
          <cell r="G327">
            <v>1783.5409999999997</v>
          </cell>
        </row>
        <row r="328">
          <cell r="D328">
            <v>1342.8173913043479</v>
          </cell>
          <cell r="E328">
            <v>1207.8078260869563</v>
          </cell>
          <cell r="F328">
            <v>4075.8857142857137</v>
          </cell>
          <cell r="G328">
            <v>1807.7752380952381</v>
          </cell>
        </row>
        <row r="329">
          <cell r="D329">
            <v>1326.8063636363636</v>
          </cell>
          <cell r="E329">
            <v>1219.6963636363635</v>
          </cell>
          <cell r="F329">
            <v>4154.3619047619059</v>
          </cell>
          <cell r="G329">
            <v>1822.3566666666666</v>
          </cell>
        </row>
        <row r="330">
          <cell r="D330">
            <v>1317.3595</v>
          </cell>
          <cell r="E330">
            <v>1218.3059999999998</v>
          </cell>
          <cell r="F330">
            <v>4199.4510526315789</v>
          </cell>
          <cell r="G330">
            <v>1817.0347368421051</v>
          </cell>
        </row>
        <row r="331">
          <cell r="D331">
            <v>1378.1519047619047</v>
          </cell>
          <cell r="E331">
            <v>1273.445238095238</v>
          </cell>
          <cell r="F331">
            <v>4276.3590476190484</v>
          </cell>
          <cell r="G331">
            <v>1864.1623809523808</v>
          </cell>
        </row>
        <row r="332">
          <cell r="D332">
            <v>1401.5227777777779</v>
          </cell>
          <cell r="E332">
            <v>1277.5111111111109</v>
          </cell>
          <cell r="F332">
            <v>4119.3061904761898</v>
          </cell>
          <cell r="G332">
            <v>1864.2633333333333</v>
          </cell>
        </row>
        <row r="333">
          <cell r="D333">
            <v>1385.5247368421053</v>
          </cell>
          <cell r="E333">
            <v>1251.1326315789477</v>
          </cell>
          <cell r="F333">
            <v>4135.3742857142852</v>
          </cell>
          <cell r="G333">
            <v>1889.7671428571425</v>
          </cell>
        </row>
        <row r="334">
          <cell r="D334">
            <v>1398.9444999999998</v>
          </cell>
          <cell r="E334">
            <v>1260.2860000000001</v>
          </cell>
          <cell r="F334">
            <v>4332.7376190476189</v>
          </cell>
          <cell r="G334">
            <v>1947.0876190476192</v>
          </cell>
        </row>
        <row r="335">
          <cell r="D335">
            <v>1390.4969565217393</v>
          </cell>
          <cell r="E335">
            <v>1251.4947826086955</v>
          </cell>
          <cell r="F335">
            <v>4434.1259090909089</v>
          </cell>
          <cell r="G335">
            <v>1973.0999999999995</v>
          </cell>
        </row>
        <row r="336">
          <cell r="D336">
            <v>1387.6545000000001</v>
          </cell>
          <cell r="E336">
            <v>1243.373</v>
          </cell>
          <cell r="F336">
            <v>4464.8314285714287</v>
          </cell>
          <cell r="G336">
            <v>1961.5319047619046</v>
          </cell>
        </row>
        <row r="337">
          <cell r="D337">
            <v>1435.2114999999999</v>
          </cell>
          <cell r="E337">
            <v>1291.9750000000001</v>
          </cell>
          <cell r="F337">
            <v>4551.5857142857149</v>
          </cell>
          <cell r="G337">
            <v>1993.2261904761908</v>
          </cell>
        </row>
        <row r="338">
          <cell r="D338">
            <v>1444.2611111111112</v>
          </cell>
          <cell r="E338">
            <v>1291.8405555555555</v>
          </cell>
          <cell r="F338">
            <v>4403.2304347826084</v>
          </cell>
          <cell r="G338">
            <v>1937.2743478260873</v>
          </cell>
        </row>
        <row r="339">
          <cell r="D339">
            <v>1450.8528571428569</v>
          </cell>
          <cell r="E339">
            <v>1294.195238095238</v>
          </cell>
          <cell r="F339">
            <v>4687.7026315789481</v>
          </cell>
          <cell r="G339">
            <v>2044.5721052631579</v>
          </cell>
        </row>
        <row r="340">
          <cell r="D340">
            <v>1474.5382608695647</v>
          </cell>
          <cell r="E340">
            <v>1304.8934782608696</v>
          </cell>
          <cell r="F340">
            <v>4732.7009090909087</v>
          </cell>
          <cell r="G340">
            <v>2054.2663636363636</v>
          </cell>
        </row>
        <row r="341">
          <cell r="D341">
            <v>1460.8738095238095</v>
          </cell>
          <cell r="E341">
            <v>1280.7571428571432</v>
          </cell>
          <cell r="F341">
            <v>4673.7015000000001</v>
          </cell>
          <cell r="G341">
            <v>2028.1785</v>
          </cell>
        </row>
        <row r="342">
          <cell r="D342">
            <v>1473.1334999999999</v>
          </cell>
          <cell r="E342">
            <v>1298.471</v>
          </cell>
          <cell r="F342">
            <v>4854.2557894736847</v>
          </cell>
          <cell r="G342">
            <v>2082.1957894736843</v>
          </cell>
        </row>
        <row r="343">
          <cell r="D343">
            <v>1576.2995238095239</v>
          </cell>
          <cell r="E343">
            <v>1386.2890476190473</v>
          </cell>
          <cell r="F343">
            <v>4938.0104545454551</v>
          </cell>
          <cell r="G343">
            <v>2079.9886363636365</v>
          </cell>
        </row>
        <row r="344">
          <cell r="D344">
            <v>1665.6694736842103</v>
          </cell>
          <cell r="E344">
            <v>1455.2889473684211</v>
          </cell>
          <cell r="F344">
            <v>4985.951448571428</v>
          </cell>
          <cell r="G344">
            <v>2094.8628409523812</v>
          </cell>
        </row>
        <row r="345">
          <cell r="D345">
            <v>1667.4249999999997</v>
          </cell>
          <cell r="E345">
            <v>1447.1649999999997</v>
          </cell>
          <cell r="F345">
            <v>5029.4314610000001</v>
          </cell>
          <cell r="G345">
            <v>2113.7409999999995</v>
          </cell>
        </row>
        <row r="346">
          <cell r="D346">
            <v>1685.2881818181816</v>
          </cell>
          <cell r="E346">
            <v>1452.3495454545457</v>
          </cell>
          <cell r="F346">
            <v>5073.8599999999997</v>
          </cell>
          <cell r="G346">
            <v>2099.2890909090906</v>
          </cell>
        </row>
        <row r="347">
          <cell r="D347">
            <v>1684.685238095238</v>
          </cell>
          <cell r="E347">
            <v>1451.5061904761906</v>
          </cell>
          <cell r="F347">
            <v>5082.8104420909094</v>
          </cell>
          <cell r="G347">
            <v>2094.1436403636362</v>
          </cell>
        </row>
        <row r="348">
          <cell r="D348">
            <v>1676.3354545454545</v>
          </cell>
          <cell r="E348">
            <v>1457.7245454545453</v>
          </cell>
          <cell r="F348">
            <v>4934.6228608571428</v>
          </cell>
          <cell r="G348">
            <v>2039.8662050952382</v>
          </cell>
        </row>
        <row r="349">
          <cell r="D349">
            <v>1574.5353333333335</v>
          </cell>
          <cell r="E349">
            <v>1375.2806666666668</v>
          </cell>
          <cell r="F349">
            <v>4748.0043247142848</v>
          </cell>
          <cell r="G349">
            <v>1944.4047619523806</v>
          </cell>
        </row>
        <row r="350">
          <cell r="D350">
            <v>1536.833157894737</v>
          </cell>
          <cell r="E350">
            <v>1338.7231578947367</v>
          </cell>
          <cell r="F350">
            <v>4879.0368208181817</v>
          </cell>
          <cell r="G350">
            <v>2024.8127163636366</v>
          </cell>
        </row>
        <row r="351">
          <cell r="D351">
            <v>1565.9031818181816</v>
          </cell>
          <cell r="E351">
            <v>1354.3631818181818</v>
          </cell>
          <cell r="F351">
            <v>5078.8380371499989</v>
          </cell>
          <cell r="G351">
            <v>2080.6165038999998</v>
          </cell>
        </row>
        <row r="352">
          <cell r="D352">
            <v>1526.669565217391</v>
          </cell>
          <cell r="E352">
            <v>1316.468260869565</v>
          </cell>
          <cell r="F352">
            <v>5040.5400568181813</v>
          </cell>
          <cell r="G352">
            <v>2054.079557090909</v>
          </cell>
        </row>
        <row r="353">
          <cell r="D353">
            <v>1478.0880952380951</v>
          </cell>
          <cell r="E353">
            <v>1271.261428571429</v>
          </cell>
          <cell r="F353">
            <v>4610.714241421053</v>
          </cell>
          <cell r="G353">
            <v>1918.5978911052632</v>
          </cell>
        </row>
        <row r="354">
          <cell r="D354">
            <v>1427.9666666666667</v>
          </cell>
          <cell r="E354">
            <v>1226.7438095238092</v>
          </cell>
          <cell r="F354">
            <v>4463.2060049500005</v>
          </cell>
          <cell r="G354">
            <v>1904.4184928500006</v>
          </cell>
        </row>
        <row r="355">
          <cell r="D355">
            <v>1471.100909090909</v>
          </cell>
          <cell r="E355">
            <v>1264.863636363636</v>
          </cell>
          <cell r="F355">
            <v>4754.4791130454541</v>
          </cell>
          <cell r="G355">
            <v>2021.9540969545451</v>
          </cell>
        </row>
        <row r="356">
          <cell r="D356">
            <v>1466.8178947368419</v>
          </cell>
          <cell r="E356">
            <v>1267.9294736842105</v>
          </cell>
          <cell r="F356">
            <v>4892.1681082857149</v>
          </cell>
          <cell r="G356">
            <v>2075.5352317619049</v>
          </cell>
        </row>
        <row r="357">
          <cell r="D357">
            <v>1417.5595238095239</v>
          </cell>
          <cell r="E357">
            <v>1228.0238095238096</v>
          </cell>
          <cell r="F357">
            <v>4788.235235380952</v>
          </cell>
          <cell r="G357">
            <v>2065.5504790000005</v>
          </cell>
        </row>
        <row r="358">
          <cell r="D358">
            <v>1421.0704761904763</v>
          </cell>
          <cell r="E358">
            <v>1233.3804761904764</v>
          </cell>
          <cell r="F358">
            <v>4856.2326882272737</v>
          </cell>
          <cell r="G358">
            <v>2083.886369136364</v>
          </cell>
        </row>
        <row r="359">
          <cell r="D359">
            <v>1444.7495238095237</v>
          </cell>
          <cell r="E359">
            <v>1257.738095238095</v>
          </cell>
          <cell r="F359">
            <v>5023.9889648500002</v>
          </cell>
          <cell r="G359">
            <v>2148.9019775500005</v>
          </cell>
        </row>
        <row r="360">
          <cell r="D360">
            <v>1462.0690909090908</v>
          </cell>
          <cell r="E360">
            <v>1282.3968181818182</v>
          </cell>
          <cell r="F360">
            <v>5217.0383193478265</v>
          </cell>
          <cell r="G360">
            <v>2177.4821670869565</v>
          </cell>
        </row>
        <row r="361">
          <cell r="D361">
            <v>1446.9723809523809</v>
          </cell>
          <cell r="E361">
            <v>1267.9285714285716</v>
          </cell>
          <cell r="F361">
            <v>5254.154296857143</v>
          </cell>
          <cell r="G361">
            <v>2157.6909645238097</v>
          </cell>
        </row>
        <row r="362">
          <cell r="D362">
            <v>1427.6792307692308</v>
          </cell>
          <cell r="E362">
            <v>1251.0976923076926</v>
          </cell>
          <cell r="F362">
            <v>5255.9895600952377</v>
          </cell>
          <cell r="G362">
            <v>2143.0209379047619</v>
          </cell>
        </row>
        <row r="363">
          <cell r="D363">
            <v>1428.2372727272732</v>
          </cell>
          <cell r="E363">
            <v>1247.376818181818</v>
          </cell>
          <cell r="F363">
            <v>5260.565243666666</v>
          </cell>
          <cell r="G363">
            <v>2164.9856887619048</v>
          </cell>
        </row>
        <row r="364">
          <cell r="D364">
            <v>1457.1842857142856</v>
          </cell>
          <cell r="E364">
            <v>1272.8614285714286</v>
          </cell>
          <cell r="F364">
            <v>5413.116658285714</v>
          </cell>
          <cell r="G364">
            <v>2246.6290521904762</v>
          </cell>
        </row>
        <row r="365">
          <cell r="D365">
            <v>1441.2991304347825</v>
          </cell>
          <cell r="E365">
            <v>1264.2260869565221</v>
          </cell>
          <cell r="F365">
            <v>5561.4234999999999</v>
          </cell>
          <cell r="G365">
            <v>2275.1160000000004</v>
          </cell>
        </row>
        <row r="366">
          <cell r="D366">
            <v>1434.3510000000001</v>
          </cell>
          <cell r="E366">
            <v>1271.2570000000001</v>
          </cell>
          <cell r="F366">
            <v>5764.1757894736829</v>
          </cell>
          <cell r="G366">
            <v>2329.9105263157894</v>
          </cell>
        </row>
        <row r="367">
          <cell r="D367">
            <v>1423.3176190476192</v>
          </cell>
          <cell r="E367">
            <v>1270.1514285714284</v>
          </cell>
          <cell r="F367">
            <v>5864.9643478260869</v>
          </cell>
          <cell r="G367">
            <v>2366.8221739130431</v>
          </cell>
        </row>
        <row r="368">
          <cell r="D368">
            <v>1396.0017647058824</v>
          </cell>
          <cell r="E368">
            <v>1259.2329411764708</v>
          </cell>
          <cell r="F368">
            <v>5912.1694736315803</v>
          </cell>
          <cell r="G368">
            <v>2359.3094576842109</v>
          </cell>
        </row>
        <row r="369">
          <cell r="D369">
            <v>1421.2547368421051</v>
          </cell>
          <cell r="E369">
            <v>1293.6715789473683</v>
          </cell>
          <cell r="F369">
            <v>6124.8781738636371</v>
          </cell>
          <cell r="G369">
            <v>2395.345880681818</v>
          </cell>
        </row>
        <row r="370">
          <cell r="D370">
            <v>1431.104761904762</v>
          </cell>
          <cell r="E370">
            <v>1292.6442857142858</v>
          </cell>
          <cell r="F370">
            <v>6228.2795061904772</v>
          </cell>
          <cell r="G370">
            <v>2434.4890485714286</v>
          </cell>
        </row>
        <row r="371">
          <cell r="D371">
            <v>1446.224545454545</v>
          </cell>
          <cell r="E371">
            <v>1301.0954545454542</v>
          </cell>
          <cell r="F371">
            <v>6294.6740234999997</v>
          </cell>
          <cell r="G371">
            <v>2454.1025024999999</v>
          </cell>
        </row>
        <row r="372">
          <cell r="D372">
            <v>1393.8645454545454</v>
          </cell>
          <cell r="E372">
            <v>1261.0881818181817</v>
          </cell>
          <cell r="F372">
            <v>6307.1300102173918</v>
          </cell>
          <cell r="G372">
            <v>2455.2639372608687</v>
          </cell>
        </row>
        <row r="373">
          <cell r="D373">
            <v>1407.5094444444449</v>
          </cell>
          <cell r="E373">
            <v>1279.6677777777777</v>
          </cell>
          <cell r="F373">
            <v>6428.0790009499997</v>
          </cell>
          <cell r="G373">
            <v>2492.8410126999997</v>
          </cell>
        </row>
        <row r="374">
          <cell r="D374">
            <v>1441.6821052631581</v>
          </cell>
          <cell r="E374">
            <v>1313.2026315789474</v>
          </cell>
          <cell r="F374">
            <v>6603.0113494999996</v>
          </cell>
          <cell r="G374">
            <v>2556.9972699999998</v>
          </cell>
        </row>
        <row r="375">
          <cell r="D375">
            <v>1424.5045454545455</v>
          </cell>
          <cell r="E375">
            <v>1304.58</v>
          </cell>
          <cell r="F375">
            <v>6796.0453999047622</v>
          </cell>
          <cell r="G375">
            <v>2593.6057207619046</v>
          </cell>
        </row>
        <row r="376">
          <cell r="D376">
            <v>1477.4619047619049</v>
          </cell>
          <cell r="E376">
            <v>1338.7090476190476</v>
          </cell>
          <cell r="F376">
            <v>6889.7404658500018</v>
          </cell>
          <cell r="G376">
            <v>2664.3405224499998</v>
          </cell>
        </row>
        <row r="377">
          <cell r="D377">
            <v>1535.6978260869564</v>
          </cell>
          <cell r="E377">
            <v>1395.5582608695652</v>
          </cell>
          <cell r="F377">
            <v>7279.4980952380965</v>
          </cell>
          <cell r="G377">
            <v>2789.8038081428572</v>
          </cell>
        </row>
        <row r="378">
          <cell r="D378">
            <v>1495.6759999999999</v>
          </cell>
          <cell r="E378">
            <v>1358.8225000000002</v>
          </cell>
          <cell r="F378">
            <v>7161.7684118421048</v>
          </cell>
          <cell r="G378">
            <v>2705.1552662631584</v>
          </cell>
        </row>
        <row r="379">
          <cell r="D379">
            <v>1475.7980000000002</v>
          </cell>
          <cell r="E379">
            <v>1340.1704999999999</v>
          </cell>
          <cell r="F379">
            <v>7311.5066964285725</v>
          </cell>
          <cell r="G379">
            <v>2702.7738211428564</v>
          </cell>
        </row>
        <row r="380">
          <cell r="D380">
            <v>1453.4689473684211</v>
          </cell>
          <cell r="E380">
            <v>1321.5684210526319</v>
          </cell>
          <cell r="F380">
            <v>7084.1423465238086</v>
          </cell>
          <cell r="G380">
            <v>2653.6252092857144</v>
          </cell>
        </row>
        <row r="381">
          <cell r="D381">
            <v>1496.0800000000002</v>
          </cell>
          <cell r="E381">
            <v>1348.893181818182</v>
          </cell>
          <cell r="F381">
            <v>7339.3272815909095</v>
          </cell>
          <cell r="G381">
            <v>2701.4936190909084</v>
          </cell>
        </row>
        <row r="382">
          <cell r="D382">
            <v>1531.0854999999999</v>
          </cell>
          <cell r="E382">
            <v>1381.9464999999996</v>
          </cell>
          <cell r="F382">
            <v>7645.1385323809518</v>
          </cell>
          <cell r="G382">
            <v>2754.3528878571433</v>
          </cell>
        </row>
        <row r="383">
          <cell r="D383">
            <v>1546.7981818181818</v>
          </cell>
          <cell r="E383">
            <v>1383.4054545454546</v>
          </cell>
          <cell r="F383">
            <v>7751.5636142857147</v>
          </cell>
          <cell r="G383">
            <v>2792.1304919523814</v>
          </cell>
        </row>
        <row r="384">
          <cell r="D384">
            <v>1609.3254545454547</v>
          </cell>
          <cell r="E384">
            <v>1440.8459090909091</v>
          </cell>
          <cell r="F384">
            <v>7892.2338959130439</v>
          </cell>
          <cell r="G384">
            <v>2857.8204258260871</v>
          </cell>
        </row>
        <row r="385">
          <cell r="D385">
            <v>1651.8207692307694</v>
          </cell>
          <cell r="E385">
            <v>1486.5138461538461</v>
          </cell>
          <cell r="F385">
            <v>7980.4280447894753</v>
          </cell>
          <cell r="G385">
            <v>2901.1936843157901</v>
          </cell>
        </row>
        <row r="386">
          <cell r="D386">
            <v>1607.3995238095238</v>
          </cell>
          <cell r="E386">
            <v>1452.3190476190478</v>
          </cell>
          <cell r="F386">
            <v>7527.0839071304354</v>
          </cell>
          <cell r="G386">
            <v>2785.4647834347825</v>
          </cell>
        </row>
        <row r="387">
          <cell r="D387">
            <v>1628.9095238095238</v>
          </cell>
          <cell r="E387">
            <v>1467.6819047619051</v>
          </cell>
          <cell r="F387">
            <v>7236.081421142856</v>
          </cell>
          <cell r="G387">
            <v>2723.2309519523815</v>
          </cell>
        </row>
        <row r="388">
          <cell r="D388">
            <v>1546.8881818181815</v>
          </cell>
          <cell r="E388">
            <v>1399.7313636363635</v>
          </cell>
          <cell r="F388">
            <v>6815.451498736842</v>
          </cell>
          <cell r="G388">
            <v>2564.5305283157895</v>
          </cell>
        </row>
        <row r="389">
          <cell r="D389">
            <v>1508.1573913043476</v>
          </cell>
          <cell r="E389">
            <v>1368.0921739130433</v>
          </cell>
          <cell r="F389">
            <v>6979.6557160952379</v>
          </cell>
          <cell r="G389">
            <v>2607.3899800000004</v>
          </cell>
        </row>
        <row r="390">
          <cell r="D390">
            <v>1562.4044999999999</v>
          </cell>
          <cell r="E390">
            <v>1422.6780000000001</v>
          </cell>
          <cell r="F390">
            <v>7430.0773478421052</v>
          </cell>
          <cell r="G390">
            <v>2754.8642047894741</v>
          </cell>
        </row>
        <row r="391">
          <cell r="D391">
            <v>1550.4839999999999</v>
          </cell>
          <cell r="E391">
            <v>1417.9739999999997</v>
          </cell>
          <cell r="F391">
            <v>7629.366652714285</v>
          </cell>
          <cell r="G391">
            <v>2803.9837935714286</v>
          </cell>
        </row>
        <row r="392">
          <cell r="D392">
            <v>1586.866</v>
          </cell>
          <cell r="E392">
            <v>1460.0585000000001</v>
          </cell>
          <cell r="F392">
            <v>7994.9209216666668</v>
          </cell>
          <cell r="G392">
            <v>2903.7999790476192</v>
          </cell>
        </row>
        <row r="393">
          <cell r="D393">
            <v>1567.4110000000001</v>
          </cell>
          <cell r="E393">
            <v>1448.2775000000001</v>
          </cell>
          <cell r="F393">
            <v>7804.8208674545467</v>
          </cell>
          <cell r="G393">
            <v>2854.7059104545456</v>
          </cell>
        </row>
        <row r="394">
          <cell r="D394">
            <v>1558.6415000000002</v>
          </cell>
          <cell r="E394">
            <v>1447.8515000000002</v>
          </cell>
          <cell r="F394">
            <v>7825.4590088499999</v>
          </cell>
          <cell r="G394">
            <v>2890.1659790500003</v>
          </cell>
        </row>
        <row r="395">
          <cell r="D395">
            <v>1597.8295652173913</v>
          </cell>
          <cell r="E395">
            <v>1488.121304347826</v>
          </cell>
          <cell r="F395">
            <v>8205.5986771363641</v>
          </cell>
          <cell r="G395">
            <v>2996.1136363636365</v>
          </cell>
        </row>
        <row r="396">
          <cell r="D396">
            <v>1581.9385</v>
          </cell>
          <cell r="E396">
            <v>1486.0739999999996</v>
          </cell>
          <cell r="F396">
            <v>7910.9332386363621</v>
          </cell>
          <cell r="G396">
            <v>2897.4504505454543</v>
          </cell>
        </row>
        <row r="397">
          <cell r="D397">
            <v>1591.628947368421</v>
          </cell>
          <cell r="E397">
            <v>1505.3084210526315</v>
          </cell>
          <cell r="F397">
            <v>8087.6999756499981</v>
          </cell>
          <cell r="G397">
            <v>2982.1560058500004</v>
          </cell>
        </row>
        <row r="398">
          <cell r="D398">
            <v>1638.1775</v>
          </cell>
          <cell r="E398">
            <v>1559.2618749999999</v>
          </cell>
          <cell r="F398">
            <v>8079.2782990869564</v>
          </cell>
          <cell r="G398">
            <v>2977.6751975217389</v>
          </cell>
        </row>
        <row r="399">
          <cell r="D399">
            <v>1670.4239999999998</v>
          </cell>
          <cell r="E399">
            <v>1591.8039999999999</v>
          </cell>
          <cell r="F399">
            <v>8517.5774414499992</v>
          </cell>
          <cell r="G399">
            <v>3104.9044922499997</v>
          </cell>
        </row>
        <row r="400">
          <cell r="D400">
            <v>1685.0704347826088</v>
          </cell>
          <cell r="E400">
            <v>1612.2221739130432</v>
          </cell>
          <cell r="F400">
            <v>8778.5919363809535</v>
          </cell>
          <cell r="G400">
            <v>3176.7495118095235</v>
          </cell>
        </row>
        <row r="401">
          <cell r="D401">
            <v>1699.929090909091</v>
          </cell>
          <cell r="E401">
            <v>1641.2049999999997</v>
          </cell>
          <cell r="F401">
            <v>9233.3599796190483</v>
          </cell>
          <cell r="G401">
            <v>3278.2028576666662</v>
          </cell>
        </row>
        <row r="402">
          <cell r="D402">
            <v>1700.0535000000004</v>
          </cell>
          <cell r="E402">
            <v>1637.8074999999999</v>
          </cell>
          <cell r="F402">
            <v>9418.8500207368434</v>
          </cell>
          <cell r="G402">
            <v>3277.3141832631577</v>
          </cell>
        </row>
        <row r="403">
          <cell r="D403">
            <v>1330.182380952381</v>
          </cell>
          <cell r="E403">
            <v>1270.8347619047618</v>
          </cell>
          <cell r="F403">
            <v>7772.2058328636367</v>
          </cell>
          <cell r="G403">
            <v>2652.3936323636367</v>
          </cell>
        </row>
        <row r="404">
          <cell r="D404">
            <v>1346.211875</v>
          </cell>
          <cell r="E404">
            <v>1318.69</v>
          </cell>
          <cell r="F404">
            <v>8292.407180095237</v>
          </cell>
          <cell r="G404">
            <v>2761.9752255714288</v>
          </cell>
        </row>
        <row r="405">
          <cell r="D405">
            <v>1422.1860000000001</v>
          </cell>
          <cell r="E405">
            <v>1402.3075000000001</v>
          </cell>
          <cell r="F405">
            <v>9105.6554687499993</v>
          </cell>
          <cell r="G405">
            <v>2919.6084838000006</v>
          </cell>
        </row>
        <row r="406">
          <cell r="D406">
            <v>1413.3352380952381</v>
          </cell>
          <cell r="E406">
            <v>1388.4057142857143</v>
          </cell>
          <cell r="F406">
            <v>9839.971324545455</v>
          </cell>
          <cell r="G406">
            <v>3104.6609330909091</v>
          </cell>
        </row>
        <row r="407">
          <cell r="D407">
            <v>1384.1133333333337</v>
          </cell>
          <cell r="E407">
            <v>1371.2800000000004</v>
          </cell>
          <cell r="F407">
            <v>10518.026775636363</v>
          </cell>
          <cell r="G407">
            <v>3210.795460772727</v>
          </cell>
        </row>
        <row r="408">
          <cell r="D408">
            <v>1408.7886363636362</v>
          </cell>
          <cell r="E408">
            <v>1429.0731818181821</v>
          </cell>
          <cell r="F408">
            <v>11227.765039249998</v>
          </cell>
          <cell r="G408">
            <v>3396.5650147000001</v>
          </cell>
        </row>
        <row r="409">
          <cell r="D409">
            <v>1325.6357894736841</v>
          </cell>
          <cell r="E409">
            <v>1356.5847368421053</v>
          </cell>
          <cell r="F409">
            <v>11088.679966523812</v>
          </cell>
          <cell r="G409">
            <v>3365.5166713809526</v>
          </cell>
        </row>
        <row r="410">
          <cell r="D410">
            <v>1353.2519047619048</v>
          </cell>
          <cell r="E410">
            <v>1393.9685714285713</v>
          </cell>
          <cell r="F410">
            <v>11435.234108681818</v>
          </cell>
          <cell r="G410">
            <v>3418.6999956818181</v>
          </cell>
        </row>
        <row r="411">
          <cell r="D411">
            <v>1419.4536363636362</v>
          </cell>
          <cell r="E411">
            <v>1466.2581818181818</v>
          </cell>
          <cell r="F411">
            <v>11794.461523549999</v>
          </cell>
          <cell r="G411">
            <v>3548.9924803499998</v>
          </cell>
        </row>
        <row r="412">
          <cell r="D412">
            <v>1470.5256521739132</v>
          </cell>
          <cell r="E412">
            <v>1527.2343478260868</v>
          </cell>
          <cell r="F412">
            <v>12619.050914409088</v>
          </cell>
          <cell r="G412">
            <v>3695.3100141818181</v>
          </cell>
        </row>
        <row r="413">
          <cell r="D413">
            <v>1572.9142857142858</v>
          </cell>
          <cell r="E413">
            <v>1628.2233333333334</v>
          </cell>
          <cell r="F413">
            <v>13186.605777105264</v>
          </cell>
          <cell r="G413">
            <v>3793.7484323157901</v>
          </cell>
        </row>
        <row r="414">
          <cell r="D414">
            <v>1595.4415000000001</v>
          </cell>
          <cell r="E414">
            <v>1653.2994999999999</v>
          </cell>
          <cell r="F414">
            <v>13737.403628631577</v>
          </cell>
          <cell r="G414">
            <v>3883.4321160526315</v>
          </cell>
        </row>
        <row r="415">
          <cell r="D415">
            <v>1582.8128571428572</v>
          </cell>
          <cell r="E415">
            <v>1643.9028571428576</v>
          </cell>
          <cell r="F415">
            <v>13168.811820695653</v>
          </cell>
          <cell r="G415">
            <v>3910.5082638260869</v>
          </cell>
        </row>
        <row r="416">
          <cell r="D416">
            <v>1633.596842105263</v>
          </cell>
          <cell r="E416">
            <v>1698.0600000000004</v>
          </cell>
          <cell r="F416">
            <v>13900.43796509524</v>
          </cell>
          <cell r="G416">
            <v>4141.1761904761906</v>
          </cell>
        </row>
        <row r="417">
          <cell r="D417">
            <v>1665.768</v>
          </cell>
          <cell r="E417">
            <v>1740.3660000000004</v>
          </cell>
          <cell r="F417">
            <v>13520.2290527</v>
          </cell>
          <cell r="G417">
            <v>4167.8495000000012</v>
          </cell>
        </row>
        <row r="418">
          <cell r="D418">
            <v>1690.5636363636361</v>
          </cell>
          <cell r="E418">
            <v>1764.1018181818183</v>
          </cell>
          <cell r="F418">
            <v>14097.169078499999</v>
          </cell>
          <cell r="G418">
            <v>4238.4895454545458</v>
          </cell>
        </row>
        <row r="419">
          <cell r="D419">
            <v>1671.2939999999999</v>
          </cell>
          <cell r="E419">
            <v>1746.6389999999997</v>
          </cell>
          <cell r="F419">
            <v>14639.072870095239</v>
          </cell>
          <cell r="G419">
            <v>4363.7128571428575</v>
          </cell>
        </row>
        <row r="420">
          <cell r="D420">
            <v>1721.14</v>
          </cell>
          <cell r="E420">
            <v>1780.7313043478257</v>
          </cell>
          <cell r="F420">
            <v>14856.517714863638</v>
          </cell>
          <cell r="G420">
            <v>4453.6568181818184</v>
          </cell>
        </row>
        <row r="421">
          <cell r="D421">
            <v>1793.543076923077</v>
          </cell>
          <cell r="E421">
            <v>1851.7684615384617</v>
          </cell>
          <cell r="F421">
            <v>15023.538551000001</v>
          </cell>
          <cell r="G421">
            <v>4445.5433333333331</v>
          </cell>
        </row>
        <row r="422">
          <cell r="D422">
            <v>1833.9533333333331</v>
          </cell>
          <cell r="E422">
            <v>1895.9590476190472</v>
          </cell>
          <cell r="F422">
            <v>14879.003831809525</v>
          </cell>
          <cell r="G422">
            <v>4460.7076190476191</v>
          </cell>
        </row>
        <row r="423">
          <cell r="D423">
            <v>1887.598181818182</v>
          </cell>
          <cell r="E423">
            <v>1976.3709090909092</v>
          </cell>
          <cell r="F423">
            <v>15814.932896238097</v>
          </cell>
          <cell r="G423">
            <v>4667.4876190476189</v>
          </cell>
        </row>
        <row r="424">
          <cell r="D424">
            <v>1914.5309090909091</v>
          </cell>
          <cell r="E424">
            <v>1996.1931818181815</v>
          </cell>
          <cell r="F424">
            <v>15474.4317295</v>
          </cell>
          <cell r="G424">
            <v>4674.7804545454537</v>
          </cell>
        </row>
        <row r="425">
          <cell r="D425">
            <v>1987.8100000000004</v>
          </cell>
          <cell r="E425">
            <v>2078.3372727272731</v>
          </cell>
          <cell r="F425">
            <v>14531.377490300001</v>
          </cell>
          <cell r="G425">
            <v>4573.8250000000007</v>
          </cell>
        </row>
        <row r="426">
          <cell r="D426">
            <v>1957.1110000000001</v>
          </cell>
          <cell r="E426">
            <v>2054.9734999999996</v>
          </cell>
          <cell r="F426">
            <v>13898.727900947368</v>
          </cell>
          <cell r="G426">
            <v>4435.9663157894729</v>
          </cell>
        </row>
        <row r="427">
          <cell r="D427">
            <v>2006.3100000000002</v>
          </cell>
          <cell r="E427">
            <v>2087.4522222222222</v>
          </cell>
          <cell r="F427">
            <v>13623.262951826087</v>
          </cell>
          <cell r="G427">
            <v>4391.2630434782604</v>
          </cell>
        </row>
        <row r="428">
          <cell r="D428">
            <v>2030.7878947368422</v>
          </cell>
          <cell r="E428">
            <v>2118.5094736842107</v>
          </cell>
          <cell r="F428">
            <v>13394.163054800001</v>
          </cell>
          <cell r="G428">
            <v>4391.2959999999994</v>
          </cell>
        </row>
        <row r="429">
          <cell r="D429">
            <v>1898.3919047619045</v>
          </cell>
          <cell r="E429">
            <v>1968.3299999999997</v>
          </cell>
          <cell r="F429">
            <v>11829.729501476189</v>
          </cell>
          <cell r="G429">
            <v>4040.6223809523808</v>
          </cell>
        </row>
        <row r="430">
          <cell r="D430">
            <v>1847.224285714286</v>
          </cell>
          <cell r="E430">
            <v>1902.3242857142857</v>
          </cell>
          <cell r="F430">
            <v>11418.919084809522</v>
          </cell>
          <cell r="G430">
            <v>3898.9466666666676</v>
          </cell>
        </row>
        <row r="431">
          <cell r="D431">
            <v>1878.422380952381</v>
          </cell>
          <cell r="E431">
            <v>1939.4185714285711</v>
          </cell>
          <cell r="F431">
            <v>11622.63154305</v>
          </cell>
          <cell r="G431">
            <v>3911.729499999999</v>
          </cell>
        </row>
        <row r="432">
          <cell r="D432">
            <v>2018.4077272727272</v>
          </cell>
          <cell r="E432">
            <v>2070.798181818182</v>
          </cell>
          <cell r="F432">
            <v>12570.260402608694</v>
          </cell>
          <cell r="G432">
            <v>4158.5630434782615</v>
          </cell>
        </row>
        <row r="433">
          <cell r="D433">
            <v>1958.9022222222225</v>
          </cell>
          <cell r="E433">
            <v>2010.3005555555558</v>
          </cell>
          <cell r="F433">
            <v>11402.84998152381</v>
          </cell>
          <cell r="G433">
            <v>3850.5204761904752</v>
          </cell>
        </row>
        <row r="434">
          <cell r="D434">
            <v>1890.890625</v>
          </cell>
          <cell r="E434">
            <v>1919.911875</v>
          </cell>
          <cell r="F434">
            <v>10801.494244761903</v>
          </cell>
          <cell r="G434">
            <v>3726.0509523809519</v>
          </cell>
        </row>
        <row r="435">
          <cell r="D435">
            <v>1907.9471428571426</v>
          </cell>
          <cell r="E435">
            <v>1928.6657142857143</v>
          </cell>
          <cell r="F435">
            <v>10973.637632095239</v>
          </cell>
          <cell r="G435">
            <v>3917.4885830543153</v>
          </cell>
        </row>
        <row r="436">
          <cell r="D436">
            <v>1819.0933333333332</v>
          </cell>
          <cell r="E436">
            <v>1842.074761904762</v>
          </cell>
          <cell r="F436">
            <v>10838.995814666667</v>
          </cell>
          <cell r="G436">
            <v>3912.3809523809523</v>
          </cell>
        </row>
        <row r="437">
          <cell r="D437">
            <v>1811.4321739130435</v>
          </cell>
          <cell r="E437">
            <v>1837.1430434782606</v>
          </cell>
          <cell r="F437">
            <v>11013.990966849999</v>
          </cell>
          <cell r="G437">
            <v>3960.6565117187502</v>
          </cell>
        </row>
        <row r="438">
          <cell r="D438">
            <v>1782.8869999999999</v>
          </cell>
          <cell r="E438">
            <v>1805.7644999999998</v>
          </cell>
          <cell r="F438">
            <v>11785.074321631579</v>
          </cell>
          <cell r="G438">
            <v>4079.6847368421049</v>
          </cell>
        </row>
        <row r="439">
          <cell r="D439">
            <v>1750.3161904761901</v>
          </cell>
          <cell r="E439">
            <v>1740.4604761904761</v>
          </cell>
          <cell r="F439">
            <v>11624.641462095236</v>
          </cell>
          <cell r="G439">
            <v>3967.7342857142858</v>
          </cell>
        </row>
        <row r="440">
          <cell r="D440">
            <v>1739.6146666666671</v>
          </cell>
          <cell r="E440">
            <v>1729.6546666666668</v>
          </cell>
          <cell r="F440">
            <v>12073.464740947369</v>
          </cell>
          <cell r="G440">
            <v>4121.4673684210529</v>
          </cell>
        </row>
        <row r="441">
          <cell r="D441">
            <v>1788.4286363636363</v>
          </cell>
          <cell r="E441">
            <v>1788.740454545454</v>
          </cell>
          <cell r="F441">
            <v>12446.530447454543</v>
          </cell>
          <cell r="G441">
            <v>4146.2463636363645</v>
          </cell>
        </row>
        <row r="442">
          <cell r="D442">
            <v>1780.2661904761906</v>
          </cell>
          <cell r="E442">
            <v>1796.3333333333333</v>
          </cell>
          <cell r="F442">
            <v>13463.778095238096</v>
          </cell>
          <cell r="G442">
            <v>4345.3728311428586</v>
          </cell>
        </row>
        <row r="443">
          <cell r="D443">
            <v>1814.7219047619046</v>
          </cell>
          <cell r="E443">
            <v>1838.8052380952383</v>
          </cell>
          <cell r="F443">
            <v>14033.090999999997</v>
          </cell>
          <cell r="G443">
            <v>4508.0754882500005</v>
          </cell>
        </row>
        <row r="444">
          <cell r="D444">
            <v>1853.7956521739131</v>
          </cell>
          <cell r="E444">
            <v>1875.5473913043479</v>
          </cell>
          <cell r="F444">
            <v>13743.213018043476</v>
          </cell>
          <cell r="G444">
            <v>4457.3586744782606</v>
          </cell>
        </row>
        <row r="445">
          <cell r="D445">
            <v>1842.1235294117646</v>
          </cell>
          <cell r="E445">
            <v>1866.1317647058822</v>
          </cell>
          <cell r="F445">
            <v>13585.839550799999</v>
          </cell>
          <cell r="G445">
            <v>4409.0949950500008</v>
          </cell>
        </row>
        <row r="446">
          <cell r="D446">
            <v>1709.7221739130432</v>
          </cell>
          <cell r="E446">
            <v>1726.4269565217392</v>
          </cell>
          <cell r="F446">
            <v>13199.427690136365</v>
          </cell>
          <cell r="G446">
            <v>4269.400945409091</v>
          </cell>
        </row>
        <row r="447">
          <cell r="D447">
            <v>1733.0859090909087</v>
          </cell>
          <cell r="E447">
            <v>1751.1113636363634</v>
          </cell>
          <cell r="F447">
            <v>13913.160574809523</v>
          </cell>
          <cell r="G447">
            <v>4460.0633138095236</v>
          </cell>
        </row>
        <row r="448">
          <cell r="D448">
            <v>1824.9976190476189</v>
          </cell>
          <cell r="E448">
            <v>1849.0957142857139</v>
          </cell>
          <cell r="F448">
            <v>14690.473974600001</v>
          </cell>
          <cell r="G448">
            <v>4685.0514893</v>
          </cell>
        </row>
        <row r="449">
          <cell r="D449">
            <v>1851.1426086956521</v>
          </cell>
          <cell r="E449">
            <v>1878.2086956521741</v>
          </cell>
          <cell r="F449">
            <v>15081.388160523806</v>
          </cell>
          <cell r="G449">
            <v>4804.4915131904754</v>
          </cell>
        </row>
        <row r="450">
          <cell r="D450">
            <v>1872.3884999999996</v>
          </cell>
          <cell r="E450">
            <v>1905.7740000000001</v>
          </cell>
          <cell r="F450">
            <v>15808.935009750003</v>
          </cell>
          <cell r="G450">
            <v>5011.9614258000001</v>
          </cell>
        </row>
        <row r="451">
          <cell r="D451">
            <v>1950.5660000000003</v>
          </cell>
          <cell r="E451">
            <v>1986.9255000000005</v>
          </cell>
          <cell r="F451">
            <v>16216.295507800003</v>
          </cell>
          <cell r="G451">
            <v>5170.5724853000002</v>
          </cell>
        </row>
        <row r="452">
          <cell r="D452">
            <v>1947.2577777777778</v>
          </cell>
          <cell r="E452">
            <v>1972.915</v>
          </cell>
          <cell r="F452">
            <v>15950.863547590909</v>
          </cell>
          <cell r="G452">
            <v>5112.4927424090911</v>
          </cell>
        </row>
        <row r="453">
          <cell r="D453">
            <v>1977.2474999999999</v>
          </cell>
          <cell r="E453">
            <v>1985.7009999999998</v>
          </cell>
          <cell r="F453">
            <v>16536.317160954542</v>
          </cell>
          <cell r="G453">
            <v>5235.2254971818184</v>
          </cell>
        </row>
        <row r="454">
          <cell r="D454">
            <v>1984.2494736842109</v>
          </cell>
          <cell r="E454">
            <v>1959.9768421052631</v>
          </cell>
          <cell r="F454">
            <v>17495.891578947369</v>
          </cell>
          <cell r="G454">
            <v>5415.1405211578931</v>
          </cell>
        </row>
        <row r="455">
          <cell r="D455">
            <v>2037.4886956521741</v>
          </cell>
          <cell r="E455">
            <v>2025.5095652173907</v>
          </cell>
          <cell r="F455">
            <v>17963.291363636359</v>
          </cell>
          <cell r="G455">
            <v>5538.0045454545461</v>
          </cell>
        </row>
        <row r="456">
          <cell r="D456">
            <v>2027.6449999999998</v>
          </cell>
          <cell r="E456">
            <v>2014.2720000000002</v>
          </cell>
          <cell r="F456">
            <v>17268.269090909089</v>
          </cell>
          <cell r="G456">
            <v>5478.2145454545462</v>
          </cell>
        </row>
        <row r="457">
          <cell r="D457">
            <v>2050.0899999999997</v>
          </cell>
          <cell r="E457">
            <v>2046.0299999999995</v>
          </cell>
          <cell r="F457">
            <v>17599.230000000003</v>
          </cell>
          <cell r="G457">
            <v>5621.2604999999985</v>
          </cell>
        </row>
        <row r="458">
          <cell r="D458">
            <v>2142.7152941176469</v>
          </cell>
          <cell r="E458">
            <v>2140.3829411764709</v>
          </cell>
          <cell r="F458">
            <v>18316.116086956521</v>
          </cell>
          <cell r="G458">
            <v>5792.3195652173899</v>
          </cell>
        </row>
        <row r="459">
          <cell r="D459">
            <v>2260.7739999999999</v>
          </cell>
          <cell r="E459">
            <v>2275.622499999999</v>
          </cell>
          <cell r="F459">
            <v>18961.398999999998</v>
          </cell>
          <cell r="G459">
            <v>5929.9160000000002</v>
          </cell>
        </row>
        <row r="460">
          <cell r="D460">
            <v>2354.1782608695653</v>
          </cell>
          <cell r="E460">
            <v>2392.9986956521739</v>
          </cell>
          <cell r="F460">
            <v>19734.563809523806</v>
          </cell>
          <cell r="G460">
            <v>6010.9085714285711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monthly"/>
      <sheetName val="monthly_change"/>
      <sheetName val="quarterly"/>
      <sheetName val="quarterly_change"/>
      <sheetName val="yearly"/>
      <sheetName val="yearly_change"/>
      <sheetName val="reer"/>
      <sheetName val="reer temp"/>
    </sheetNames>
    <sheetDataSet>
      <sheetData sheetId="0"/>
      <sheetData sheetId="1">
        <row r="101">
          <cell r="D101">
            <v>3.011714285714286</v>
          </cell>
        </row>
        <row r="102">
          <cell r="D102">
            <v>3.0095499999999999</v>
          </cell>
        </row>
        <row r="103">
          <cell r="D103">
            <v>2.976142857142857</v>
          </cell>
        </row>
        <row r="104">
          <cell r="D104">
            <v>2.9589411764705882</v>
          </cell>
        </row>
        <row r="105">
          <cell r="D105">
            <v>3.0042380952380956</v>
          </cell>
        </row>
        <row r="106">
          <cell r="D106">
            <v>2.9810000000000003</v>
          </cell>
        </row>
        <row r="107">
          <cell r="D107">
            <v>2.9552857142857136</v>
          </cell>
        </row>
        <row r="108">
          <cell r="D108">
            <v>3.0307826086956529</v>
          </cell>
        </row>
        <row r="109">
          <cell r="D109">
            <v>3.0355789473684203</v>
          </cell>
        </row>
        <row r="110">
          <cell r="D110">
            <v>3.0102777777777781</v>
          </cell>
        </row>
        <row r="111">
          <cell r="D111">
            <v>3.0419999999999998</v>
          </cell>
        </row>
        <row r="112">
          <cell r="D112">
            <v>3.1197368421052629</v>
          </cell>
        </row>
        <row r="113">
          <cell r="D113">
            <v>3.1295454545454544</v>
          </cell>
        </row>
        <row r="114">
          <cell r="D114">
            <v>3.1131428571428574</v>
          </cell>
        </row>
        <row r="115">
          <cell r="D115">
            <v>3.0991052631578939</v>
          </cell>
        </row>
        <row r="116">
          <cell r="D116">
            <v>3.1648750000000003</v>
          </cell>
        </row>
        <row r="117">
          <cell r="D117">
            <v>3.2527500000000003</v>
          </cell>
        </row>
        <row r="118">
          <cell r="D118">
            <v>3.2555000000000001</v>
          </cell>
        </row>
        <row r="119">
          <cell r="D119">
            <v>3.1794761904761906</v>
          </cell>
        </row>
        <row r="120">
          <cell r="D120">
            <v>3.1461363636363631</v>
          </cell>
        </row>
        <row r="121">
          <cell r="D121">
            <v>3.1668947368421052</v>
          </cell>
        </row>
        <row r="122">
          <cell r="D122">
            <v>3.2253478260869564</v>
          </cell>
        </row>
        <row r="123">
          <cell r="D123">
            <v>3.2443809523809519</v>
          </cell>
        </row>
        <row r="124">
          <cell r="D124">
            <v>3.2764736842105262</v>
          </cell>
        </row>
        <row r="125">
          <cell r="D125">
            <v>3.276136363636363</v>
          </cell>
        </row>
        <row r="126">
          <cell r="D126">
            <v>3.3366470588235289</v>
          </cell>
        </row>
        <row r="127">
          <cell r="D127">
            <v>3.3665555555555553</v>
          </cell>
        </row>
        <row r="128">
          <cell r="D128">
            <v>3.3899473684210522</v>
          </cell>
        </row>
        <row r="129">
          <cell r="D129">
            <v>3.3988000000000005</v>
          </cell>
        </row>
        <row r="130">
          <cell r="D130">
            <v>3.4530000000000003</v>
          </cell>
        </row>
        <row r="131">
          <cell r="D131">
            <v>3.5440000000000005</v>
          </cell>
        </row>
        <row r="132">
          <cell r="D132">
            <v>3.5300500000000001</v>
          </cell>
        </row>
        <row r="133">
          <cell r="D133">
            <v>3.5079090909090911</v>
          </cell>
        </row>
        <row r="134">
          <cell r="D134">
            <v>3.5217647058823531</v>
          </cell>
        </row>
        <row r="135">
          <cell r="D135">
            <v>3.53335</v>
          </cell>
        </row>
        <row r="136">
          <cell r="D136">
            <v>3.534388888888889</v>
          </cell>
        </row>
        <row r="137">
          <cell r="D137">
            <v>3.5771904761904758</v>
          </cell>
        </row>
        <row r="138">
          <cell r="D138">
            <v>3.5942999999999992</v>
          </cell>
        </row>
        <row r="139">
          <cell r="D139">
            <v>3.5862499999999997</v>
          </cell>
        </row>
        <row r="140">
          <cell r="D140">
            <v>3.7050555555555551</v>
          </cell>
        </row>
        <row r="141">
          <cell r="D141">
            <v>3.6654736842105264</v>
          </cell>
        </row>
        <row r="142">
          <cell r="D142">
            <v>3.6642272727272727</v>
          </cell>
        </row>
        <row r="143">
          <cell r="D143">
            <v>3.6600434782608708</v>
          </cell>
        </row>
        <row r="144">
          <cell r="D144">
            <v>3.7075714285714283</v>
          </cell>
        </row>
        <row r="145">
          <cell r="D145">
            <v>3.8448888888888888</v>
          </cell>
        </row>
        <row r="146">
          <cell r="D146">
            <v>4.1940000000000008</v>
          </cell>
        </row>
        <row r="147">
          <cell r="D147">
            <v>4.2263333333333337</v>
          </cell>
        </row>
        <row r="148">
          <cell r="D148">
            <v>4.1764090909090905</v>
          </cell>
        </row>
        <row r="149">
          <cell r="D149">
            <v>4.0797999999999996</v>
          </cell>
        </row>
        <row r="150">
          <cell r="D150">
            <v>4.0676499999999995</v>
          </cell>
        </row>
        <row r="151">
          <cell r="D151">
            <v>4.0308499999999992</v>
          </cell>
        </row>
        <row r="152">
          <cell r="D152">
            <v>4.0609999999999991</v>
          </cell>
        </row>
        <row r="153">
          <cell r="D153">
            <v>4.1176111111111107</v>
          </cell>
        </row>
        <row r="154">
          <cell r="D154">
            <v>4.089227272727272</v>
          </cell>
        </row>
        <row r="155">
          <cell r="D155">
            <v>4.0966190476190478</v>
          </cell>
        </row>
        <row r="156">
          <cell r="D156">
            <v>4.202590909090909</v>
          </cell>
        </row>
        <row r="157">
          <cell r="D157">
            <v>4.2467000000000006</v>
          </cell>
        </row>
        <row r="158">
          <cell r="D158">
            <v>4.26404761904762</v>
          </cell>
        </row>
        <row r="159">
          <cell r="D159">
            <v>4.2262272727272725</v>
          </cell>
        </row>
        <row r="160">
          <cell r="D160">
            <v>4.1928181818181818</v>
          </cell>
        </row>
        <row r="161">
          <cell r="D161">
            <v>4.1048571428571421</v>
          </cell>
        </row>
        <row r="162">
          <cell r="D162">
            <v>4.0535714285714288</v>
          </cell>
        </row>
        <row r="163">
          <cell r="D163">
            <v>4.004142857142857</v>
          </cell>
        </row>
        <row r="164">
          <cell r="D164">
            <v>4.0402666666666667</v>
          </cell>
        </row>
        <row r="165">
          <cell r="D165">
            <v>4.1455500000000018</v>
          </cell>
        </row>
        <row r="166">
          <cell r="D166">
            <v>4.1069047619047616</v>
          </cell>
        </row>
        <row r="167">
          <cell r="D167">
            <v>4.0894761904761889</v>
          </cell>
        </row>
        <row r="168">
          <cell r="D168">
            <v>4.0480000000000009</v>
          </cell>
        </row>
        <row r="169">
          <cell r="D169">
            <v>4.0385499999999999</v>
          </cell>
        </row>
        <row r="170">
          <cell r="D170">
            <v>4.1052380952380956</v>
          </cell>
        </row>
        <row r="171">
          <cell r="D171">
            <v>4.1096818181818184</v>
          </cell>
        </row>
        <row r="172">
          <cell r="D172">
            <v>4.0811578947368412</v>
          </cell>
        </row>
        <row r="173">
          <cell r="D173">
            <v>4.1193181818181817</v>
          </cell>
        </row>
        <row r="174">
          <cell r="D174">
            <v>4.1215263157894739</v>
          </cell>
        </row>
        <row r="175">
          <cell r="D175">
            <v>4.1646190476190474</v>
          </cell>
        </row>
        <row r="176">
          <cell r="D176">
            <v>4.1759999999999993</v>
          </cell>
        </row>
        <row r="177">
          <cell r="D177">
            <v>4.1400454545454544</v>
          </cell>
        </row>
        <row r="178">
          <cell r="D178">
            <v>4.1625714285714279</v>
          </cell>
        </row>
        <row r="179">
          <cell r="D179">
            <v>4.1982727272727285</v>
          </cell>
        </row>
        <row r="180">
          <cell r="D180">
            <v>4.2333478260869573</v>
          </cell>
        </row>
        <row r="181">
          <cell r="D181">
            <v>4.3224666666666671</v>
          </cell>
        </row>
        <row r="182">
          <cell r="D182">
            <v>4.3147619047619061</v>
          </cell>
        </row>
        <row r="183">
          <cell r="D183">
            <v>4.2388636363636358</v>
          </cell>
        </row>
        <row r="184">
          <cell r="D184">
            <v>4.2756499999999997</v>
          </cell>
        </row>
        <row r="185">
          <cell r="D185">
            <v>4.5370909090909084</v>
          </cell>
        </row>
        <row r="186">
          <cell r="D186">
            <v>4.6619999999999999</v>
          </cell>
        </row>
        <row r="187">
          <cell r="D187">
            <v>4.6643888888888902</v>
          </cell>
        </row>
        <row r="188">
          <cell r="D188">
            <v>4.8062105263157893</v>
          </cell>
        </row>
        <row r="189">
          <cell r="D189">
            <v>4.8940454545454548</v>
          </cell>
        </row>
        <row r="190">
          <cell r="D190">
            <v>4.939350000000001</v>
          </cell>
        </row>
        <row r="191">
          <cell r="D191">
            <v>4.7209545454545463</v>
          </cell>
        </row>
        <row r="192">
          <cell r="D192">
            <v>4.6761818181818171</v>
          </cell>
        </row>
        <row r="193">
          <cell r="D193">
            <v>4.7749999999999995</v>
          </cell>
        </row>
        <row r="194">
          <cell r="D194">
            <v>4.7983043478260869</v>
          </cell>
        </row>
        <row r="195">
          <cell r="D195">
            <v>4.6866666666666665</v>
          </cell>
        </row>
        <row r="196">
          <cell r="D196">
            <v>4.6937142857142859</v>
          </cell>
        </row>
        <row r="197">
          <cell r="D197">
            <v>4.8362857142857152</v>
          </cell>
        </row>
        <row r="198">
          <cell r="D198">
            <v>4.8658999999999999</v>
          </cell>
        </row>
        <row r="199">
          <cell r="D199">
            <v>4.7809473684210522</v>
          </cell>
        </row>
        <row r="200">
          <cell r="D200">
            <v>4.6185</v>
          </cell>
        </row>
        <row r="201">
          <cell r="D201">
            <v>4.4778823529411769</v>
          </cell>
        </row>
        <row r="202">
          <cell r="D202">
            <v>4.3779999999999992</v>
          </cell>
        </row>
        <row r="203">
          <cell r="D203">
            <v>4.3709565217391306</v>
          </cell>
        </row>
        <row r="204">
          <cell r="D204">
            <v>4.4521999999999995</v>
          </cell>
        </row>
        <row r="205">
          <cell r="D205">
            <v>4.4648571428571424</v>
          </cell>
        </row>
        <row r="206">
          <cell r="D206">
            <v>4.4480000000000013</v>
          </cell>
        </row>
        <row r="207">
          <cell r="D207">
            <v>4.4936499999999997</v>
          </cell>
        </row>
        <row r="208">
          <cell r="D208">
            <v>4.3928095238095235</v>
          </cell>
        </row>
        <row r="209">
          <cell r="D209">
            <v>4.4235238095238101</v>
          </cell>
        </row>
        <row r="210">
          <cell r="D210">
            <v>4.4637499999999992</v>
          </cell>
        </row>
        <row r="211">
          <cell r="D211">
            <v>4.5031363636363642</v>
          </cell>
        </row>
        <row r="212">
          <cell r="D212">
            <v>4.5522941176470582</v>
          </cell>
        </row>
        <row r="213">
          <cell r="D213">
            <v>4.5954999999999995</v>
          </cell>
        </row>
        <row r="214">
          <cell r="D214">
            <v>4.5166363636363638</v>
          </cell>
        </row>
        <row r="215">
          <cell r="D215">
            <v>4.4912380952380957</v>
          </cell>
        </row>
        <row r="216">
          <cell r="D216">
            <v>4.5340909090909101</v>
          </cell>
        </row>
        <row r="217">
          <cell r="D217">
            <v>4.4974666666666661</v>
          </cell>
        </row>
        <row r="218">
          <cell r="D218">
            <v>4.4596</v>
          </cell>
        </row>
        <row r="219">
          <cell r="D219">
            <v>4.4052272727272728</v>
          </cell>
        </row>
        <row r="220">
          <cell r="D220">
            <v>4.3418260869565213</v>
          </cell>
        </row>
        <row r="221">
          <cell r="D221">
            <v>4.3786666666666667</v>
          </cell>
        </row>
        <row r="222">
          <cell r="D222">
            <v>4.3702500000000004</v>
          </cell>
        </row>
        <row r="223">
          <cell r="D223">
            <v>4.3290000000000006</v>
          </cell>
        </row>
        <row r="224">
          <cell r="D224">
            <v>4.3714499999999994</v>
          </cell>
        </row>
        <row r="225">
          <cell r="D225">
            <v>4.3736499999999996</v>
          </cell>
        </row>
        <row r="226">
          <cell r="D226">
            <v>4.4849047619047608</v>
          </cell>
        </row>
        <row r="227">
          <cell r="D227">
            <v>4.5604761904761899</v>
          </cell>
        </row>
        <row r="228">
          <cell r="D228">
            <v>4.5092608695652165</v>
          </cell>
        </row>
        <row r="229">
          <cell r="D229">
            <v>4.5383636363636359</v>
          </cell>
        </row>
        <row r="230">
          <cell r="D230">
            <v>4.6255000000000006</v>
          </cell>
        </row>
        <row r="231">
          <cell r="D231">
            <v>4.6997727272727268</v>
          </cell>
        </row>
        <row r="232">
          <cell r="D232">
            <v>4.6117142857142843</v>
          </cell>
        </row>
        <row r="233">
          <cell r="D233">
            <v>4.6188095238095244</v>
          </cell>
        </row>
        <row r="234">
          <cell r="D234">
            <v>4.7031499999999991</v>
          </cell>
        </row>
        <row r="235">
          <cell r="D235">
            <v>4.6891000000000007</v>
          </cell>
        </row>
        <row r="236">
          <cell r="D236">
            <v>4.5797333333333343</v>
          </cell>
        </row>
        <row r="237">
          <cell r="D237">
            <v>4.4740000000000002</v>
          </cell>
        </row>
        <row r="238">
          <cell r="D238">
            <v>4.4723333333333333</v>
          </cell>
        </row>
        <row r="239">
          <cell r="D239">
            <v>4.4328095238095226</v>
          </cell>
        </row>
        <row r="240">
          <cell r="D240">
            <v>4.3793181818181823</v>
          </cell>
        </row>
        <row r="241">
          <cell r="D241">
            <v>4.3527499999999986</v>
          </cell>
        </row>
        <row r="242">
          <cell r="D242">
            <v>4.272904761904762</v>
          </cell>
        </row>
        <row r="243">
          <cell r="D243">
            <v>4.3009047619047625</v>
          </cell>
        </row>
        <row r="244">
          <cell r="D244">
            <v>4.2015999999999982</v>
          </cell>
        </row>
        <row r="245">
          <cell r="D245">
            <v>4.2282727272727278</v>
          </cell>
        </row>
        <row r="246">
          <cell r="D246">
            <v>4.218</v>
          </cell>
        </row>
        <row r="247">
          <cell r="D247">
            <v>4.2000952380952388</v>
          </cell>
        </row>
        <row r="248">
          <cell r="D248">
            <v>4.0691875</v>
          </cell>
        </row>
        <row r="249">
          <cell r="D249">
            <v>4.0009523809523806</v>
          </cell>
        </row>
        <row r="250">
          <cell r="D250">
            <v>4.1826666666666661</v>
          </cell>
        </row>
        <row r="251">
          <cell r="D251">
            <v>4.2543333333333333</v>
          </cell>
        </row>
        <row r="252">
          <cell r="D252">
            <v>4.2244347826086956</v>
          </cell>
        </row>
        <row r="253">
          <cell r="D253">
            <v>4.0872000000000002</v>
          </cell>
        </row>
        <row r="254">
          <cell r="D254">
            <v>4.0138636363636362</v>
          </cell>
        </row>
        <row r="255">
          <cell r="D255">
            <v>3.9133636363636368</v>
          </cell>
        </row>
        <row r="256">
          <cell r="D256">
            <v>3.9042000000000003</v>
          </cell>
        </row>
        <row r="257">
          <cell r="D257">
            <v>3.7509090909090905</v>
          </cell>
        </row>
        <row r="258">
          <cell r="D258">
            <v>3.6084285714285707</v>
          </cell>
        </row>
        <row r="259">
          <cell r="D259">
            <v>3.51085</v>
          </cell>
        </row>
        <row r="260">
          <cell r="D260">
            <v>3.5196818181818177</v>
          </cell>
        </row>
        <row r="261">
          <cell r="D261">
            <v>3.3788000000000005</v>
          </cell>
        </row>
        <row r="262">
          <cell r="D262">
            <v>3.3622999999999998</v>
          </cell>
        </row>
        <row r="263">
          <cell r="D263">
            <v>3.3711304347826081</v>
          </cell>
        </row>
        <row r="264">
          <cell r="D264">
            <v>3.5587142857142857</v>
          </cell>
        </row>
        <row r="265">
          <cell r="D265">
            <v>3.5456500000000006</v>
          </cell>
        </row>
        <row r="266">
          <cell r="D266">
            <v>3.6871666666666667</v>
          </cell>
        </row>
        <row r="267">
          <cell r="D267">
            <v>3.8903999999999996</v>
          </cell>
        </row>
        <row r="268">
          <cell r="D268">
            <v>3.8699523809523813</v>
          </cell>
        </row>
        <row r="269">
          <cell r="D269">
            <v>3.9133333333333331</v>
          </cell>
        </row>
        <row r="270">
          <cell r="D270">
            <v>4.1030526315789482</v>
          </cell>
        </row>
        <row r="271">
          <cell r="D271">
            <v>4.1589999999999998</v>
          </cell>
        </row>
        <row r="272">
          <cell r="D272">
            <v>4.1959374999999994</v>
          </cell>
        </row>
        <row r="273">
          <cell r="D273">
            <v>4.0916315789473687</v>
          </cell>
        </row>
        <row r="274">
          <cell r="D274">
            <v>3.9436363636363638</v>
          </cell>
        </row>
        <row r="275">
          <cell r="D275">
            <v>3.8923636363636374</v>
          </cell>
        </row>
        <row r="276">
          <cell r="D276">
            <v>3.8320476190476196</v>
          </cell>
        </row>
        <row r="277">
          <cell r="D277">
            <v>3.7658499999999995</v>
          </cell>
        </row>
        <row r="278">
          <cell r="D278">
            <v>3.7261818181818187</v>
          </cell>
        </row>
        <row r="279">
          <cell r="D279">
            <v>3.7789523809523806</v>
          </cell>
        </row>
        <row r="280">
          <cell r="D280">
            <v>3.7896363636363644</v>
          </cell>
        </row>
        <row r="281">
          <cell r="D281">
            <v>3.7125499999999994</v>
          </cell>
        </row>
        <row r="282">
          <cell r="D282">
            <v>3.7465500000000005</v>
          </cell>
        </row>
        <row r="283">
          <cell r="D283">
            <v>3.7438999999999991</v>
          </cell>
        </row>
        <row r="284">
          <cell r="D284">
            <v>3.7125789473684203</v>
          </cell>
        </row>
        <row r="285">
          <cell r="D285">
            <v>3.7854736842105265</v>
          </cell>
        </row>
        <row r="286">
          <cell r="D286">
            <v>3.8523181818181835</v>
          </cell>
        </row>
        <row r="287">
          <cell r="D287">
            <v>3.854428571428572</v>
          </cell>
        </row>
        <row r="288">
          <cell r="D288">
            <v>3.7908181818181803</v>
          </cell>
        </row>
        <row r="289">
          <cell r="D289">
            <v>3.737625</v>
          </cell>
        </row>
        <row r="290">
          <cell r="D290">
            <v>3.6112380952380954</v>
          </cell>
        </row>
        <row r="291">
          <cell r="D291">
            <v>3.6442272727272726</v>
          </cell>
        </row>
        <row r="292">
          <cell r="D292">
            <v>3.6039565217391298</v>
          </cell>
        </row>
        <row r="293">
          <cell r="D293">
            <v>3.584285714285715</v>
          </cell>
        </row>
        <row r="294">
          <cell r="D294">
            <v>3.65665</v>
          </cell>
        </row>
        <row r="295">
          <cell r="D295">
            <v>3.562727272727273</v>
          </cell>
        </row>
        <row r="296">
          <cell r="D296">
            <v>3.4337647058823526</v>
          </cell>
        </row>
        <row r="297">
          <cell r="D297">
            <v>3.4680999999999997</v>
          </cell>
        </row>
        <row r="298">
          <cell r="D298">
            <v>3.4223809523809527</v>
          </cell>
        </row>
        <row r="299">
          <cell r="D299">
            <v>3.4201904761904767</v>
          </cell>
        </row>
        <row r="300">
          <cell r="D300">
            <v>3.5432727272727274</v>
          </cell>
        </row>
        <row r="301">
          <cell r="D301">
            <v>3.6805789473684216</v>
          </cell>
        </row>
        <row r="302">
          <cell r="D302">
            <v>3.666055555555555</v>
          </cell>
        </row>
        <row r="303">
          <cell r="D303">
            <v>3.725454545454546</v>
          </cell>
        </row>
        <row r="304">
          <cell r="D304">
            <v>3.7739047619047623</v>
          </cell>
        </row>
        <row r="305">
          <cell r="D305">
            <v>3.8089523809523818</v>
          </cell>
        </row>
        <row r="306">
          <cell r="D306">
            <v>3.7408095238095238</v>
          </cell>
        </row>
        <row r="307">
          <cell r="D307">
            <v>3.7632000000000003</v>
          </cell>
        </row>
        <row r="308">
          <cell r="D308">
            <v>3.7512941176470589</v>
          </cell>
        </row>
        <row r="309">
          <cell r="D309">
            <v>3.8273478260869562</v>
          </cell>
        </row>
        <row r="310">
          <cell r="D310">
            <v>3.8927619047619055</v>
          </cell>
        </row>
        <row r="311">
          <cell r="D311">
            <v>3.9910909090909086</v>
          </cell>
        </row>
        <row r="312">
          <cell r="D312">
            <v>4.0153478260869573</v>
          </cell>
        </row>
        <row r="313">
          <cell r="D313">
            <v>3.9586249999999996</v>
          </cell>
        </row>
        <row r="314">
          <cell r="D314">
            <v>3.851142857142857</v>
          </cell>
        </row>
        <row r="315">
          <cell r="D315">
            <v>3.8934545454545444</v>
          </cell>
        </row>
        <row r="316">
          <cell r="D316">
            <v>3.7770999999999999</v>
          </cell>
        </row>
        <row r="317">
          <cell r="D317">
            <v>3.7394285714285709</v>
          </cell>
        </row>
        <row r="318">
          <cell r="D318">
            <v>3.6926842105263149</v>
          </cell>
        </row>
        <row r="319">
          <cell r="D319">
            <v>3.6922222222222221</v>
          </cell>
        </row>
        <row r="320">
          <cell r="D320">
            <v>3.6199499999999993</v>
          </cell>
        </row>
        <row r="321">
          <cell r="D321">
            <v>3.6286666666666667</v>
          </cell>
        </row>
        <row r="322">
          <cell r="D322">
            <v>3.6299499999999996</v>
          </cell>
        </row>
        <row r="323">
          <cell r="D323">
            <v>3.6067727272727268</v>
          </cell>
        </row>
        <row r="324">
          <cell r="D324">
            <v>3.5785909090909089</v>
          </cell>
        </row>
        <row r="325">
          <cell r="D325">
            <v>3.5616666666666661</v>
          </cell>
        </row>
        <row r="326">
          <cell r="D326">
            <v>3.5374347826086958</v>
          </cell>
        </row>
        <row r="327">
          <cell r="D327">
            <v>3.5365714285714285</v>
          </cell>
        </row>
        <row r="328">
          <cell r="D328">
            <v>3.5050476190476196</v>
          </cell>
        </row>
        <row r="329">
          <cell r="D329">
            <v>3.4933636363636364</v>
          </cell>
        </row>
        <row r="330">
          <cell r="D330">
            <v>3.5185500000000003</v>
          </cell>
        </row>
        <row r="331">
          <cell r="D331">
            <v>3.4798999999999998</v>
          </cell>
        </row>
        <row r="332">
          <cell r="D332">
            <v>3.4757777777777776</v>
          </cell>
        </row>
        <row r="333">
          <cell r="D333">
            <v>3.4653499999999999</v>
          </cell>
        </row>
        <row r="334">
          <cell r="D334">
            <v>3.4535500000000008</v>
          </cell>
        </row>
        <row r="335">
          <cell r="D335">
            <v>3.4215217391304349</v>
          </cell>
        </row>
        <row r="336">
          <cell r="D336">
            <v>3.5</v>
          </cell>
        </row>
        <row r="337">
          <cell r="D337">
            <v>3.6271578947368419</v>
          </cell>
        </row>
        <row r="338">
          <cell r="D338">
            <v>3.7359500000000003</v>
          </cell>
        </row>
        <row r="339">
          <cell r="D339">
            <v>3.8289999999999993</v>
          </cell>
        </row>
        <row r="340">
          <cell r="D340">
            <v>3.9346666666666668</v>
          </cell>
        </row>
        <row r="341">
          <cell r="D341">
            <v>3.9463809523809528</v>
          </cell>
        </row>
        <row r="342">
          <cell r="D342">
            <v>3.8928499999999993</v>
          </cell>
        </row>
        <row r="343">
          <cell r="D343">
            <v>3.9978421052631581</v>
          </cell>
        </row>
        <row r="344">
          <cell r="D344">
            <v>3.9384444444444449</v>
          </cell>
        </row>
        <row r="345">
          <cell r="D345">
            <v>3.8622500000000004</v>
          </cell>
        </row>
        <row r="346">
          <cell r="D346">
            <v>3.8244545454545449</v>
          </cell>
        </row>
        <row r="347">
          <cell r="D347">
            <v>3.7890000000000001</v>
          </cell>
        </row>
        <row r="348">
          <cell r="D348">
            <v>3.8448571428571436</v>
          </cell>
        </row>
        <row r="349">
          <cell r="D349">
            <v>3.9129411764705888</v>
          </cell>
        </row>
        <row r="350">
          <cell r="D350">
            <v>3.8629999999999995</v>
          </cell>
        </row>
        <row r="351">
          <cell r="D351">
            <v>3.8893333333333326</v>
          </cell>
        </row>
        <row r="352">
          <cell r="D352">
            <v>3.8813636363636363</v>
          </cell>
        </row>
        <row r="353">
          <cell r="D353">
            <v>3.9508999999999994</v>
          </cell>
        </row>
        <row r="354">
          <cell r="D354">
            <v>3.9080476190476192</v>
          </cell>
        </row>
        <row r="355">
          <cell r="D355">
            <v>3.8676190476190477</v>
          </cell>
        </row>
        <row r="356">
          <cell r="D356">
            <v>3.7784210526315793</v>
          </cell>
        </row>
        <row r="357">
          <cell r="D357">
            <v>3.8134499999999996</v>
          </cell>
        </row>
        <row r="358">
          <cell r="D358">
            <v>3.8566363636363645</v>
          </cell>
        </row>
        <row r="359">
          <cell r="D359">
            <v>3.8574285714285717</v>
          </cell>
        </row>
        <row r="360">
          <cell r="D360">
            <v>3.795391304347826</v>
          </cell>
        </row>
        <row r="361">
          <cell r="D361">
            <v>3.7657272727272724</v>
          </cell>
        </row>
        <row r="362">
          <cell r="D362">
            <v>3.8217333333333339</v>
          </cell>
        </row>
        <row r="363">
          <cell r="D363">
            <v>3.8428636363636355</v>
          </cell>
        </row>
        <row r="364">
          <cell r="D364">
            <v>3.8283809523809516</v>
          </cell>
        </row>
        <row r="365">
          <cell r="D365">
            <v>3.8181904761904764</v>
          </cell>
        </row>
        <row r="366">
          <cell r="D366">
            <v>3.72905</v>
          </cell>
        </row>
        <row r="367">
          <cell r="D367">
            <v>3.6493181818181815</v>
          </cell>
        </row>
        <row r="368">
          <cell r="D368">
            <v>3.6496875000000002</v>
          </cell>
        </row>
        <row r="369">
          <cell r="D369">
            <v>3.5974210526315789</v>
          </cell>
        </row>
        <row r="370">
          <cell r="D370">
            <v>3.531863636363636</v>
          </cell>
        </row>
        <row r="371">
          <cell r="D371">
            <v>3.5509047619047616</v>
          </cell>
        </row>
        <row r="372">
          <cell r="D372">
            <v>3.601136363636364</v>
          </cell>
        </row>
        <row r="373">
          <cell r="D373">
            <v>3.5373529411764708</v>
          </cell>
        </row>
        <row r="374">
          <cell r="D374">
            <v>3.5124000000000004</v>
          </cell>
        </row>
        <row r="375">
          <cell r="D375">
            <v>3.5172272727272729</v>
          </cell>
        </row>
        <row r="376">
          <cell r="D376">
            <v>3.50345</v>
          </cell>
        </row>
        <row r="377">
          <cell r="D377">
            <v>3.4232272727272726</v>
          </cell>
        </row>
        <row r="378">
          <cell r="D378">
            <v>3.4791000000000012</v>
          </cell>
        </row>
        <row r="379">
          <cell r="D379">
            <v>3.4751538461538467</v>
          </cell>
        </row>
        <row r="380">
          <cell r="D380">
            <v>3.5385555555555555</v>
          </cell>
        </row>
        <row r="381">
          <cell r="D381">
            <v>3.5910454545454544</v>
          </cell>
        </row>
        <row r="382">
          <cell r="D382">
            <v>3.6045238095238092</v>
          </cell>
        </row>
        <row r="383">
          <cell r="D383">
            <v>3.6453181818181828</v>
          </cell>
        </row>
        <row r="384">
          <cell r="D384">
            <v>3.6644999999999994</v>
          </cell>
        </row>
        <row r="385">
          <cell r="D385">
            <v>3.5925333333333334</v>
          </cell>
        </row>
        <row r="386">
          <cell r="D386">
            <v>3.6559523809523813</v>
          </cell>
        </row>
        <row r="387">
          <cell r="D387">
            <v>3.7054545454545451</v>
          </cell>
        </row>
        <row r="388">
          <cell r="D388">
            <v>3.7529000000000003</v>
          </cell>
        </row>
        <row r="389">
          <cell r="D389">
            <v>3.687045454545455</v>
          </cell>
        </row>
        <row r="390">
          <cell r="D390">
            <v>3.6262999999999992</v>
          </cell>
        </row>
        <row r="391">
          <cell r="D391">
            <v>3.618631578947368</v>
          </cell>
        </row>
        <row r="392">
          <cell r="D392">
            <v>3.5946111111111114</v>
          </cell>
        </row>
        <row r="393">
          <cell r="D393">
            <v>3.593238095238096</v>
          </cell>
        </row>
        <row r="394">
          <cell r="D394">
            <v>3.5972999999999997</v>
          </cell>
        </row>
        <row r="395">
          <cell r="D395">
            <v>3.5446521739130437</v>
          </cell>
        </row>
        <row r="396">
          <cell r="D396">
            <v>3.5112272727272726</v>
          </cell>
        </row>
        <row r="397">
          <cell r="D397">
            <v>3.5240526315789471</v>
          </cell>
        </row>
        <row r="398">
          <cell r="D398">
            <v>3.5192222222222225</v>
          </cell>
        </row>
        <row r="399">
          <cell r="D399">
            <v>3.4826190476190479</v>
          </cell>
        </row>
        <row r="400">
          <cell r="D400">
            <v>3.4754285714285711</v>
          </cell>
        </row>
        <row r="401">
          <cell r="D401">
            <v>3.4601818181818178</v>
          </cell>
        </row>
        <row r="402">
          <cell r="D402">
            <v>3.4336500000000001</v>
          </cell>
        </row>
        <row r="403">
          <cell r="D403">
            <v>3.6178947368421057</v>
          </cell>
        </row>
        <row r="404">
          <cell r="D404">
            <v>3.5678125000000001</v>
          </cell>
        </row>
        <row r="405">
          <cell r="D405">
            <v>3.5175000000000005</v>
          </cell>
        </row>
        <row r="406">
          <cell r="D406">
            <v>3.4583181818181812</v>
          </cell>
        </row>
        <row r="407">
          <cell r="D407">
            <v>3.433181818181819</v>
          </cell>
        </row>
        <row r="408">
          <cell r="D408">
            <v>3.4009047619047617</v>
          </cell>
        </row>
        <row r="409">
          <cell r="D409">
            <v>3.4174999999999995</v>
          </cell>
        </row>
        <row r="410">
          <cell r="D410">
            <v>3.3950454545454538</v>
          </cell>
        </row>
        <row r="411">
          <cell r="D411">
            <v>3.3593809523809521</v>
          </cell>
        </row>
        <row r="412">
          <cell r="D412">
            <v>3.2474999999999996</v>
          </cell>
        </row>
        <row r="413">
          <cell r="D413">
            <v>3.2220999999999997</v>
          </cell>
        </row>
        <row r="414">
          <cell r="D414">
            <v>3.2697368421052637</v>
          </cell>
        </row>
        <row r="415">
          <cell r="D415">
            <v>3.3112272727272729</v>
          </cell>
        </row>
        <row r="416">
          <cell r="D416">
            <v>3.2754500000000006</v>
          </cell>
        </row>
        <row r="417">
          <cell r="D417">
            <v>3.2622631578947372</v>
          </cell>
        </row>
        <row r="418">
          <cell r="D418">
            <v>3.2517272727272726</v>
          </cell>
        </row>
        <row r="419">
          <cell r="D419">
            <v>3.2706</v>
          </cell>
        </row>
        <row r="420">
          <cell r="D420">
            <v>3.2237</v>
          </cell>
        </row>
        <row r="421">
          <cell r="D421">
            <v>3.2075</v>
          </cell>
        </row>
        <row r="422">
          <cell r="D422">
            <v>3.2155</v>
          </cell>
        </row>
        <row r="423">
          <cell r="D423">
            <v>3.1204999999999998</v>
          </cell>
        </row>
        <row r="424">
          <cell r="D424">
            <v>3.1320000000000001</v>
          </cell>
        </row>
        <row r="425">
          <cell r="D425">
            <v>3.1343000000000001</v>
          </cell>
        </row>
        <row r="426">
          <cell r="D426">
            <v>3.2139000000000002</v>
          </cell>
        </row>
        <row r="427">
          <cell r="D427">
            <v>3.2433000000000001</v>
          </cell>
        </row>
        <row r="428">
          <cell r="D428">
            <v>3.2422</v>
          </cell>
        </row>
        <row r="429">
          <cell r="D429">
            <v>3.3820000000000001</v>
          </cell>
        </row>
        <row r="430">
          <cell r="D430">
            <v>3.4140000000000001</v>
          </cell>
        </row>
        <row r="431">
          <cell r="D431">
            <v>3.4655238095238108</v>
          </cell>
        </row>
        <row r="432">
          <cell r="D432">
            <v>3.298826086956522</v>
          </cell>
        </row>
        <row r="433">
          <cell r="D433">
            <v>3.4422000000000006</v>
          </cell>
        </row>
        <row r="434">
          <cell r="D434">
            <v>3.5479411764705882</v>
          </cell>
        </row>
        <row r="435">
          <cell r="D435">
            <v>3.4795714285714285</v>
          </cell>
        </row>
        <row r="436">
          <cell r="D436">
            <v>3.451571428571429</v>
          </cell>
        </row>
        <row r="437">
          <cell r="D437">
            <v>3.4452857142857143</v>
          </cell>
        </row>
        <row r="438">
          <cell r="D438">
            <v>3.5431499999999998</v>
          </cell>
        </row>
        <row r="439">
          <cell r="D439">
            <v>3.6199523809523813</v>
          </cell>
        </row>
        <row r="440">
          <cell r="D440">
            <v>3.6383571428571426</v>
          </cell>
        </row>
        <row r="441">
          <cell r="D441">
            <v>3.6600952380952387</v>
          </cell>
        </row>
        <row r="442">
          <cell r="D442">
            <v>3.6446363636363639</v>
          </cell>
        </row>
        <row r="443">
          <cell r="D443">
            <v>3.66225925925926</v>
          </cell>
        </row>
        <row r="444">
          <cell r="D444">
            <v>3.7457586206896547</v>
          </cell>
        </row>
        <row r="445">
          <cell r="D445">
            <v>3.8201578947368429</v>
          </cell>
        </row>
        <row r="446">
          <cell r="D446">
            <v>3.978272727272727</v>
          </cell>
        </row>
        <row r="447">
          <cell r="D447">
            <v>3.8057727272727275</v>
          </cell>
        </row>
        <row r="448">
          <cell r="D448">
            <v>3.6710000000000003</v>
          </cell>
        </row>
        <row r="449">
          <cell r="D449">
            <v>3.7133181818181811</v>
          </cell>
        </row>
        <row r="450">
          <cell r="D450">
            <v>3.6458500000000007</v>
          </cell>
        </row>
        <row r="451">
          <cell r="D451">
            <v>3.627842105263158</v>
          </cell>
        </row>
        <row r="452">
          <cell r="D452">
            <v>3.7433157894736846</v>
          </cell>
        </row>
        <row r="453">
          <cell r="D453">
            <v>3.6600952380952387</v>
          </cell>
        </row>
        <row r="454">
          <cell r="D454">
            <v>3.7247368421052629</v>
          </cell>
        </row>
        <row r="455">
          <cell r="D455">
            <v>3.6814347826086968</v>
          </cell>
        </row>
        <row r="456">
          <cell r="D456">
            <v>3.7317619047619055</v>
          </cell>
        </row>
        <row r="457">
          <cell r="D457">
            <v>3.7328095238095238</v>
          </cell>
        </row>
        <row r="458">
          <cell r="D458">
            <v>3.7515882352941183</v>
          </cell>
        </row>
        <row r="459">
          <cell r="D459">
            <v>3.7188095238095231</v>
          </cell>
        </row>
        <row r="460">
          <cell r="D460">
            <v>3.6176666666666661</v>
          </cell>
        </row>
        <row r="461">
          <cell r="D461">
            <v>3.6152727272727265</v>
          </cell>
        </row>
        <row r="462">
          <cell r="D462">
            <v>3.5678000000000005</v>
          </cell>
        </row>
        <row r="463">
          <cell r="D463">
            <v>3.6551</v>
          </cell>
        </row>
        <row r="464">
          <cell r="D464">
            <v>3.687789473684211</v>
          </cell>
        </row>
        <row r="465">
          <cell r="D465">
            <v>3.5626999999999995</v>
          </cell>
        </row>
        <row r="466">
          <cell r="D466">
            <v>3.4826000000000001</v>
          </cell>
        </row>
        <row r="467">
          <cell r="D467">
            <v>3.3521739130434782</v>
          </cell>
        </row>
        <row r="468">
          <cell r="D468">
            <v>3.3957619047619043</v>
          </cell>
        </row>
        <row r="469">
          <cell r="D469">
            <v>3.3432105263157896</v>
          </cell>
        </row>
        <row r="470">
          <cell r="D470">
            <v>3.2805789473684213</v>
          </cell>
        </row>
        <row r="471">
          <cell r="D471">
            <v>3.2548000000000004</v>
          </cell>
        </row>
        <row r="472">
          <cell r="D472">
            <v>3.2151428571428573</v>
          </cell>
        </row>
        <row r="473">
          <cell r="D473">
            <v>3.145571428571428</v>
          </cell>
        </row>
        <row r="474">
          <cell r="D474">
            <v>3.1026499999999997</v>
          </cell>
        </row>
        <row r="475">
          <cell r="D475">
            <v>3.1155999999999997</v>
          </cell>
        </row>
        <row r="476">
          <cell r="D476">
            <v>3.01525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monthly change"/>
      <sheetName val="quarterly"/>
      <sheetName val="quarterly_change"/>
      <sheetName val="yearly"/>
      <sheetName val="yearly_change"/>
      <sheetName val="monthly annualized"/>
      <sheetName val="yearly as  GDP %"/>
    </sheetNames>
    <sheetDataSet>
      <sheetData sheetId="0">
        <row r="101">
          <cell r="BJ101">
            <v>7655.8462579999996</v>
          </cell>
        </row>
        <row r="102">
          <cell r="BJ102">
            <v>8618.6176469999991</v>
          </cell>
        </row>
        <row r="103">
          <cell r="BJ103">
            <v>9091.1186369999996</v>
          </cell>
        </row>
        <row r="104">
          <cell r="BJ104">
            <v>9656.7218200000007</v>
          </cell>
        </row>
        <row r="105">
          <cell r="BJ105">
            <v>9759.9675160000006</v>
          </cell>
        </row>
        <row r="106">
          <cell r="BJ106">
            <v>8931.5007910000004</v>
          </cell>
        </row>
        <row r="107">
          <cell r="BJ107">
            <v>9076.1771370000006</v>
          </cell>
        </row>
        <row r="108">
          <cell r="BJ108">
            <v>8273.9322580000007</v>
          </cell>
        </row>
        <row r="109">
          <cell r="BJ109">
            <v>8989.8373229999997</v>
          </cell>
        </row>
        <row r="110">
          <cell r="BJ110">
            <v>8529.6767779999991</v>
          </cell>
        </row>
        <row r="111">
          <cell r="BJ111">
            <v>8409.2189309999994</v>
          </cell>
        </row>
        <row r="112">
          <cell r="BJ112">
            <v>8307.3915469999993</v>
          </cell>
        </row>
        <row r="113">
          <cell r="BJ113">
            <v>9177.2916819999991</v>
          </cell>
        </row>
        <row r="114">
          <cell r="BJ114">
            <v>10024.639816000001</v>
          </cell>
        </row>
        <row r="115">
          <cell r="BJ115">
            <v>9836.6582130000006</v>
          </cell>
        </row>
        <row r="116">
          <cell r="BJ116">
            <v>9589.8174569999992</v>
          </cell>
        </row>
        <row r="117">
          <cell r="BJ117">
            <v>9373.0642640000005</v>
          </cell>
        </row>
        <row r="118">
          <cell r="BJ118">
            <v>9007.1595969999998</v>
          </cell>
        </row>
        <row r="119">
          <cell r="BJ119">
            <v>9052.0327159999997</v>
          </cell>
        </row>
        <row r="120">
          <cell r="BJ120">
            <v>9655.0439289999995</v>
          </cell>
        </row>
        <row r="121">
          <cell r="BJ121">
            <v>10367.669818</v>
          </cell>
        </row>
        <row r="122">
          <cell r="BJ122">
            <v>11819.771939</v>
          </cell>
        </row>
        <row r="123">
          <cell r="BJ123">
            <v>11409.307773</v>
          </cell>
        </row>
        <row r="124">
          <cell r="BJ124">
            <v>11574.639929999999</v>
          </cell>
        </row>
        <row r="125">
          <cell r="BJ125">
            <v>12898.555698</v>
          </cell>
        </row>
        <row r="126">
          <cell r="BJ126">
            <v>14069.488278999999</v>
          </cell>
        </row>
        <row r="127">
          <cell r="BJ127">
            <v>15521.296194</v>
          </cell>
        </row>
        <row r="128">
          <cell r="BJ128">
            <v>16178.017757</v>
          </cell>
        </row>
        <row r="129">
          <cell r="BJ129">
            <v>16564.114320000001</v>
          </cell>
        </row>
        <row r="130">
          <cell r="BJ130">
            <v>17993.834029000001</v>
          </cell>
        </row>
        <row r="131">
          <cell r="BJ131">
            <v>18158.184090999999</v>
          </cell>
        </row>
        <row r="132">
          <cell r="BJ132">
            <v>18466.118418999999</v>
          </cell>
        </row>
        <row r="133">
          <cell r="BJ133">
            <v>19205.577993999999</v>
          </cell>
        </row>
        <row r="134">
          <cell r="BJ134">
            <v>19574.543027</v>
          </cell>
        </row>
        <row r="135">
          <cell r="BJ135">
            <v>19405.022261999999</v>
          </cell>
        </row>
        <row r="136">
          <cell r="BJ136">
            <v>20332.481129</v>
          </cell>
        </row>
        <row r="137">
          <cell r="BJ137">
            <v>21923.216092999999</v>
          </cell>
        </row>
        <row r="138">
          <cell r="BJ138">
            <v>21811.626097</v>
          </cell>
        </row>
        <row r="139">
          <cell r="BJ139">
            <v>21603.441757000001</v>
          </cell>
        </row>
        <row r="140">
          <cell r="BJ140">
            <v>21837.742156</v>
          </cell>
        </row>
        <row r="141">
          <cell r="BJ141">
            <v>21537.104186</v>
          </cell>
        </row>
        <row r="142">
          <cell r="BJ142">
            <v>21322.432081999999</v>
          </cell>
        </row>
        <row r="143">
          <cell r="BJ143">
            <v>21405.083972</v>
          </cell>
        </row>
        <row r="144">
          <cell r="BJ144">
            <v>21544.499339000002</v>
          </cell>
        </row>
        <row r="145">
          <cell r="BJ145">
            <v>21714.884493000001</v>
          </cell>
        </row>
        <row r="146">
          <cell r="BJ146">
            <v>21914.409135999998</v>
          </cell>
        </row>
        <row r="147">
          <cell r="BJ147">
            <v>22478.555886999999</v>
          </cell>
        </row>
        <row r="148">
          <cell r="BJ148">
            <v>22674.335236999999</v>
          </cell>
        </row>
        <row r="149">
          <cell r="BJ149">
            <v>22635.549114000001</v>
          </cell>
        </row>
        <row r="150">
          <cell r="BJ150">
            <v>22255.400458</v>
          </cell>
        </row>
        <row r="151">
          <cell r="BJ151">
            <v>22071.887667999999</v>
          </cell>
        </row>
        <row r="152">
          <cell r="BJ152">
            <v>22156.625647000001</v>
          </cell>
        </row>
        <row r="153">
          <cell r="BJ153">
            <v>21639.824172000001</v>
          </cell>
        </row>
        <row r="154">
          <cell r="BJ154">
            <v>22018.611457999999</v>
          </cell>
        </row>
        <row r="155">
          <cell r="BJ155">
            <v>22234.446201999999</v>
          </cell>
        </row>
        <row r="156">
          <cell r="BJ156">
            <v>21878.764522000001</v>
          </cell>
        </row>
        <row r="157">
          <cell r="BJ157">
            <v>21944.787933</v>
          </cell>
        </row>
        <row r="158">
          <cell r="BJ158">
            <v>21781.095153999999</v>
          </cell>
        </row>
        <row r="159">
          <cell r="BJ159">
            <v>21385.765004000001</v>
          </cell>
        </row>
        <row r="160">
          <cell r="BJ160">
            <v>22605.128722000001</v>
          </cell>
        </row>
        <row r="161">
          <cell r="BJ161">
            <v>22090.379047999999</v>
          </cell>
        </row>
        <row r="162">
          <cell r="BJ162">
            <v>22063.017661999998</v>
          </cell>
        </row>
        <row r="163">
          <cell r="BJ163">
            <v>22765.086610999999</v>
          </cell>
        </row>
        <row r="164">
          <cell r="BJ164">
            <v>22301.978962000001</v>
          </cell>
        </row>
        <row r="165">
          <cell r="BJ165">
            <v>22264.061412999999</v>
          </cell>
        </row>
        <row r="166">
          <cell r="BJ166">
            <v>22273.720453999998</v>
          </cell>
        </row>
        <row r="167">
          <cell r="BJ167">
            <v>22155.257879000001</v>
          </cell>
        </row>
        <row r="168">
          <cell r="BJ168">
            <v>22161.884193000002</v>
          </cell>
        </row>
        <row r="169">
          <cell r="BJ169">
            <v>22160.195076</v>
          </cell>
        </row>
        <row r="170">
          <cell r="BJ170">
            <v>21964.282982000001</v>
          </cell>
        </row>
        <row r="171">
          <cell r="BJ171">
            <v>21844.597694</v>
          </cell>
        </row>
        <row r="172">
          <cell r="BJ172">
            <v>23281.471072</v>
          </cell>
        </row>
        <row r="173">
          <cell r="BJ173">
            <v>23845.394418</v>
          </cell>
        </row>
        <row r="174">
          <cell r="BJ174">
            <v>23631.005786000002</v>
          </cell>
        </row>
        <row r="175">
          <cell r="BJ175">
            <v>23953.441406999998</v>
          </cell>
        </row>
        <row r="176">
          <cell r="BJ176">
            <v>23533.646742000001</v>
          </cell>
        </row>
        <row r="177">
          <cell r="BJ177">
            <v>23241.568266999999</v>
          </cell>
        </row>
        <row r="178">
          <cell r="BJ178">
            <v>23207.096511</v>
          </cell>
        </row>
        <row r="179">
          <cell r="BJ179">
            <v>23593.487625000002</v>
          </cell>
        </row>
        <row r="180">
          <cell r="BJ180">
            <v>24034.707731999999</v>
          </cell>
        </row>
        <row r="181">
          <cell r="BJ181">
            <v>24648.139190000002</v>
          </cell>
        </row>
        <row r="182">
          <cell r="BJ182">
            <v>24199.705418000001</v>
          </cell>
        </row>
        <row r="183">
          <cell r="BJ183">
            <v>23316.910753</v>
          </cell>
        </row>
        <row r="184">
          <cell r="BJ184">
            <v>23379.040666000001</v>
          </cell>
        </row>
        <row r="185">
          <cell r="BJ185">
            <v>23085.248479000002</v>
          </cell>
        </row>
        <row r="186">
          <cell r="BJ186">
            <v>24304.752885999998</v>
          </cell>
        </row>
        <row r="187">
          <cell r="BJ187">
            <v>24221.443143</v>
          </cell>
        </row>
        <row r="188">
          <cell r="BJ188">
            <v>24345.494391</v>
          </cell>
        </row>
        <row r="189">
          <cell r="BJ189">
            <v>24431.452979000002</v>
          </cell>
        </row>
        <row r="190">
          <cell r="BJ190">
            <v>25164.185704</v>
          </cell>
        </row>
        <row r="191">
          <cell r="BJ191">
            <v>25132.626305999998</v>
          </cell>
        </row>
        <row r="192">
          <cell r="BJ192">
            <v>24654.931385</v>
          </cell>
        </row>
        <row r="193">
          <cell r="BJ193">
            <v>24622.942300999999</v>
          </cell>
        </row>
        <row r="194">
          <cell r="BJ194">
            <v>24229.400081</v>
          </cell>
        </row>
        <row r="195">
          <cell r="BJ195">
            <v>23658.750152000001</v>
          </cell>
        </row>
        <row r="196">
          <cell r="BJ196">
            <v>24082.621838999999</v>
          </cell>
        </row>
        <row r="197">
          <cell r="BJ197">
            <v>23852.217235</v>
          </cell>
        </row>
        <row r="198">
          <cell r="BJ198">
            <v>23481.689058</v>
          </cell>
        </row>
        <row r="199">
          <cell r="BJ199">
            <v>23937.147679999998</v>
          </cell>
        </row>
        <row r="200">
          <cell r="BJ200">
            <v>23767.018225</v>
          </cell>
        </row>
        <row r="201">
          <cell r="BJ201">
            <v>23840.916722000002</v>
          </cell>
        </row>
        <row r="202">
          <cell r="BJ202">
            <v>24564.680941999999</v>
          </cell>
        </row>
        <row r="203">
          <cell r="BJ203">
            <v>24429.567292</v>
          </cell>
        </row>
        <row r="204">
          <cell r="BJ204">
            <v>23968.199333</v>
          </cell>
        </row>
        <row r="205">
          <cell r="BJ205">
            <v>25287.113337999999</v>
          </cell>
        </row>
        <row r="206">
          <cell r="BJ206">
            <v>24949.926571</v>
          </cell>
        </row>
        <row r="207">
          <cell r="BJ207">
            <v>24975.841667000001</v>
          </cell>
        </row>
        <row r="208">
          <cell r="BJ208">
            <v>26314.302553000001</v>
          </cell>
        </row>
        <row r="209">
          <cell r="BJ209">
            <v>26033.669011000002</v>
          </cell>
        </row>
        <row r="210">
          <cell r="BJ210">
            <v>26285.861858</v>
          </cell>
        </row>
        <row r="211">
          <cell r="BJ211">
            <v>26677.493158000001</v>
          </cell>
        </row>
        <row r="212">
          <cell r="BJ212">
            <v>27162.737869000001</v>
          </cell>
        </row>
        <row r="213">
          <cell r="BJ213">
            <v>26695.564229</v>
          </cell>
        </row>
        <row r="214">
          <cell r="BJ214">
            <v>26202.294794000001</v>
          </cell>
        </row>
        <row r="215">
          <cell r="BJ215">
            <v>26328.980195</v>
          </cell>
        </row>
        <row r="216">
          <cell r="BJ216">
            <v>26134.377090999998</v>
          </cell>
        </row>
        <row r="217">
          <cell r="BJ217">
            <v>26315.378712999998</v>
          </cell>
        </row>
        <row r="218">
          <cell r="BJ218">
            <v>26094.420620000001</v>
          </cell>
        </row>
        <row r="219">
          <cell r="BJ219">
            <v>27338.983810000002</v>
          </cell>
        </row>
        <row r="220">
          <cell r="BJ220">
            <v>27094.577019</v>
          </cell>
        </row>
        <row r="221">
          <cell r="BJ221">
            <v>27179.689273</v>
          </cell>
        </row>
        <row r="222">
          <cell r="BJ222">
            <v>27207.762798</v>
          </cell>
        </row>
        <row r="223">
          <cell r="BJ223">
            <v>27155.905404000001</v>
          </cell>
        </row>
        <row r="224">
          <cell r="BJ224">
            <v>26926.251516</v>
          </cell>
        </row>
        <row r="225">
          <cell r="BJ225">
            <v>26605.166401999999</v>
          </cell>
        </row>
        <row r="226">
          <cell r="BJ226">
            <v>26598.256139000001</v>
          </cell>
        </row>
        <row r="227">
          <cell r="BJ227">
            <v>27199.325699000001</v>
          </cell>
        </row>
        <row r="228">
          <cell r="BJ228">
            <v>27812.722685000001</v>
          </cell>
        </row>
        <row r="229">
          <cell r="BJ229">
            <v>27635.320237</v>
          </cell>
        </row>
        <row r="230">
          <cell r="BJ230">
            <v>28715.968971999999</v>
          </cell>
        </row>
        <row r="231">
          <cell r="BJ231">
            <v>28310.255395</v>
          </cell>
        </row>
        <row r="232">
          <cell r="BJ232">
            <v>28060.538402999999</v>
          </cell>
        </row>
        <row r="233">
          <cell r="BJ233">
            <v>28300.335084999999</v>
          </cell>
        </row>
        <row r="234">
          <cell r="BJ234">
            <v>28207.131875999999</v>
          </cell>
        </row>
        <row r="235">
          <cell r="BJ235">
            <v>28048.257594999999</v>
          </cell>
        </row>
        <row r="236">
          <cell r="BJ236">
            <v>27988.826430000001</v>
          </cell>
        </row>
        <row r="237">
          <cell r="BJ237">
            <v>28229.902505999999</v>
          </cell>
        </row>
        <row r="238">
          <cell r="BJ238">
            <v>27501.895685</v>
          </cell>
        </row>
        <row r="239">
          <cell r="BJ239">
            <v>28137.116585</v>
          </cell>
        </row>
        <row r="240">
          <cell r="BJ240">
            <v>28103.976578999998</v>
          </cell>
        </row>
        <row r="241">
          <cell r="BJ241">
            <v>27777.174682000001</v>
          </cell>
        </row>
        <row r="242">
          <cell r="BJ242">
            <v>27516.514177000001</v>
          </cell>
        </row>
        <row r="243">
          <cell r="BJ243">
            <v>28657.373857999999</v>
          </cell>
        </row>
        <row r="244">
          <cell r="BJ244">
            <v>29178.249371999998</v>
          </cell>
        </row>
        <row r="245">
          <cell r="BJ245">
            <v>28607.450975</v>
          </cell>
        </row>
        <row r="246">
          <cell r="BJ246">
            <v>30924.356356</v>
          </cell>
        </row>
        <row r="247">
          <cell r="BJ247">
            <v>30627.650766999999</v>
          </cell>
        </row>
        <row r="248">
          <cell r="BJ248">
            <v>29972.873189000002</v>
          </cell>
        </row>
        <row r="249">
          <cell r="BJ249">
            <v>28546.204518999999</v>
          </cell>
        </row>
        <row r="250">
          <cell r="BJ250">
            <v>29070.970378999999</v>
          </cell>
        </row>
        <row r="251">
          <cell r="BJ251">
            <v>28416.975071000001</v>
          </cell>
        </row>
        <row r="252">
          <cell r="BJ252">
            <v>28916.860461</v>
          </cell>
        </row>
        <row r="253">
          <cell r="BJ253">
            <v>29221.803658000001</v>
          </cell>
        </row>
        <row r="254">
          <cell r="BJ254">
            <v>28824.890671000001</v>
          </cell>
        </row>
        <row r="255">
          <cell r="BJ255">
            <v>28456.537885999998</v>
          </cell>
        </row>
        <row r="256">
          <cell r="BJ256">
            <v>28555.931585999999</v>
          </cell>
        </row>
        <row r="257">
          <cell r="BJ257">
            <v>28713.324735999999</v>
          </cell>
        </row>
        <row r="258">
          <cell r="BJ258">
            <v>28582.611943</v>
          </cell>
        </row>
        <row r="259">
          <cell r="BJ259">
            <v>29539.300388</v>
          </cell>
        </row>
        <row r="260">
          <cell r="BJ260">
            <v>29478.273068999999</v>
          </cell>
        </row>
        <row r="261">
          <cell r="BJ261">
            <v>29958.334675999999</v>
          </cell>
        </row>
        <row r="262">
          <cell r="BJ262">
            <v>31383.391887999998</v>
          </cell>
        </row>
        <row r="263">
          <cell r="BJ263">
            <v>32623.761200000001</v>
          </cell>
        </row>
        <row r="264">
          <cell r="BJ264">
            <v>33749.937440000002</v>
          </cell>
        </row>
        <row r="265">
          <cell r="BJ265">
            <v>36255.557035999998</v>
          </cell>
        </row>
        <row r="266">
          <cell r="BJ266">
            <v>35265.056164000001</v>
          </cell>
        </row>
        <row r="267">
          <cell r="BJ267">
            <v>37024.097571999999</v>
          </cell>
        </row>
        <row r="268">
          <cell r="BJ268">
            <v>42513.024155999999</v>
          </cell>
        </row>
        <row r="269">
          <cell r="BJ269">
            <v>41926.953925000002</v>
          </cell>
        </row>
        <row r="270">
          <cell r="BJ270">
            <v>40808.027954999998</v>
          </cell>
        </row>
        <row r="271">
          <cell r="BJ271">
            <v>44326.497846999999</v>
          </cell>
        </row>
        <row r="272">
          <cell r="BJ272">
            <v>45247.763272999997</v>
          </cell>
        </row>
        <row r="273">
          <cell r="BJ273">
            <v>47725.839315999998</v>
          </cell>
        </row>
        <row r="274">
          <cell r="BJ274">
            <v>50271.648163999998</v>
          </cell>
        </row>
        <row r="275">
          <cell r="BJ275">
            <v>52380.102602999999</v>
          </cell>
        </row>
        <row r="276">
          <cell r="BJ276">
            <v>57767.02824</v>
          </cell>
        </row>
        <row r="277">
          <cell r="BJ277">
            <v>59962.967535000003</v>
          </cell>
        </row>
        <row r="278">
          <cell r="BJ278">
            <v>61195.659249999997</v>
          </cell>
        </row>
        <row r="279">
          <cell r="BJ279">
            <v>61544.184219000002</v>
          </cell>
        </row>
        <row r="280">
          <cell r="BJ280">
            <v>60612.455128000001</v>
          </cell>
        </row>
        <row r="281">
          <cell r="BJ281">
            <v>61600.787449000003</v>
          </cell>
        </row>
        <row r="282">
          <cell r="BJ282">
            <v>60728.883183999998</v>
          </cell>
        </row>
        <row r="283">
          <cell r="BJ283">
            <v>62475.273461999997</v>
          </cell>
        </row>
        <row r="284">
          <cell r="BJ284">
            <v>64472.892079999998</v>
          </cell>
        </row>
        <row r="285">
          <cell r="BJ285">
            <v>63417.460455</v>
          </cell>
        </row>
        <row r="286">
          <cell r="BJ286">
            <v>63096.314429999999</v>
          </cell>
        </row>
        <row r="287">
          <cell r="BJ287">
            <v>64312.895814000003</v>
          </cell>
        </row>
        <row r="288">
          <cell r="BJ288">
            <v>64107.505082999996</v>
          </cell>
        </row>
        <row r="289">
          <cell r="BJ289">
            <v>66260.048083000001</v>
          </cell>
        </row>
        <row r="290">
          <cell r="BJ290">
            <v>69610.152209000007</v>
          </cell>
        </row>
        <row r="291">
          <cell r="BJ291">
            <v>68277.122568000006</v>
          </cell>
        </row>
        <row r="292">
          <cell r="BJ292">
            <v>70913.257629999993</v>
          </cell>
        </row>
        <row r="293">
          <cell r="BJ293">
            <v>73397.936707999994</v>
          </cell>
        </row>
        <row r="294">
          <cell r="BJ294">
            <v>73793.166087999998</v>
          </cell>
        </row>
        <row r="295">
          <cell r="BJ295">
            <v>74526.358051000003</v>
          </cell>
        </row>
        <row r="296">
          <cell r="BJ296">
            <v>77409.003954999993</v>
          </cell>
        </row>
        <row r="297">
          <cell r="BJ297">
            <v>76801.812539999999</v>
          </cell>
        </row>
        <row r="298">
          <cell r="BJ298">
            <v>77413.716050999996</v>
          </cell>
        </row>
        <row r="299">
          <cell r="BJ299">
            <v>77943.188685000001</v>
          </cell>
        </row>
        <row r="300">
          <cell r="BJ300">
            <v>78077.517917000005</v>
          </cell>
        </row>
        <row r="301">
          <cell r="BJ301">
            <v>76331.199254000006</v>
          </cell>
        </row>
        <row r="302">
          <cell r="BJ302">
            <v>76902.426936000003</v>
          </cell>
        </row>
        <row r="303">
          <cell r="BJ303">
            <v>75154.291414000007</v>
          </cell>
        </row>
        <row r="304">
          <cell r="BJ304">
            <v>74875.186537999994</v>
          </cell>
        </row>
        <row r="305">
          <cell r="BJ305">
            <v>77115.164279999997</v>
          </cell>
        </row>
        <row r="306">
          <cell r="BJ306">
            <v>77100.297111000007</v>
          </cell>
        </row>
        <row r="307">
          <cell r="BJ307">
            <v>76997.17409</v>
          </cell>
        </row>
        <row r="308">
          <cell r="BJ308">
            <v>76630.285585000005</v>
          </cell>
        </row>
        <row r="309">
          <cell r="BJ309">
            <v>74792.186480000004</v>
          </cell>
        </row>
        <row r="310">
          <cell r="BJ310">
            <v>75118.681467999995</v>
          </cell>
        </row>
        <row r="311">
          <cell r="BJ311">
            <v>75385.528527999995</v>
          </cell>
        </row>
        <row r="312">
          <cell r="BJ312">
            <v>75616.262570000006</v>
          </cell>
        </row>
        <row r="313">
          <cell r="BJ313">
            <v>76225.714957999997</v>
          </cell>
        </row>
        <row r="314">
          <cell r="BJ314">
            <v>75896.316260000007</v>
          </cell>
        </row>
        <row r="315">
          <cell r="BJ315">
            <v>75672.105498000004</v>
          </cell>
        </row>
        <row r="316">
          <cell r="BJ316">
            <v>75905.559229999999</v>
          </cell>
        </row>
        <row r="317">
          <cell r="BJ317">
            <v>78413.224090000003</v>
          </cell>
        </row>
        <row r="318">
          <cell r="BJ318">
            <v>77275.282412999994</v>
          </cell>
        </row>
        <row r="319">
          <cell r="BJ319">
            <v>76966.790718999997</v>
          </cell>
        </row>
        <row r="320">
          <cell r="BJ320">
            <v>77146.142105000006</v>
          </cell>
        </row>
        <row r="321">
          <cell r="BJ321">
            <v>77651.094557000004</v>
          </cell>
        </row>
        <row r="322">
          <cell r="BJ322">
            <v>78219.971097999995</v>
          </cell>
        </row>
        <row r="323">
          <cell r="BJ323">
            <v>79071.424192999999</v>
          </cell>
        </row>
        <row r="324">
          <cell r="BJ324">
            <v>78518.577342000004</v>
          </cell>
        </row>
        <row r="325">
          <cell r="BJ325">
            <v>79901.869412999993</v>
          </cell>
        </row>
        <row r="326">
          <cell r="BJ326">
            <v>80570.638569999996</v>
          </cell>
        </row>
        <row r="327">
          <cell r="BJ327">
            <v>80589.436541999996</v>
          </cell>
        </row>
        <row r="328">
          <cell r="BJ328">
            <v>81789.757836000004</v>
          </cell>
        </row>
        <row r="329">
          <cell r="BJ329">
            <v>83164.679132000005</v>
          </cell>
        </row>
        <row r="330">
          <cell r="BJ330">
            <v>83975.258694000004</v>
          </cell>
        </row>
        <row r="331">
          <cell r="BJ331">
            <v>85569.853701</v>
          </cell>
        </row>
        <row r="332">
          <cell r="BJ332">
            <v>86480.065638999993</v>
          </cell>
        </row>
        <row r="333">
          <cell r="BJ333">
            <v>86478.468311000004</v>
          </cell>
        </row>
        <row r="334">
          <cell r="BJ334">
            <v>86812.954641999997</v>
          </cell>
        </row>
        <row r="335">
          <cell r="BJ335">
            <v>87139.236653999993</v>
          </cell>
        </row>
        <row r="336">
          <cell r="BJ336">
            <v>87627.532380999997</v>
          </cell>
        </row>
        <row r="337">
          <cell r="BJ337">
            <v>86187.823210999995</v>
          </cell>
        </row>
        <row r="338">
          <cell r="BJ338">
            <v>86416.100409000006</v>
          </cell>
        </row>
        <row r="339">
          <cell r="BJ339">
            <v>86327.581676999995</v>
          </cell>
        </row>
        <row r="340">
          <cell r="BJ340">
            <v>86101.167862000002</v>
          </cell>
        </row>
        <row r="341">
          <cell r="BJ341">
            <v>84664.956556000005</v>
          </cell>
        </row>
        <row r="342">
          <cell r="BJ342">
            <v>85319.615143999996</v>
          </cell>
        </row>
        <row r="343">
          <cell r="BJ343">
            <v>84983.182545999996</v>
          </cell>
        </row>
        <row r="344">
          <cell r="BJ344">
            <v>85712.656258000003</v>
          </cell>
        </row>
        <row r="345">
          <cell r="BJ345">
            <v>85763.847833000007</v>
          </cell>
        </row>
        <row r="346">
          <cell r="BJ346">
            <v>88178.95018</v>
          </cell>
        </row>
        <row r="347">
          <cell r="BJ347">
            <v>88424.258652999997</v>
          </cell>
        </row>
        <row r="348">
          <cell r="BJ348">
            <v>88998.359263000006</v>
          </cell>
        </row>
        <row r="349">
          <cell r="BJ349">
            <v>89475.833069999993</v>
          </cell>
        </row>
        <row r="350">
          <cell r="BJ350">
            <v>89230.161653999996</v>
          </cell>
        </row>
        <row r="351">
          <cell r="BJ351">
            <v>88822.492438000001</v>
          </cell>
        </row>
        <row r="352">
          <cell r="BJ352">
            <v>90574.783563000005</v>
          </cell>
        </row>
        <row r="353">
          <cell r="BJ353">
            <v>90487.135842000003</v>
          </cell>
        </row>
        <row r="354">
          <cell r="BJ354">
            <v>90618.848733000006</v>
          </cell>
        </row>
        <row r="355">
          <cell r="BJ355">
            <v>94779.577600999997</v>
          </cell>
        </row>
        <row r="356">
          <cell r="BJ356">
            <v>95683.981843999994</v>
          </cell>
        </row>
        <row r="357">
          <cell r="BJ357">
            <v>96463.373846999995</v>
          </cell>
        </row>
        <row r="358">
          <cell r="BJ358">
            <v>96634.682209999999</v>
          </cell>
        </row>
        <row r="359">
          <cell r="BJ359">
            <v>97392.620318999994</v>
          </cell>
        </row>
        <row r="360">
          <cell r="BJ360">
            <v>97625.998164999997</v>
          </cell>
        </row>
        <row r="361">
          <cell r="BJ361">
            <v>98428.618797000003</v>
          </cell>
        </row>
        <row r="362">
          <cell r="BJ362">
            <v>97962.721780000007</v>
          </cell>
        </row>
        <row r="363">
          <cell r="BJ363">
            <v>97126.751369999998</v>
          </cell>
        </row>
        <row r="364">
          <cell r="BJ364">
            <v>98447</v>
          </cell>
        </row>
        <row r="365">
          <cell r="BJ365">
            <v>101613</v>
          </cell>
        </row>
        <row r="366">
          <cell r="BJ366">
            <v>102022</v>
          </cell>
        </row>
        <row r="367">
          <cell r="BJ367">
            <v>103174</v>
          </cell>
        </row>
        <row r="368">
          <cell r="BJ368">
            <v>105142</v>
          </cell>
        </row>
        <row r="369">
          <cell r="BJ369">
            <v>107367</v>
          </cell>
        </row>
        <row r="370">
          <cell r="BJ370">
            <v>108706</v>
          </cell>
        </row>
        <row r="371">
          <cell r="BJ371">
            <v>110110</v>
          </cell>
        </row>
        <row r="372">
          <cell r="BJ372">
            <v>111020</v>
          </cell>
        </row>
        <row r="373">
          <cell r="BJ373">
            <v>111051</v>
          </cell>
        </row>
        <row r="374">
          <cell r="BJ374">
            <v>111309</v>
          </cell>
        </row>
        <row r="375">
          <cell r="BJ375">
            <v>112079</v>
          </cell>
        </row>
        <row r="376">
          <cell r="BJ376">
            <v>113011</v>
          </cell>
        </row>
        <row r="377">
          <cell r="BJ377">
            <v>117622</v>
          </cell>
        </row>
        <row r="378">
          <cell r="BJ378">
            <v>116293</v>
          </cell>
        </row>
        <row r="379">
          <cell r="BJ379">
            <v>116127</v>
          </cell>
        </row>
        <row r="380">
          <cell r="BJ380">
            <v>115354</v>
          </cell>
        </row>
        <row r="381">
          <cell r="BJ381">
            <v>114700</v>
          </cell>
        </row>
        <row r="382">
          <cell r="BJ382">
            <v>114832</v>
          </cell>
        </row>
        <row r="383">
          <cell r="BJ383">
            <v>115782</v>
          </cell>
        </row>
        <row r="384">
          <cell r="BJ384">
            <v>116005</v>
          </cell>
        </row>
        <row r="385">
          <cell r="BJ385">
            <v>115458</v>
          </cell>
        </row>
        <row r="386">
          <cell r="BJ386">
            <v>113911</v>
          </cell>
        </row>
        <row r="387">
          <cell r="BJ387">
            <v>115056</v>
          </cell>
        </row>
        <row r="388">
          <cell r="BJ388">
            <v>115279</v>
          </cell>
        </row>
        <row r="389">
          <cell r="BJ389">
            <v>118153</v>
          </cell>
        </row>
        <row r="390">
          <cell r="BJ390">
            <v>117939</v>
          </cell>
        </row>
        <row r="391">
          <cell r="BJ391">
            <v>118219</v>
          </cell>
        </row>
        <row r="392">
          <cell r="BJ392">
            <v>118743</v>
          </cell>
        </row>
        <row r="393">
          <cell r="BJ393">
            <v>118124</v>
          </cell>
        </row>
        <row r="394">
          <cell r="BJ394">
            <v>120108</v>
          </cell>
        </row>
        <row r="395">
          <cell r="BJ395">
            <v>119994</v>
          </cell>
        </row>
        <row r="396">
          <cell r="BJ396">
            <v>119812</v>
          </cell>
        </row>
        <row r="397">
          <cell r="BJ397">
            <v>119469</v>
          </cell>
        </row>
        <row r="398">
          <cell r="BJ398">
            <v>121361</v>
          </cell>
        </row>
        <row r="399">
          <cell r="BJ399">
            <v>122383</v>
          </cell>
        </row>
        <row r="400">
          <cell r="BJ400">
            <v>126014</v>
          </cell>
        </row>
        <row r="401">
          <cell r="BJ401">
            <v>129978</v>
          </cell>
        </row>
        <row r="402">
          <cell r="BJ402">
            <v>131176</v>
          </cell>
        </row>
        <row r="403">
          <cell r="BJ403">
            <v>125941</v>
          </cell>
        </row>
        <row r="404">
          <cell r="BJ404">
            <v>133547</v>
          </cell>
        </row>
        <row r="405">
          <cell r="BJ405">
            <v>142513</v>
          </cell>
        </row>
        <row r="406">
          <cell r="BJ406">
            <v>147337</v>
          </cell>
        </row>
        <row r="407">
          <cell r="BJ407">
            <v>157663</v>
          </cell>
        </row>
        <row r="408">
          <cell r="BJ408">
            <v>161688</v>
          </cell>
        </row>
        <row r="409">
          <cell r="BJ409">
            <v>160584</v>
          </cell>
        </row>
        <row r="410">
          <cell r="BJ410">
            <v>160748</v>
          </cell>
        </row>
        <row r="411">
          <cell r="BJ411">
            <v>166947</v>
          </cell>
        </row>
        <row r="412">
          <cell r="BJ412">
            <v>173297</v>
          </cell>
        </row>
        <row r="413">
          <cell r="BJ413">
            <v>179501</v>
          </cell>
        </row>
        <row r="414">
          <cell r="BJ414">
            <v>185055</v>
          </cell>
        </row>
        <row r="415">
          <cell r="BJ415">
            <v>185680</v>
          </cell>
        </row>
        <row r="416">
          <cell r="BJ416">
            <v>194000</v>
          </cell>
        </row>
        <row r="417">
          <cell r="BJ417">
            <v>198350</v>
          </cell>
        </row>
        <row r="418">
          <cell r="BJ418">
            <v>200175</v>
          </cell>
        </row>
        <row r="419">
          <cell r="BJ419">
            <v>201695</v>
          </cell>
        </row>
        <row r="420">
          <cell r="BJ420">
            <v>205907</v>
          </cell>
        </row>
        <row r="421">
          <cell r="BJ421">
            <v>203980</v>
          </cell>
        </row>
        <row r="422">
          <cell r="BJ422">
            <v>207473</v>
          </cell>
        </row>
        <row r="423">
          <cell r="BJ423">
            <v>208770</v>
          </cell>
        </row>
        <row r="424">
          <cell r="BJ424">
            <v>212993</v>
          </cell>
        </row>
        <row r="425">
          <cell r="BJ425">
            <v>208737.10440000001</v>
          </cell>
        </row>
        <row r="426">
          <cell r="BJ426">
            <v>207047.57010000001</v>
          </cell>
        </row>
        <row r="427">
          <cell r="BJ427">
            <v>206163.35860000001</v>
          </cell>
        </row>
        <row r="428">
          <cell r="BJ428">
            <v>197630.3927</v>
          </cell>
        </row>
        <row r="429">
          <cell r="BJ429">
            <v>199808.19769999999</v>
          </cell>
        </row>
        <row r="430">
          <cell r="BJ430">
            <v>193809.54860000001</v>
          </cell>
        </row>
        <row r="431">
          <cell r="BJ431">
            <v>197468.91450000001</v>
          </cell>
        </row>
        <row r="432">
          <cell r="BJ432">
            <v>192151.40539999999</v>
          </cell>
        </row>
        <row r="433">
          <cell r="BJ433">
            <v>185994.2727</v>
          </cell>
        </row>
        <row r="434">
          <cell r="BJ434">
            <v>188842.18400000001</v>
          </cell>
        </row>
        <row r="435">
          <cell r="BJ435">
            <v>194417.67550000001</v>
          </cell>
        </row>
        <row r="436">
          <cell r="BJ436">
            <v>194217.92120000001</v>
          </cell>
        </row>
        <row r="437">
          <cell r="BJ437">
            <v>200984.93950000001</v>
          </cell>
        </row>
        <row r="438">
          <cell r="BJ438">
            <v>196279.32670000001</v>
          </cell>
        </row>
        <row r="439">
          <cell r="BJ439">
            <v>200485.77840000001</v>
          </cell>
        </row>
        <row r="440">
          <cell r="BJ440">
            <v>201895.4179</v>
          </cell>
        </row>
        <row r="441">
          <cell r="BJ441">
            <v>199621.09239999999</v>
          </cell>
        </row>
        <row r="442">
          <cell r="BJ442">
            <v>201875.75039999999</v>
          </cell>
        </row>
        <row r="443">
          <cell r="BJ443">
            <v>204664.85639999999</v>
          </cell>
        </row>
        <row r="444">
          <cell r="BJ444">
            <v>202856.43239999999</v>
          </cell>
        </row>
        <row r="445">
          <cell r="BJ445">
            <v>198552.50219999999</v>
          </cell>
        </row>
        <row r="446">
          <cell r="BJ446">
            <v>191235.3732</v>
          </cell>
        </row>
        <row r="447">
          <cell r="BJ447">
            <v>198169.02470000001</v>
          </cell>
        </row>
        <row r="448">
          <cell r="BJ448">
            <v>204693.95259999999</v>
          </cell>
        </row>
        <row r="449">
          <cell r="BJ449">
            <v>206125.26439999999</v>
          </cell>
        </row>
        <row r="450">
          <cell r="BJ450">
            <v>206820.8395</v>
          </cell>
        </row>
        <row r="451">
          <cell r="BJ451">
            <v>213741.005</v>
          </cell>
        </row>
        <row r="452">
          <cell r="BJ452">
            <v>208108.74849999999</v>
          </cell>
        </row>
        <row r="453">
          <cell r="BJ453">
            <v>210509.91190000001</v>
          </cell>
        </row>
        <row r="454">
          <cell r="BJ454">
            <v>210280.50700000001</v>
          </cell>
        </row>
        <row r="455">
          <cell r="BJ455">
            <v>213634.36799999999</v>
          </cell>
        </row>
        <row r="456">
          <cell r="BJ456">
            <v>217384.54</v>
          </cell>
        </row>
        <row r="457">
          <cell r="BJ457">
            <v>220377.37890000001</v>
          </cell>
        </row>
        <row r="458">
          <cell r="BJ458">
            <v>216074.2286</v>
          </cell>
        </row>
        <row r="459">
          <cell r="BJ459">
            <v>217100.46189999999</v>
          </cell>
        </row>
        <row r="460">
          <cell r="BJ460">
            <v>214570.02410000001</v>
          </cell>
        </row>
        <row r="461">
          <cell r="BJ461">
            <v>216068.40040000001</v>
          </cell>
        </row>
        <row r="462">
          <cell r="BJ462">
            <v>220254.30069999999</v>
          </cell>
        </row>
        <row r="463">
          <cell r="BJ463">
            <v>218810.52309217001</v>
          </cell>
        </row>
        <row r="464">
          <cell r="BJ464">
            <v>217489</v>
          </cell>
        </row>
        <row r="465">
          <cell r="BJ465">
            <v>219086</v>
          </cell>
        </row>
        <row r="466">
          <cell r="BJ466">
            <v>223651</v>
          </cell>
        </row>
        <row r="467">
          <cell r="BJ467">
            <v>222157</v>
          </cell>
        </row>
        <row r="468">
          <cell r="BJ468">
            <v>225694</v>
          </cell>
        </row>
        <row r="469">
          <cell r="BJ469">
            <v>227246</v>
          </cell>
        </row>
        <row r="470">
          <cell r="BJ470">
            <v>227295</v>
          </cell>
        </row>
        <row r="471">
          <cell r="BJ471">
            <v>226794</v>
          </cell>
        </row>
        <row r="472">
          <cell r="BJ472">
            <v>224834</v>
          </cell>
        </row>
        <row r="473">
          <cell r="BJ473">
            <v>228360</v>
          </cell>
        </row>
        <row r="474">
          <cell r="BJ474">
            <v>229909</v>
          </cell>
        </row>
        <row r="475">
          <cell r="BJ475">
            <v>224845</v>
          </cell>
        </row>
        <row r="476">
          <cell r="BJ476">
            <v>231130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cast"/>
      <sheetName val="monthly"/>
      <sheetName val="monthly change"/>
      <sheetName val="quarterly"/>
      <sheetName val="quarterly_change"/>
      <sheetName val="yearly"/>
      <sheetName val="yearly_change"/>
      <sheetName val="Quarterly Old"/>
      <sheetName val="Yearly Old"/>
      <sheetName val="monthly annualized"/>
      <sheetName val="quarterly annualized"/>
      <sheetName val="quaterly_change_annual_rate"/>
      <sheetName val="חישובים לגרפים"/>
    </sheetNames>
    <sheetDataSet>
      <sheetData sheetId="0"/>
      <sheetData sheetId="1">
        <row r="188">
          <cell r="CH188">
            <v>100</v>
          </cell>
        </row>
        <row r="189">
          <cell r="CH189">
            <v>97.8</v>
          </cell>
        </row>
        <row r="190">
          <cell r="CH190">
            <v>95.6</v>
          </cell>
        </row>
        <row r="191">
          <cell r="CH191">
            <v>94.6</v>
          </cell>
        </row>
        <row r="192">
          <cell r="CH192">
            <v>89.4</v>
          </cell>
        </row>
        <row r="193">
          <cell r="CH193">
            <v>99.6</v>
          </cell>
        </row>
        <row r="194">
          <cell r="CH194">
            <v>89.8</v>
          </cell>
        </row>
        <row r="195">
          <cell r="CH195">
            <v>91</v>
          </cell>
        </row>
        <row r="196">
          <cell r="CH196">
            <v>93</v>
          </cell>
        </row>
        <row r="197">
          <cell r="CH197">
            <v>95</v>
          </cell>
        </row>
        <row r="198">
          <cell r="CH198">
            <v>97</v>
          </cell>
        </row>
        <row r="199">
          <cell r="CH199">
            <v>102.2</v>
          </cell>
        </row>
        <row r="200">
          <cell r="CH200">
            <v>95.9</v>
          </cell>
        </row>
        <row r="201">
          <cell r="CH201">
            <v>98.1</v>
          </cell>
        </row>
        <row r="202">
          <cell r="CH202">
            <v>109.2</v>
          </cell>
        </row>
        <row r="203">
          <cell r="CH203">
            <v>109.5</v>
          </cell>
        </row>
        <row r="204">
          <cell r="CH204">
            <v>108.3</v>
          </cell>
        </row>
        <row r="205">
          <cell r="CH205">
            <v>103.2</v>
          </cell>
        </row>
        <row r="206">
          <cell r="CH206">
            <v>106.2</v>
          </cell>
        </row>
        <row r="207">
          <cell r="CH207">
            <v>101.8</v>
          </cell>
        </row>
        <row r="208">
          <cell r="CH208">
            <v>102.9</v>
          </cell>
        </row>
        <row r="209">
          <cell r="CH209">
            <v>103.2</v>
          </cell>
        </row>
        <row r="210">
          <cell r="CH210">
            <v>107.2</v>
          </cell>
        </row>
        <row r="211">
          <cell r="CH211">
            <v>109.4</v>
          </cell>
        </row>
        <row r="212">
          <cell r="CH212">
            <v>115.2</v>
          </cell>
        </row>
        <row r="213">
          <cell r="CH213">
            <v>116.1</v>
          </cell>
        </row>
        <row r="214">
          <cell r="CH214">
            <v>115.1</v>
          </cell>
        </row>
        <row r="215">
          <cell r="CH215">
            <v>117.9</v>
          </cell>
        </row>
        <row r="216">
          <cell r="CH216">
            <v>114.3</v>
          </cell>
        </row>
        <row r="217">
          <cell r="CH217">
            <v>116.8</v>
          </cell>
        </row>
        <row r="218">
          <cell r="CH218">
            <v>116.5</v>
          </cell>
        </row>
        <row r="219">
          <cell r="CH219">
            <v>114.6</v>
          </cell>
        </row>
        <row r="220">
          <cell r="CH220">
            <v>116.9</v>
          </cell>
        </row>
        <row r="221">
          <cell r="CH221">
            <v>118.6</v>
          </cell>
        </row>
        <row r="222">
          <cell r="CH222">
            <v>122</v>
          </cell>
        </row>
        <row r="223">
          <cell r="CH223">
            <v>122.2</v>
          </cell>
        </row>
        <row r="224">
          <cell r="CH224">
            <v>121.9</v>
          </cell>
        </row>
        <row r="225">
          <cell r="CH225">
            <v>122.3</v>
          </cell>
        </row>
        <row r="226">
          <cell r="CH226">
            <v>118.6</v>
          </cell>
        </row>
        <row r="227">
          <cell r="CH227">
            <v>120.4</v>
          </cell>
        </row>
        <row r="228">
          <cell r="CH228">
            <v>121.2</v>
          </cell>
        </row>
        <row r="229">
          <cell r="CH229">
            <v>118.4</v>
          </cell>
        </row>
        <row r="230">
          <cell r="CH230">
            <v>123.7</v>
          </cell>
        </row>
        <row r="231">
          <cell r="CH231">
            <v>124.3</v>
          </cell>
        </row>
        <row r="232">
          <cell r="CH232">
            <v>118.2</v>
          </cell>
        </row>
        <row r="233">
          <cell r="CH233">
            <v>121.3</v>
          </cell>
        </row>
        <row r="234">
          <cell r="CH234">
            <v>123.8</v>
          </cell>
        </row>
        <row r="235">
          <cell r="CH235">
            <v>124.5</v>
          </cell>
        </row>
        <row r="236">
          <cell r="CH236">
            <v>127.5</v>
          </cell>
        </row>
        <row r="237">
          <cell r="CH237">
            <v>127.2</v>
          </cell>
        </row>
        <row r="238">
          <cell r="CH238">
            <v>127.9</v>
          </cell>
        </row>
        <row r="239">
          <cell r="CH239">
            <v>129</v>
          </cell>
        </row>
        <row r="240">
          <cell r="CH240">
            <v>130.1</v>
          </cell>
        </row>
        <row r="241">
          <cell r="CH241">
            <v>126</v>
          </cell>
        </row>
        <row r="242">
          <cell r="CH242">
            <v>130.19999999999999</v>
          </cell>
        </row>
        <row r="243">
          <cell r="CH243">
            <v>127.6</v>
          </cell>
        </row>
        <row r="244">
          <cell r="CH244">
            <v>128.30000000000001</v>
          </cell>
        </row>
        <row r="245">
          <cell r="CH245">
            <v>128.19999999999999</v>
          </cell>
        </row>
        <row r="246">
          <cell r="CH246">
            <v>132.69999999999999</v>
          </cell>
        </row>
        <row r="247">
          <cell r="CH247">
            <v>136.4</v>
          </cell>
        </row>
        <row r="248">
          <cell r="CH248">
            <v>131.1</v>
          </cell>
        </row>
        <row r="249">
          <cell r="CH249">
            <v>132.19999999999999</v>
          </cell>
        </row>
        <row r="250">
          <cell r="CH250">
            <v>137.19999999999999</v>
          </cell>
        </row>
        <row r="251">
          <cell r="CH251">
            <v>133.80000000000001</v>
          </cell>
        </row>
        <row r="252">
          <cell r="CH252">
            <v>132.4</v>
          </cell>
        </row>
        <row r="253">
          <cell r="CH253">
            <v>139.19999999999999</v>
          </cell>
        </row>
        <row r="254">
          <cell r="CH254">
            <v>129.69999999999999</v>
          </cell>
        </row>
        <row r="255">
          <cell r="CH255">
            <v>129.5</v>
          </cell>
        </row>
        <row r="256">
          <cell r="CH256">
            <v>127</v>
          </cell>
        </row>
        <row r="257">
          <cell r="CH257">
            <v>132.4</v>
          </cell>
        </row>
        <row r="258">
          <cell r="CH258">
            <v>133.4</v>
          </cell>
        </row>
        <row r="259">
          <cell r="CH259">
            <v>127.7</v>
          </cell>
        </row>
        <row r="260">
          <cell r="CH260">
            <v>123.2</v>
          </cell>
        </row>
        <row r="261">
          <cell r="CH261">
            <v>127.6</v>
          </cell>
        </row>
        <row r="262">
          <cell r="CH262">
            <v>128.19999999999999</v>
          </cell>
        </row>
        <row r="263">
          <cell r="CH263">
            <v>124.3</v>
          </cell>
        </row>
        <row r="264">
          <cell r="CH264">
            <v>127.8</v>
          </cell>
        </row>
        <row r="265">
          <cell r="CH265">
            <v>129.19999999999999</v>
          </cell>
        </row>
        <row r="266">
          <cell r="CH266">
            <v>121.4</v>
          </cell>
        </row>
        <row r="267">
          <cell r="CH267">
            <v>121.8</v>
          </cell>
        </row>
        <row r="268">
          <cell r="CH268">
            <v>113.4</v>
          </cell>
        </row>
        <row r="269">
          <cell r="CH269">
            <v>121.3</v>
          </cell>
        </row>
        <row r="270">
          <cell r="CH270">
            <v>111.3</v>
          </cell>
        </row>
        <row r="271">
          <cell r="CH271">
            <v>107.3</v>
          </cell>
        </row>
        <row r="272">
          <cell r="CH272">
            <v>115.47</v>
          </cell>
        </row>
        <row r="273">
          <cell r="CH273">
            <v>118.13</v>
          </cell>
        </row>
        <row r="274">
          <cell r="CH274">
            <v>121.1</v>
          </cell>
        </row>
        <row r="275">
          <cell r="CH275">
            <v>125.2</v>
          </cell>
        </row>
        <row r="276">
          <cell r="CH276">
            <v>133.61000000000001</v>
          </cell>
        </row>
        <row r="277">
          <cell r="CH277">
            <v>133.78</v>
          </cell>
        </row>
        <row r="278">
          <cell r="CH278">
            <v>133.08000000000001</v>
          </cell>
        </row>
        <row r="279">
          <cell r="CH279">
            <v>132.71</v>
          </cell>
        </row>
        <row r="280">
          <cell r="CH280">
            <v>133.4</v>
          </cell>
        </row>
        <row r="281">
          <cell r="CH281">
            <v>133.80000000000001</v>
          </cell>
        </row>
        <row r="282">
          <cell r="CH282">
            <v>134.9</v>
          </cell>
        </row>
        <row r="283">
          <cell r="CH283">
            <v>135</v>
          </cell>
        </row>
        <row r="284">
          <cell r="CH284">
            <v>138.93</v>
          </cell>
        </row>
        <row r="285">
          <cell r="CH285">
            <v>135</v>
          </cell>
        </row>
        <row r="286">
          <cell r="CH286">
            <v>134.72</v>
          </cell>
        </row>
        <row r="287">
          <cell r="CH287">
            <v>134</v>
          </cell>
        </row>
        <row r="288">
          <cell r="CH288">
            <v>136.1</v>
          </cell>
        </row>
        <row r="289">
          <cell r="CH289">
            <v>137.02000000000001</v>
          </cell>
        </row>
        <row r="290">
          <cell r="CH290">
            <v>136.4</v>
          </cell>
        </row>
        <row r="291">
          <cell r="CH291">
            <v>130.6</v>
          </cell>
        </row>
        <row r="292">
          <cell r="CH292">
            <v>135</v>
          </cell>
        </row>
        <row r="293">
          <cell r="CH293">
            <v>131.80000000000001</v>
          </cell>
        </row>
        <row r="294">
          <cell r="CH294">
            <v>129.19999999999999</v>
          </cell>
        </row>
        <row r="295">
          <cell r="CH295">
            <v>131.6</v>
          </cell>
        </row>
        <row r="296">
          <cell r="CH296">
            <v>133.6</v>
          </cell>
        </row>
        <row r="297">
          <cell r="CH297">
            <v>131.80000000000001</v>
          </cell>
        </row>
        <row r="298">
          <cell r="CH298">
            <v>133.9</v>
          </cell>
        </row>
        <row r="299">
          <cell r="CH299">
            <v>132.78</v>
          </cell>
        </row>
        <row r="300">
          <cell r="CH300">
            <v>132.68</v>
          </cell>
        </row>
        <row r="301">
          <cell r="CH301">
            <v>130.88999999999999</v>
          </cell>
        </row>
        <row r="302">
          <cell r="CH302">
            <v>135.12</v>
          </cell>
        </row>
        <row r="303">
          <cell r="CH303">
            <v>131.72999999999999</v>
          </cell>
        </row>
        <row r="304">
          <cell r="CH304">
            <v>131.59</v>
          </cell>
        </row>
        <row r="305">
          <cell r="CH305">
            <v>130.04</v>
          </cell>
        </row>
        <row r="306">
          <cell r="CH306">
            <v>130.58000000000001</v>
          </cell>
        </row>
        <row r="307">
          <cell r="CH307">
            <v>130.34</v>
          </cell>
        </row>
        <row r="308">
          <cell r="CH308">
            <v>130.82</v>
          </cell>
        </row>
        <row r="309">
          <cell r="CH309">
            <v>128.46</v>
          </cell>
        </row>
        <row r="310">
          <cell r="CH310">
            <v>129.91999999999999</v>
          </cell>
        </row>
        <row r="311">
          <cell r="CH311">
            <v>129</v>
          </cell>
        </row>
        <row r="312">
          <cell r="CH312">
            <v>125.6</v>
          </cell>
        </row>
        <row r="313">
          <cell r="CH313">
            <v>124.6</v>
          </cell>
        </row>
        <row r="314">
          <cell r="CH314">
            <v>123.5</v>
          </cell>
        </row>
        <row r="315">
          <cell r="CH315">
            <v>126.56</v>
          </cell>
        </row>
        <row r="316">
          <cell r="CH316">
            <v>126.68</v>
          </cell>
        </row>
        <row r="317">
          <cell r="CH317">
            <v>123.52</v>
          </cell>
        </row>
        <row r="318">
          <cell r="CH318">
            <v>125.7</v>
          </cell>
        </row>
        <row r="319">
          <cell r="CH319">
            <v>126.61</v>
          </cell>
        </row>
        <row r="320">
          <cell r="CH320">
            <v>122.41</v>
          </cell>
        </row>
        <row r="321">
          <cell r="CH321">
            <v>113.77</v>
          </cell>
        </row>
        <row r="322">
          <cell r="CH322">
            <v>118.95</v>
          </cell>
        </row>
        <row r="323">
          <cell r="CH323">
            <v>120.34</v>
          </cell>
        </row>
        <row r="324">
          <cell r="CH324">
            <v>123.06</v>
          </cell>
        </row>
        <row r="325">
          <cell r="CH325">
            <v>124.39</v>
          </cell>
        </row>
        <row r="326">
          <cell r="CH326">
            <v>126.02</v>
          </cell>
        </row>
        <row r="327">
          <cell r="CH327">
            <v>123.93</v>
          </cell>
        </row>
        <row r="328">
          <cell r="CH328">
            <v>120.8</v>
          </cell>
        </row>
        <row r="329">
          <cell r="CH329">
            <v>121.5</v>
          </cell>
        </row>
        <row r="330">
          <cell r="CH330">
            <v>121.1</v>
          </cell>
        </row>
        <row r="331">
          <cell r="CH331">
            <v>126.24</v>
          </cell>
        </row>
        <row r="332">
          <cell r="CH332">
            <v>126.56</v>
          </cell>
        </row>
        <row r="333">
          <cell r="CH333">
            <v>127.49</v>
          </cell>
        </row>
        <row r="334">
          <cell r="CH334">
            <v>123.25</v>
          </cell>
        </row>
        <row r="335">
          <cell r="CH335">
            <v>130.38999999999999</v>
          </cell>
        </row>
        <row r="336">
          <cell r="CH336">
            <v>135.58000000000001</v>
          </cell>
        </row>
        <row r="337">
          <cell r="CH337">
            <v>128.57</v>
          </cell>
        </row>
        <row r="338">
          <cell r="CH338">
            <v>126.16</v>
          </cell>
        </row>
        <row r="339">
          <cell r="CH339">
            <v>121.13</v>
          </cell>
        </row>
        <row r="340">
          <cell r="CH340">
            <v>121.21</v>
          </cell>
        </row>
        <row r="341">
          <cell r="CH341">
            <v>124.6</v>
          </cell>
        </row>
        <row r="342">
          <cell r="CH342">
            <v>131.87</v>
          </cell>
        </row>
        <row r="343">
          <cell r="CH343">
            <v>130.1</v>
          </cell>
        </row>
        <row r="344">
          <cell r="CH344">
            <v>131.9</v>
          </cell>
        </row>
        <row r="345">
          <cell r="CH345">
            <v>129.37</v>
          </cell>
        </row>
        <row r="346">
          <cell r="CH346">
            <v>130.49</v>
          </cell>
        </row>
        <row r="347">
          <cell r="CH347">
            <v>128.61000000000001</v>
          </cell>
        </row>
        <row r="348">
          <cell r="CH348">
            <v>130.11000000000001</v>
          </cell>
        </row>
        <row r="349">
          <cell r="CH349">
            <v>131.44999999999999</v>
          </cell>
        </row>
        <row r="350">
          <cell r="CH350">
            <v>129.47999999999999</v>
          </cell>
        </row>
        <row r="351">
          <cell r="CH351">
            <v>128.25</v>
          </cell>
        </row>
        <row r="352">
          <cell r="CH352">
            <v>133.80000000000001</v>
          </cell>
        </row>
        <row r="353">
          <cell r="CH353">
            <v>128.76</v>
          </cell>
        </row>
        <row r="354">
          <cell r="CH354">
            <v>128.59</v>
          </cell>
        </row>
        <row r="355">
          <cell r="CH355">
            <v>131.1</v>
          </cell>
        </row>
        <row r="356">
          <cell r="CH356">
            <v>134.62</v>
          </cell>
        </row>
        <row r="357">
          <cell r="CH357">
            <v>132.86000000000001</v>
          </cell>
        </row>
        <row r="358">
          <cell r="CH358">
            <v>131.93</v>
          </cell>
        </row>
        <row r="359">
          <cell r="CH359">
            <v>132.13999999999999</v>
          </cell>
        </row>
        <row r="360">
          <cell r="CH360">
            <v>133.56</v>
          </cell>
        </row>
        <row r="361">
          <cell r="CH361">
            <v>130.52000000000001</v>
          </cell>
        </row>
        <row r="362">
          <cell r="CH362">
            <v>135.22</v>
          </cell>
        </row>
        <row r="363">
          <cell r="CH363">
            <v>136.13</v>
          </cell>
        </row>
        <row r="364">
          <cell r="CH364">
            <v>134.30000000000001</v>
          </cell>
        </row>
        <row r="365">
          <cell r="CH365">
            <v>133.18</v>
          </cell>
        </row>
        <row r="366">
          <cell r="CH366">
            <v>135.66</v>
          </cell>
        </row>
        <row r="367">
          <cell r="CH367">
            <v>136.9</v>
          </cell>
        </row>
        <row r="368">
          <cell r="CH368">
            <v>136.32</v>
          </cell>
        </row>
        <row r="369">
          <cell r="CH369">
            <v>138.87</v>
          </cell>
        </row>
        <row r="370">
          <cell r="CH370">
            <v>137.15</v>
          </cell>
        </row>
        <row r="371">
          <cell r="CH371">
            <v>138.47999999999999</v>
          </cell>
        </row>
        <row r="372">
          <cell r="CH372">
            <v>138.29</v>
          </cell>
        </row>
        <row r="373">
          <cell r="CH373">
            <v>137.53</v>
          </cell>
        </row>
        <row r="374">
          <cell r="CH374">
            <v>137.9</v>
          </cell>
        </row>
        <row r="375">
          <cell r="CH375">
            <v>139.35</v>
          </cell>
        </row>
        <row r="376">
          <cell r="CH376">
            <v>139.04</v>
          </cell>
        </row>
        <row r="377">
          <cell r="CH377">
            <v>138.02000000000001</v>
          </cell>
        </row>
        <row r="378">
          <cell r="CH378">
            <v>139.83000000000001</v>
          </cell>
        </row>
        <row r="379">
          <cell r="CH379">
            <v>142.74</v>
          </cell>
        </row>
        <row r="380">
          <cell r="CH380">
            <v>141.91</v>
          </cell>
        </row>
        <row r="381">
          <cell r="CH381">
            <v>143.1</v>
          </cell>
        </row>
        <row r="382">
          <cell r="CH382">
            <v>143.35</v>
          </cell>
        </row>
        <row r="383">
          <cell r="CH383">
            <v>141.41999999999999</v>
          </cell>
        </row>
        <row r="384">
          <cell r="CH384">
            <v>142.04</v>
          </cell>
        </row>
        <row r="385">
          <cell r="CH385">
            <v>142.52000000000001</v>
          </cell>
        </row>
        <row r="386">
          <cell r="CH386">
            <v>142.34</v>
          </cell>
        </row>
        <row r="387">
          <cell r="CH387">
            <v>140.34</v>
          </cell>
        </row>
        <row r="388">
          <cell r="CH388">
            <v>139.38</v>
          </cell>
        </row>
        <row r="389">
          <cell r="CH389">
            <v>139.11000000000001</v>
          </cell>
        </row>
        <row r="390">
          <cell r="CH390">
            <v>141.37</v>
          </cell>
        </row>
        <row r="391">
          <cell r="CH391">
            <v>141.41</v>
          </cell>
        </row>
        <row r="392">
          <cell r="CH392">
            <v>142.12</v>
          </cell>
        </row>
        <row r="393">
          <cell r="CH393">
            <v>142.49</v>
          </cell>
        </row>
        <row r="394">
          <cell r="CH394">
            <v>139.69999999999999</v>
          </cell>
        </row>
        <row r="395">
          <cell r="CH395">
            <v>139.21</v>
          </cell>
        </row>
        <row r="396">
          <cell r="CH396">
            <v>142.15</v>
          </cell>
        </row>
        <row r="397">
          <cell r="CH397">
            <v>141.62</v>
          </cell>
        </row>
        <row r="398">
          <cell r="CH398">
            <v>139.88</v>
          </cell>
        </row>
        <row r="399">
          <cell r="CH399">
            <v>139.88999999999999</v>
          </cell>
        </row>
        <row r="400">
          <cell r="CH400">
            <v>140.46</v>
          </cell>
        </row>
        <row r="401">
          <cell r="CH401">
            <v>140.99</v>
          </cell>
        </row>
        <row r="402">
          <cell r="CH402">
            <v>141.41</v>
          </cell>
        </row>
        <row r="403">
          <cell r="CH403">
            <v>124.28</v>
          </cell>
        </row>
        <row r="404">
          <cell r="CH404">
            <v>115.56</v>
          </cell>
        </row>
        <row r="405">
          <cell r="CH405">
            <v>127.66</v>
          </cell>
        </row>
        <row r="406">
          <cell r="CH406">
            <v>122.5</v>
          </cell>
        </row>
        <row r="407">
          <cell r="CH407">
            <v>102.8</v>
          </cell>
        </row>
        <row r="408">
          <cell r="CH408">
            <v>115.8</v>
          </cell>
        </row>
        <row r="409">
          <cell r="CH409">
            <v>109.8</v>
          </cell>
        </row>
        <row r="410">
          <cell r="CH410">
            <v>110.8</v>
          </cell>
        </row>
        <row r="411">
          <cell r="CH411">
            <v>120.5</v>
          </cell>
        </row>
        <row r="412">
          <cell r="CH412">
            <v>121.5</v>
          </cell>
        </row>
        <row r="413">
          <cell r="CH413">
            <v>122.6</v>
          </cell>
        </row>
        <row r="414">
          <cell r="CH414">
            <v>126.4</v>
          </cell>
        </row>
        <row r="415">
          <cell r="CH415">
            <v>133.19999999999999</v>
          </cell>
        </row>
        <row r="416">
          <cell r="CH416">
            <v>140.4</v>
          </cell>
        </row>
        <row r="417">
          <cell r="CH417">
            <v>139.30000000000001</v>
          </cell>
        </row>
        <row r="418">
          <cell r="CH418">
            <v>141.80000000000001</v>
          </cell>
        </row>
        <row r="419">
          <cell r="CH419">
            <v>138.19999999999999</v>
          </cell>
        </row>
        <row r="420">
          <cell r="CH420">
            <v>134.69999999999999</v>
          </cell>
        </row>
        <row r="421">
          <cell r="CH421">
            <v>139</v>
          </cell>
        </row>
        <row r="422">
          <cell r="CH422">
            <v>137.6</v>
          </cell>
        </row>
        <row r="423">
          <cell r="CH423">
            <v>138.1</v>
          </cell>
        </row>
        <row r="424">
          <cell r="CH424">
            <v>138.30000000000001</v>
          </cell>
        </row>
        <row r="425">
          <cell r="CH425">
            <v>132.5</v>
          </cell>
        </row>
        <row r="426">
          <cell r="CH426">
            <v>128.19999999999999</v>
          </cell>
        </row>
        <row r="427">
          <cell r="CH427">
            <v>127.6</v>
          </cell>
        </row>
        <row r="428">
          <cell r="CH428">
            <v>133.9</v>
          </cell>
        </row>
        <row r="429">
          <cell r="CH429">
            <v>129.30000000000001</v>
          </cell>
        </row>
        <row r="430">
          <cell r="CH430">
            <v>128.6</v>
          </cell>
        </row>
        <row r="431">
          <cell r="CH431">
            <v>125</v>
          </cell>
        </row>
        <row r="432">
          <cell r="CH432">
            <v>130.4</v>
          </cell>
        </row>
        <row r="433">
          <cell r="CH433">
            <v>129.4</v>
          </cell>
        </row>
        <row r="434">
          <cell r="CH434">
            <v>129</v>
          </cell>
        </row>
        <row r="435">
          <cell r="CH435">
            <v>131.5</v>
          </cell>
        </row>
        <row r="436">
          <cell r="CH436">
            <v>127</v>
          </cell>
        </row>
        <row r="437">
          <cell r="CH437">
            <v>127.4</v>
          </cell>
        </row>
        <row r="438">
          <cell r="CH438">
            <v>125.7</v>
          </cell>
        </row>
        <row r="439">
          <cell r="CH439">
            <v>128</v>
          </cell>
        </row>
        <row r="440">
          <cell r="CH440">
            <v>126.6</v>
          </cell>
        </row>
        <row r="441">
          <cell r="CH441">
            <v>121.5</v>
          </cell>
        </row>
        <row r="442">
          <cell r="CH442">
            <v>125.1</v>
          </cell>
        </row>
        <row r="443">
          <cell r="CH443">
            <v>126.3</v>
          </cell>
        </row>
        <row r="444">
          <cell r="CH444">
            <v>125.7</v>
          </cell>
        </row>
        <row r="445">
          <cell r="CH445">
            <v>127.9</v>
          </cell>
        </row>
        <row r="446">
          <cell r="CH446">
            <v>122.5</v>
          </cell>
        </row>
        <row r="447">
          <cell r="CH447">
            <v>126.6</v>
          </cell>
        </row>
        <row r="448">
          <cell r="CH448">
            <v>125</v>
          </cell>
        </row>
        <row r="449">
          <cell r="CH449">
            <v>123.9</v>
          </cell>
        </row>
        <row r="450">
          <cell r="CH450">
            <v>123.5</v>
          </cell>
        </row>
        <row r="451">
          <cell r="CH451">
            <v>127.6</v>
          </cell>
        </row>
        <row r="452">
          <cell r="CH452">
            <v>126.7</v>
          </cell>
        </row>
        <row r="453">
          <cell r="CH453">
            <v>120.3</v>
          </cell>
        </row>
        <row r="454">
          <cell r="CH454">
            <v>121.2</v>
          </cell>
        </row>
        <row r="455">
          <cell r="CH455">
            <v>124.2</v>
          </cell>
        </row>
        <row r="456">
          <cell r="CH456">
            <v>124.4</v>
          </cell>
        </row>
        <row r="457">
          <cell r="CH457">
            <v>126.9</v>
          </cell>
        </row>
        <row r="458">
          <cell r="CH458">
            <v>124.9</v>
          </cell>
        </row>
        <row r="459">
          <cell r="CH459">
            <v>124.1</v>
          </cell>
        </row>
        <row r="460">
          <cell r="CH460">
            <v>123.9</v>
          </cell>
        </row>
      </sheetData>
      <sheetData sheetId="2"/>
      <sheetData sheetId="3">
        <row r="37">
          <cell r="B37">
            <v>34759</v>
          </cell>
          <cell r="X37">
            <v>142787.6</v>
          </cell>
        </row>
        <row r="38">
          <cell r="B38">
            <v>34851</v>
          </cell>
          <cell r="X38">
            <v>145755.5</v>
          </cell>
        </row>
        <row r="39">
          <cell r="B39">
            <v>34943</v>
          </cell>
          <cell r="X39">
            <v>147479.1</v>
          </cell>
        </row>
        <row r="40">
          <cell r="B40">
            <v>35034</v>
          </cell>
          <cell r="X40">
            <v>148423.6</v>
          </cell>
        </row>
        <row r="41">
          <cell r="B41">
            <v>35125</v>
          </cell>
          <cell r="X41">
            <v>150162.20000000001</v>
          </cell>
        </row>
        <row r="42">
          <cell r="B42">
            <v>35217</v>
          </cell>
          <cell r="X42">
            <v>152955.20000000001</v>
          </cell>
        </row>
        <row r="43">
          <cell r="B43">
            <v>35309</v>
          </cell>
          <cell r="X43">
            <v>155037.9</v>
          </cell>
        </row>
        <row r="44">
          <cell r="B44">
            <v>35400</v>
          </cell>
          <cell r="X44">
            <v>157475.1</v>
          </cell>
        </row>
        <row r="45">
          <cell r="B45">
            <v>35490</v>
          </cell>
          <cell r="X45">
            <v>159323</v>
          </cell>
        </row>
        <row r="46">
          <cell r="B46">
            <v>35582</v>
          </cell>
          <cell r="X46">
            <v>159397.20000000001</v>
          </cell>
        </row>
        <row r="47">
          <cell r="B47">
            <v>35674</v>
          </cell>
          <cell r="X47">
            <v>159549.4</v>
          </cell>
        </row>
        <row r="48">
          <cell r="B48">
            <v>35765</v>
          </cell>
          <cell r="X48">
            <v>162430.39999999999</v>
          </cell>
        </row>
        <row r="49">
          <cell r="B49">
            <v>35855</v>
          </cell>
          <cell r="X49">
            <v>165599.1</v>
          </cell>
        </row>
        <row r="50">
          <cell r="B50">
            <v>35947</v>
          </cell>
          <cell r="X50">
            <v>164808.1</v>
          </cell>
        </row>
        <row r="51">
          <cell r="B51">
            <v>36039</v>
          </cell>
          <cell r="X51">
            <v>166364.5</v>
          </cell>
        </row>
        <row r="52">
          <cell r="B52">
            <v>36130</v>
          </cell>
          <cell r="X52">
            <v>167063.1</v>
          </cell>
        </row>
        <row r="53">
          <cell r="B53">
            <v>36220</v>
          </cell>
          <cell r="X53">
            <v>167281.70000000001</v>
          </cell>
        </row>
        <row r="54">
          <cell r="B54">
            <v>36312</v>
          </cell>
          <cell r="X54">
            <v>172720.3</v>
          </cell>
        </row>
        <row r="55">
          <cell r="B55">
            <v>36404</v>
          </cell>
          <cell r="X55">
            <v>173268.6</v>
          </cell>
        </row>
        <row r="56">
          <cell r="B56">
            <v>36495</v>
          </cell>
          <cell r="X56">
            <v>176743.4</v>
          </cell>
        </row>
        <row r="57">
          <cell r="B57">
            <v>36586</v>
          </cell>
          <cell r="X57">
            <v>178878.6</v>
          </cell>
        </row>
        <row r="58">
          <cell r="B58">
            <v>36678</v>
          </cell>
          <cell r="X58">
            <v>185421.3</v>
          </cell>
        </row>
        <row r="59">
          <cell r="B59">
            <v>36770</v>
          </cell>
          <cell r="X59">
            <v>191287.6</v>
          </cell>
        </row>
        <row r="60">
          <cell r="B60">
            <v>36861</v>
          </cell>
          <cell r="X60">
            <v>191748.4</v>
          </cell>
        </row>
        <row r="61">
          <cell r="B61">
            <v>36951</v>
          </cell>
          <cell r="X61">
            <v>189891.6</v>
          </cell>
        </row>
        <row r="62">
          <cell r="B62">
            <v>37043</v>
          </cell>
          <cell r="X62">
            <v>188305.2</v>
          </cell>
        </row>
        <row r="63">
          <cell r="B63">
            <v>37135</v>
          </cell>
          <cell r="X63">
            <v>186271.3</v>
          </cell>
        </row>
        <row r="64">
          <cell r="B64">
            <v>37226</v>
          </cell>
          <cell r="X64">
            <v>185477.6</v>
          </cell>
        </row>
        <row r="65">
          <cell r="B65">
            <v>37316</v>
          </cell>
          <cell r="X65">
            <v>187004.5</v>
          </cell>
        </row>
        <row r="66">
          <cell r="B66">
            <v>37408</v>
          </cell>
          <cell r="X66">
            <v>187072.9</v>
          </cell>
        </row>
        <row r="67">
          <cell r="B67">
            <v>37500</v>
          </cell>
          <cell r="X67">
            <v>187189.4</v>
          </cell>
        </row>
        <row r="68">
          <cell r="B68">
            <v>37591</v>
          </cell>
          <cell r="X68">
            <v>187100</v>
          </cell>
        </row>
        <row r="69">
          <cell r="B69">
            <v>37681</v>
          </cell>
          <cell r="X69">
            <v>189712</v>
          </cell>
        </row>
        <row r="70">
          <cell r="B70">
            <v>37773</v>
          </cell>
          <cell r="X70">
            <v>188718.4</v>
          </cell>
        </row>
        <row r="71">
          <cell r="B71">
            <v>37865</v>
          </cell>
          <cell r="X71">
            <v>190061.2</v>
          </cell>
        </row>
        <row r="72">
          <cell r="B72">
            <v>37956</v>
          </cell>
          <cell r="X72">
            <v>191333.6</v>
          </cell>
        </row>
        <row r="73">
          <cell r="B73">
            <v>38047</v>
          </cell>
          <cell r="X73">
            <v>194134.2</v>
          </cell>
        </row>
        <row r="74">
          <cell r="B74">
            <v>38139</v>
          </cell>
          <cell r="X74">
            <v>196595.6</v>
          </cell>
        </row>
        <row r="75">
          <cell r="B75">
            <v>38231</v>
          </cell>
          <cell r="X75">
            <v>199383.5</v>
          </cell>
        </row>
        <row r="76">
          <cell r="B76">
            <v>38322</v>
          </cell>
          <cell r="X76">
            <v>201754.8</v>
          </cell>
        </row>
        <row r="77">
          <cell r="B77">
            <v>38412</v>
          </cell>
          <cell r="X77">
            <v>204164.1</v>
          </cell>
        </row>
        <row r="78">
          <cell r="B78">
            <v>38504</v>
          </cell>
          <cell r="X78">
            <v>206189</v>
          </cell>
        </row>
        <row r="79">
          <cell r="B79">
            <v>38596</v>
          </cell>
          <cell r="X79">
            <v>208651.8</v>
          </cell>
        </row>
        <row r="80">
          <cell r="B80">
            <v>38687</v>
          </cell>
          <cell r="X80">
            <v>212557.8</v>
          </cell>
        </row>
        <row r="81">
          <cell r="B81">
            <v>38777</v>
          </cell>
          <cell r="X81">
            <v>215617.1</v>
          </cell>
        </row>
        <row r="82">
          <cell r="B82">
            <v>38869</v>
          </cell>
          <cell r="X82">
            <v>219673.5</v>
          </cell>
        </row>
        <row r="83">
          <cell r="B83">
            <v>38961</v>
          </cell>
          <cell r="X83">
            <v>218356.5</v>
          </cell>
        </row>
        <row r="84">
          <cell r="B84">
            <v>39052</v>
          </cell>
          <cell r="X84">
            <v>222230.39999999999</v>
          </cell>
        </row>
        <row r="85">
          <cell r="B85">
            <v>39142</v>
          </cell>
          <cell r="X85">
            <v>226793.4</v>
          </cell>
        </row>
        <row r="86">
          <cell r="B86">
            <v>39234</v>
          </cell>
          <cell r="X86">
            <v>230047.9</v>
          </cell>
        </row>
        <row r="87">
          <cell r="B87">
            <v>39326</v>
          </cell>
          <cell r="X87">
            <v>234808.4</v>
          </cell>
        </row>
        <row r="88">
          <cell r="B88">
            <v>39417</v>
          </cell>
          <cell r="X88">
            <v>238708.2</v>
          </cell>
        </row>
        <row r="89">
          <cell r="B89">
            <v>39508</v>
          </cell>
          <cell r="X89">
            <v>239398.5</v>
          </cell>
        </row>
        <row r="90">
          <cell r="B90">
            <v>39600</v>
          </cell>
          <cell r="X90">
            <v>240004</v>
          </cell>
        </row>
        <row r="91">
          <cell r="B91">
            <v>39692</v>
          </cell>
          <cell r="X91">
            <v>240536.6</v>
          </cell>
        </row>
        <row r="92">
          <cell r="B92">
            <v>39783</v>
          </cell>
          <cell r="X92">
            <v>239108.6</v>
          </cell>
        </row>
        <row r="93">
          <cell r="B93">
            <v>39873</v>
          </cell>
          <cell r="X93">
            <v>240023.2</v>
          </cell>
        </row>
        <row r="94">
          <cell r="B94">
            <v>39965</v>
          </cell>
          <cell r="X94">
            <v>242148.6</v>
          </cell>
        </row>
        <row r="95">
          <cell r="B95">
            <v>40057</v>
          </cell>
          <cell r="X95">
            <v>243963.5</v>
          </cell>
        </row>
        <row r="96">
          <cell r="B96">
            <v>40148</v>
          </cell>
          <cell r="X96">
            <v>246707.5</v>
          </cell>
        </row>
        <row r="97">
          <cell r="B97">
            <v>40238</v>
          </cell>
          <cell r="X97">
            <v>250720.4</v>
          </cell>
        </row>
        <row r="98">
          <cell r="B98">
            <v>40330</v>
          </cell>
          <cell r="X98">
            <v>254803.20000000001</v>
          </cell>
        </row>
        <row r="99">
          <cell r="B99">
            <v>40422</v>
          </cell>
          <cell r="X99">
            <v>257523.5</v>
          </cell>
        </row>
        <row r="100">
          <cell r="B100">
            <v>40513</v>
          </cell>
          <cell r="X100">
            <v>261622.39999999999</v>
          </cell>
        </row>
        <row r="101">
          <cell r="B101">
            <v>40603</v>
          </cell>
          <cell r="X101">
            <v>266189</v>
          </cell>
        </row>
        <row r="102">
          <cell r="B102">
            <v>40695</v>
          </cell>
          <cell r="X102">
            <v>268522.7</v>
          </cell>
        </row>
        <row r="103">
          <cell r="B103">
            <v>40787</v>
          </cell>
          <cell r="X103">
            <v>273889</v>
          </cell>
        </row>
        <row r="104">
          <cell r="B104">
            <v>40878</v>
          </cell>
          <cell r="X104">
            <v>275585.7</v>
          </cell>
        </row>
        <row r="105">
          <cell r="B105">
            <v>40969</v>
          </cell>
          <cell r="X105">
            <v>273515.2</v>
          </cell>
        </row>
        <row r="106">
          <cell r="B106">
            <v>41061</v>
          </cell>
          <cell r="X106">
            <v>275876.59999999998</v>
          </cell>
        </row>
        <row r="107">
          <cell r="B107">
            <v>41153</v>
          </cell>
          <cell r="X107">
            <v>279124.2</v>
          </cell>
        </row>
        <row r="108">
          <cell r="B108">
            <v>41244</v>
          </cell>
          <cell r="X108">
            <v>279278.40000000002</v>
          </cell>
        </row>
        <row r="109">
          <cell r="B109">
            <v>41334</v>
          </cell>
          <cell r="X109">
            <v>283269.7</v>
          </cell>
        </row>
        <row r="110">
          <cell r="B110">
            <v>41426</v>
          </cell>
          <cell r="X110">
            <v>287905.59999999998</v>
          </cell>
        </row>
        <row r="111">
          <cell r="B111">
            <v>41518</v>
          </cell>
          <cell r="X111">
            <v>290479.8</v>
          </cell>
        </row>
        <row r="112">
          <cell r="B112">
            <v>41609</v>
          </cell>
          <cell r="X112">
            <v>293244.40000000002</v>
          </cell>
        </row>
        <row r="113">
          <cell r="B113">
            <v>41699</v>
          </cell>
          <cell r="X113">
            <v>297315.3</v>
          </cell>
        </row>
        <row r="114">
          <cell r="B114">
            <v>41791</v>
          </cell>
          <cell r="X114">
            <v>298786.8</v>
          </cell>
        </row>
        <row r="115">
          <cell r="B115">
            <v>41883</v>
          </cell>
          <cell r="X115">
            <v>300857.7</v>
          </cell>
        </row>
        <row r="116">
          <cell r="B116">
            <v>41974</v>
          </cell>
          <cell r="X116">
            <v>305196.40000000002</v>
          </cell>
        </row>
        <row r="117">
          <cell r="B117">
            <v>42064</v>
          </cell>
          <cell r="X117">
            <v>304962.3</v>
          </cell>
        </row>
        <row r="118">
          <cell r="B118">
            <v>42156</v>
          </cell>
          <cell r="X118">
            <v>306187.59999999998</v>
          </cell>
        </row>
        <row r="119">
          <cell r="B119">
            <v>42248</v>
          </cell>
          <cell r="X119">
            <v>306536.5</v>
          </cell>
        </row>
        <row r="120">
          <cell r="B120">
            <v>42339</v>
          </cell>
          <cell r="X120">
            <v>308543.8</v>
          </cell>
        </row>
        <row r="121">
          <cell r="B121">
            <v>42430</v>
          </cell>
          <cell r="X121">
            <v>309006.59999999998</v>
          </cell>
        </row>
        <row r="122">
          <cell r="B122">
            <v>42522</v>
          </cell>
          <cell r="X122">
            <v>318356.2</v>
          </cell>
        </row>
        <row r="123">
          <cell r="B123">
            <v>42614</v>
          </cell>
          <cell r="X123">
            <v>321250.59999999998</v>
          </cell>
        </row>
        <row r="124">
          <cell r="B124">
            <v>42705</v>
          </cell>
          <cell r="X124">
            <v>325667.8</v>
          </cell>
        </row>
        <row r="125">
          <cell r="B125">
            <v>42795</v>
          </cell>
          <cell r="X125">
            <v>326864.40000000002</v>
          </cell>
        </row>
        <row r="126">
          <cell r="B126">
            <v>42887</v>
          </cell>
          <cell r="X126">
            <v>330368.09999999998</v>
          </cell>
        </row>
        <row r="127">
          <cell r="B127">
            <v>42979</v>
          </cell>
          <cell r="X127">
            <v>335895.2</v>
          </cell>
        </row>
        <row r="128">
          <cell r="B128">
            <v>43070</v>
          </cell>
          <cell r="X128">
            <v>340362.3</v>
          </cell>
        </row>
        <row r="129">
          <cell r="B129">
            <v>43160</v>
          </cell>
          <cell r="X129">
            <v>343925.2</v>
          </cell>
        </row>
        <row r="130">
          <cell r="B130">
            <v>43252</v>
          </cell>
          <cell r="X130">
            <v>345948.1</v>
          </cell>
        </row>
        <row r="131">
          <cell r="B131">
            <v>43344</v>
          </cell>
          <cell r="X131">
            <v>348494</v>
          </cell>
        </row>
        <row r="132">
          <cell r="B132">
            <v>43435</v>
          </cell>
          <cell r="X132">
            <v>351989.5</v>
          </cell>
        </row>
        <row r="133">
          <cell r="B133">
            <v>43525</v>
          </cell>
          <cell r="X133">
            <v>358270.3</v>
          </cell>
        </row>
        <row r="134">
          <cell r="B134">
            <v>43617</v>
          </cell>
          <cell r="X134">
            <v>356928</v>
          </cell>
        </row>
        <row r="135">
          <cell r="B135">
            <v>43709</v>
          </cell>
          <cell r="X135">
            <v>360568.5</v>
          </cell>
        </row>
        <row r="136">
          <cell r="B136">
            <v>43800</v>
          </cell>
          <cell r="X136">
            <v>363304.4</v>
          </cell>
        </row>
        <row r="137">
          <cell r="B137">
            <v>43891</v>
          </cell>
          <cell r="X137">
            <v>356683.3</v>
          </cell>
        </row>
        <row r="138">
          <cell r="B138">
            <v>43983</v>
          </cell>
          <cell r="X138">
            <v>328486.40000000002</v>
          </cell>
        </row>
        <row r="139">
          <cell r="B139">
            <v>44075</v>
          </cell>
          <cell r="X139">
            <v>357100</v>
          </cell>
        </row>
        <row r="140">
          <cell r="B140">
            <v>44166</v>
          </cell>
          <cell r="X140">
            <v>366951.1</v>
          </cell>
        </row>
        <row r="141">
          <cell r="B141">
            <v>44256</v>
          </cell>
          <cell r="X141">
            <v>368974.4</v>
          </cell>
        </row>
        <row r="142">
          <cell r="B142">
            <v>44348</v>
          </cell>
          <cell r="X142">
            <v>381799.6</v>
          </cell>
        </row>
        <row r="143">
          <cell r="B143">
            <v>44440</v>
          </cell>
          <cell r="X143">
            <v>388514.4</v>
          </cell>
        </row>
        <row r="144">
          <cell r="B144">
            <v>44531</v>
          </cell>
          <cell r="X144">
            <v>406405.9</v>
          </cell>
        </row>
        <row r="145">
          <cell r="B145">
            <v>44621</v>
          </cell>
          <cell r="X145">
            <v>404183.8</v>
          </cell>
        </row>
        <row r="146">
          <cell r="B146">
            <v>44713</v>
          </cell>
          <cell r="X146">
            <v>411226.9</v>
          </cell>
        </row>
        <row r="147">
          <cell r="B147">
            <v>44805</v>
          </cell>
          <cell r="X147">
            <v>410324.2</v>
          </cell>
        </row>
        <row r="148">
          <cell r="B148">
            <v>44896</v>
          </cell>
          <cell r="X148">
            <v>418014.5</v>
          </cell>
        </row>
        <row r="149">
          <cell r="B149">
            <v>44986</v>
          </cell>
          <cell r="X149">
            <v>423030.4</v>
          </cell>
        </row>
        <row r="150">
          <cell r="B150">
            <v>45078</v>
          </cell>
          <cell r="X150">
            <v>425960.8</v>
          </cell>
        </row>
        <row r="151">
          <cell r="B151">
            <v>45170</v>
          </cell>
          <cell r="X151">
            <v>425433.5</v>
          </cell>
        </row>
        <row r="152">
          <cell r="B152">
            <v>45261</v>
          </cell>
          <cell r="X152">
            <v>401479.1</v>
          </cell>
        </row>
        <row r="153">
          <cell r="B153">
            <v>45352</v>
          </cell>
          <cell r="X153">
            <v>416186.9</v>
          </cell>
        </row>
        <row r="154">
          <cell r="B154">
            <v>45444</v>
          </cell>
          <cell r="X154">
            <v>418085.4</v>
          </cell>
        </row>
        <row r="155">
          <cell r="B155">
            <v>45536</v>
          </cell>
          <cell r="X155">
            <v>422669.5</v>
          </cell>
        </row>
        <row r="156">
          <cell r="B156">
            <v>45627</v>
          </cell>
          <cell r="X156">
            <v>423875.1</v>
          </cell>
        </row>
        <row r="157">
          <cell r="B157">
            <v>45717</v>
          </cell>
          <cell r="X157">
            <v>430071.9</v>
          </cell>
        </row>
        <row r="158">
          <cell r="B158">
            <v>45809</v>
          </cell>
          <cell r="X158">
            <v>425099.8</v>
          </cell>
        </row>
        <row r="159">
          <cell r="B159">
            <v>45901</v>
          </cell>
          <cell r="X159">
            <v>437582.6</v>
          </cell>
        </row>
        <row r="160">
          <cell r="B160">
            <v>45992</v>
          </cell>
          <cell r="X160">
            <v>441135.9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D29E-2A70-427A-A12D-0F3F5C1BB1AA}">
  <dimension ref="A1:O366"/>
  <sheetViews>
    <sheetView topLeftCell="D1" workbookViewId="0">
      <selection activeCell="D1" sqref="D1:E1"/>
    </sheetView>
  </sheetViews>
  <sheetFormatPr defaultRowHeight="14.25" x14ac:dyDescent="0.2"/>
  <cols>
    <col min="1" max="1" width="10.375" style="26" bestFit="1" customWidth="1"/>
    <col min="2" max="2" width="12.5" style="2" bestFit="1" customWidth="1"/>
    <col min="3" max="3" width="39.625" style="2" bestFit="1" customWidth="1"/>
    <col min="4" max="6" width="12.5" style="2" bestFit="1" customWidth="1"/>
    <col min="7" max="8" width="11.5" style="2" bestFit="1" customWidth="1"/>
    <col min="9" max="9" width="23.875" style="2" bestFit="1" customWidth="1"/>
    <col min="10" max="10" width="19.625" style="2" bestFit="1" customWidth="1"/>
    <col min="11" max="11" width="24.25" style="2" bestFit="1" customWidth="1"/>
    <col min="12" max="12" width="10" style="2" bestFit="1" customWidth="1"/>
    <col min="13" max="13" width="11.5" style="2" bestFit="1" customWidth="1"/>
  </cols>
  <sheetData>
    <row r="1" spans="1:13" ht="57" x14ac:dyDescent="0.2">
      <c r="A1" s="9" t="s">
        <v>42</v>
      </c>
      <c r="B1" s="28" t="s">
        <v>0</v>
      </c>
      <c r="C1" s="30" t="s">
        <v>1</v>
      </c>
      <c r="D1" s="29" t="s">
        <v>37</v>
      </c>
      <c r="E1" s="29" t="s">
        <v>2</v>
      </c>
      <c r="F1" s="29" t="s">
        <v>9</v>
      </c>
      <c r="G1" s="29" t="s">
        <v>3</v>
      </c>
      <c r="H1" s="29" t="s">
        <v>4</v>
      </c>
      <c r="I1" t="s">
        <v>5</v>
      </c>
      <c r="J1" t="s">
        <v>13</v>
      </c>
      <c r="K1" s="30" t="s">
        <v>14</v>
      </c>
      <c r="L1" s="29" t="s">
        <v>39</v>
      </c>
      <c r="M1" s="29" t="s">
        <v>10</v>
      </c>
    </row>
    <row r="2" spans="1:13" x14ac:dyDescent="0.2">
      <c r="A2" s="26">
        <v>35065</v>
      </c>
      <c r="B2" s="2">
        <f>[1]ישיר!B6</f>
        <v>4774987</v>
      </c>
      <c r="C2" s="1">
        <f>-1*[1]ישיר!$C6</f>
        <v>-680754</v>
      </c>
      <c r="D2" s="3">
        <f>personal_labor_income_taxes!B2+C2</f>
        <v>4094233</v>
      </c>
      <c r="E2" s="2">
        <f>[1]ישיר!$F6</f>
        <v>2775423</v>
      </c>
      <c r="F2" s="2">
        <f>[1]ישיר!$V6</f>
        <v>2183611</v>
      </c>
      <c r="G2" s="2">
        <f>[1]ישיר!$H6</f>
        <v>23709</v>
      </c>
      <c r="H2" s="2">
        <f>[1]ישיר!$I6</f>
        <v>600103</v>
      </c>
      <c r="I2" s="2">
        <f>-1*[1]ישיר!$J6</f>
        <v>-4331</v>
      </c>
      <c r="J2" s="2">
        <f>-1*[1]ישיר!$AG6</f>
        <v>-112555</v>
      </c>
      <c r="K2" s="1">
        <f>-1*[1]ישיר!$AK6</f>
        <v>-16848</v>
      </c>
      <c r="L2" s="2">
        <f>-1*[1]ישיר!$Z6</f>
        <v>-60689</v>
      </c>
      <c r="M2" s="2">
        <f>[1]ישיר!$Y6</f>
        <v>196775</v>
      </c>
    </row>
    <row r="3" spans="1:13" x14ac:dyDescent="0.2">
      <c r="A3" s="26">
        <v>35096</v>
      </c>
      <c r="B3" s="2">
        <f>[1]ישיר!B7</f>
        <v>4874883</v>
      </c>
      <c r="C3" s="1">
        <f>-1*[1]ישיר!$C7</f>
        <v>-436582</v>
      </c>
      <c r="D3" s="3">
        <f>personal_labor_income_taxes!B3+C3</f>
        <v>4438301</v>
      </c>
      <c r="E3" s="2">
        <f>[1]ישיר!$F7</f>
        <v>2717365</v>
      </c>
      <c r="F3" s="2">
        <f>[1]ישיר!$V7</f>
        <v>2040219</v>
      </c>
      <c r="G3" s="2">
        <f>[1]ישיר!$H7</f>
        <v>326348</v>
      </c>
      <c r="H3" s="2">
        <f>[1]ישיר!$I7</f>
        <v>202116</v>
      </c>
      <c r="I3" s="2">
        <f>-1*[1]ישיר!$J7</f>
        <v>-6226</v>
      </c>
      <c r="J3" s="2">
        <f>-1*[1]ישיר!$AG7</f>
        <v>-83118</v>
      </c>
      <c r="K3" s="1">
        <f>-1*[1]ישיר!$AK7</f>
        <v>-5091</v>
      </c>
      <c r="L3" s="2">
        <f>-1*[1]ישיר!$Z7</f>
        <v>-61703</v>
      </c>
      <c r="M3" s="2">
        <f>[1]ישיר!$Y7</f>
        <v>258045</v>
      </c>
    </row>
    <row r="4" spans="1:13" x14ac:dyDescent="0.2">
      <c r="A4" s="26">
        <v>35125</v>
      </c>
      <c r="B4" s="2">
        <f>[1]ישיר!B8</f>
        <v>4747457</v>
      </c>
      <c r="C4" s="1">
        <f>-1*[1]ישיר!$C8</f>
        <v>-337940</v>
      </c>
      <c r="D4" s="3">
        <f>personal_labor_income_taxes!B4+C4</f>
        <v>4409517</v>
      </c>
      <c r="E4" s="2">
        <f>[1]ישיר!$F8</f>
        <v>2903470</v>
      </c>
      <c r="F4" s="2">
        <f>[1]ישיר!$V8</f>
        <v>2265911</v>
      </c>
      <c r="G4" s="2">
        <f>[1]ישיר!$H8</f>
        <v>437301</v>
      </c>
      <c r="H4" s="2">
        <f>[1]ישיר!$I8</f>
        <v>119197</v>
      </c>
      <c r="I4" s="2">
        <f>-1*[1]ישיר!$J8</f>
        <v>-2159</v>
      </c>
      <c r="J4" s="2">
        <f>-1*[1]ישיר!$AG8</f>
        <v>-69766</v>
      </c>
      <c r="K4" s="1">
        <f>-1*[1]ישיר!$AK8</f>
        <v>-11221</v>
      </c>
      <c r="L4" s="2">
        <f>-1*[1]ישיר!$Z8</f>
        <v>-59295</v>
      </c>
      <c r="M4" s="2">
        <f>[1]ישיר!$Y8</f>
        <v>236928</v>
      </c>
    </row>
    <row r="5" spans="1:13" x14ac:dyDescent="0.2">
      <c r="A5" s="26">
        <v>35156</v>
      </c>
      <c r="B5" s="2">
        <f>[1]ישיר!B9</f>
        <v>4344510</v>
      </c>
      <c r="C5" s="1">
        <f>-1*[1]ישיר!$C9</f>
        <v>-328559</v>
      </c>
      <c r="D5" s="3">
        <f>personal_labor_income_taxes!B5+C5</f>
        <v>4015951</v>
      </c>
      <c r="E5" s="2">
        <f>[1]ישיר!$F9</f>
        <v>2703780</v>
      </c>
      <c r="F5" s="2">
        <f>[1]ישיר!$V9</f>
        <v>2075698</v>
      </c>
      <c r="G5" s="2">
        <f>[1]ישיר!$H9</f>
        <v>295287</v>
      </c>
      <c r="H5" s="2">
        <f>[1]ישיר!$I9</f>
        <v>102835</v>
      </c>
      <c r="I5" s="2">
        <f>-1*[1]ישיר!$J9</f>
        <v>-3505</v>
      </c>
      <c r="J5" s="2">
        <f>-1*[1]ישיר!$AG9</f>
        <v>-42851</v>
      </c>
      <c r="K5" s="1">
        <f>-1*[1]ישיר!$AK9</f>
        <v>-7480</v>
      </c>
      <c r="L5" s="2">
        <f>-1*[1]ישיר!$Z9</f>
        <v>-87516</v>
      </c>
      <c r="M5" s="2">
        <f>[1]ישיר!$Y9</f>
        <v>231896</v>
      </c>
    </row>
    <row r="6" spans="1:13" x14ac:dyDescent="0.2">
      <c r="A6" s="26">
        <v>35186</v>
      </c>
      <c r="B6" s="2">
        <f>[1]ישיר!B10</f>
        <v>4685954</v>
      </c>
      <c r="C6" s="1">
        <f>-1*[1]ישיר!$C10</f>
        <v>-297485</v>
      </c>
      <c r="D6" s="3">
        <f>personal_labor_income_taxes!B6+C6</f>
        <v>4388469</v>
      </c>
      <c r="E6" s="2">
        <f>[1]ישיר!$F10</f>
        <v>2924295</v>
      </c>
      <c r="F6" s="2">
        <f>[1]ישיר!$V10</f>
        <v>2259705</v>
      </c>
      <c r="G6" s="2">
        <f>[1]ישיר!$H10</f>
        <v>432090</v>
      </c>
      <c r="H6" s="2">
        <f>[1]ישיר!$I10</f>
        <v>110420</v>
      </c>
      <c r="I6" s="2">
        <f>-1*[1]ישיר!$J10</f>
        <v>-4939</v>
      </c>
      <c r="J6" s="2">
        <f>-1*[1]ישיר!$AG10</f>
        <v>-141592</v>
      </c>
      <c r="K6" s="1">
        <f>-1*[1]ישיר!$AK10</f>
        <v>-4311</v>
      </c>
      <c r="L6" s="2">
        <f>-1*[1]ישיר!$Z10</f>
        <v>-55916</v>
      </c>
      <c r="M6" s="2">
        <f>[1]ישיר!$Y10</f>
        <v>259031</v>
      </c>
    </row>
    <row r="7" spans="1:13" x14ac:dyDescent="0.2">
      <c r="A7" s="26">
        <v>35217</v>
      </c>
      <c r="B7" s="2">
        <f>[1]ישיר!B11</f>
        <v>4219188</v>
      </c>
      <c r="C7" s="1">
        <f>-1*[1]ישיר!$C11</f>
        <v>-309144</v>
      </c>
      <c r="D7" s="3">
        <f>personal_labor_income_taxes!B7+C7</f>
        <v>3910044</v>
      </c>
      <c r="E7" s="2">
        <f>[1]ישיר!$F11</f>
        <v>2543930</v>
      </c>
      <c r="F7" s="2">
        <f>[1]ישיר!$V11</f>
        <v>1908199</v>
      </c>
      <c r="G7" s="2">
        <f>[1]ישיר!$H11</f>
        <v>323198</v>
      </c>
      <c r="H7" s="2">
        <f>[1]ישיר!$I11</f>
        <v>153808</v>
      </c>
      <c r="I7" s="2">
        <f>-1*[1]ישיר!$J11</f>
        <v>-4353</v>
      </c>
      <c r="J7" s="2">
        <f>-1*[1]ישיר!$AG11</f>
        <v>-197849</v>
      </c>
      <c r="K7" s="1">
        <f>-1*[1]ישיר!$AK11</f>
        <v>-10043</v>
      </c>
      <c r="L7" s="2">
        <f>-1*[1]ישיר!$Z11</f>
        <v>-53518</v>
      </c>
      <c r="M7" s="2">
        <f>[1]ישיר!$Y11</f>
        <v>262471</v>
      </c>
    </row>
    <row r="8" spans="1:13" x14ac:dyDescent="0.2">
      <c r="A8" s="26">
        <v>35247</v>
      </c>
      <c r="B8" s="2">
        <f>[1]ישיר!B12</f>
        <v>5275390</v>
      </c>
      <c r="C8" s="1">
        <f>-1*[1]ישיר!$C12</f>
        <v>-471700</v>
      </c>
      <c r="D8" s="3">
        <f>personal_labor_income_taxes!B8+C8</f>
        <v>4803690</v>
      </c>
      <c r="E8" s="2">
        <f>[1]ישיר!$F12</f>
        <v>3308040</v>
      </c>
      <c r="F8" s="2">
        <f>[1]ישיר!$V12</f>
        <v>2591462</v>
      </c>
      <c r="G8" s="2">
        <f>[1]ישיר!$H12</f>
        <v>474844</v>
      </c>
      <c r="H8" s="2">
        <f>[1]ישיר!$I12</f>
        <v>116932</v>
      </c>
      <c r="I8" s="2">
        <f>-1*[1]ישיר!$J12</f>
        <v>-3942</v>
      </c>
      <c r="J8" s="2">
        <f>-1*[1]ישיר!$AG12</f>
        <v>-234310</v>
      </c>
      <c r="K8" s="1">
        <f>-1*[1]ישיר!$AK12</f>
        <v>-3902</v>
      </c>
      <c r="L8" s="2">
        <f>-1*[1]ישיר!$Z12</f>
        <v>-45899</v>
      </c>
      <c r="M8" s="2">
        <f>[1]ישיר!$Y12</f>
        <v>308877</v>
      </c>
    </row>
    <row r="9" spans="1:13" x14ac:dyDescent="0.2">
      <c r="A9" s="26">
        <v>35278</v>
      </c>
      <c r="B9" s="2">
        <f>[1]ישיר!B13</f>
        <v>4620456</v>
      </c>
      <c r="C9" s="1">
        <f>-1*[1]ישיר!$C13</f>
        <v>-509112</v>
      </c>
      <c r="D9" s="3">
        <f>personal_labor_income_taxes!B9+C9</f>
        <v>4111344</v>
      </c>
      <c r="E9" s="2">
        <f>[1]ישיר!$F13</f>
        <v>2987933</v>
      </c>
      <c r="F9" s="2">
        <f>[1]ישיר!$V13</f>
        <v>2279710</v>
      </c>
      <c r="G9" s="2">
        <f>[1]ישיר!$H13</f>
        <v>354186</v>
      </c>
      <c r="H9" s="2">
        <f>[1]ישיר!$I13</f>
        <v>123234</v>
      </c>
      <c r="I9" s="2">
        <f>-1*[1]ישיר!$J13</f>
        <v>-5878</v>
      </c>
      <c r="J9" s="2">
        <f>-1*[1]ישיר!$AG13</f>
        <v>-255882</v>
      </c>
      <c r="K9" s="1">
        <f>-1*[1]ישיר!$AK13</f>
        <v>-4986</v>
      </c>
      <c r="L9" s="2">
        <f>-1*[1]ישיר!$Z13</f>
        <v>-53064</v>
      </c>
      <c r="M9" s="2">
        <f>[1]ישיר!$Y13</f>
        <v>298453</v>
      </c>
    </row>
    <row r="10" spans="1:13" x14ac:dyDescent="0.2">
      <c r="A10" s="26">
        <v>35309</v>
      </c>
      <c r="B10" s="2">
        <f>[1]ישיר!B14</f>
        <v>4990967</v>
      </c>
      <c r="C10" s="1">
        <f>-1*[1]ישיר!$C14</f>
        <v>-372648</v>
      </c>
      <c r="D10" s="3">
        <f>personal_labor_income_taxes!B10+C10</f>
        <v>4618319</v>
      </c>
      <c r="E10" s="2">
        <f>[1]ישיר!$F14</f>
        <v>3198954</v>
      </c>
      <c r="F10" s="2">
        <f>[1]ישיר!$V14</f>
        <v>2490302</v>
      </c>
      <c r="G10" s="2">
        <f>[1]ישיר!$H14</f>
        <v>501668</v>
      </c>
      <c r="H10" s="2">
        <f>[1]ישיר!$I14</f>
        <v>125946</v>
      </c>
      <c r="I10" s="2">
        <f>-1*[1]ישיר!$J14</f>
        <v>-2821</v>
      </c>
      <c r="J10" s="2">
        <f>-1*[1]ישיר!$AG14</f>
        <v>-161668</v>
      </c>
      <c r="K10" s="1">
        <f>-1*[1]ישיר!$AK14</f>
        <v>-8643</v>
      </c>
      <c r="L10" s="2">
        <f>-1*[1]ישיר!$Z14</f>
        <v>-53802</v>
      </c>
      <c r="M10" s="2">
        <f>[1]ישיר!$Y14</f>
        <v>282085</v>
      </c>
    </row>
    <row r="11" spans="1:13" x14ac:dyDescent="0.2">
      <c r="A11" s="26">
        <v>35339</v>
      </c>
      <c r="B11" s="2">
        <f>[1]ישיר!B15</f>
        <v>4383491</v>
      </c>
      <c r="C11" s="1">
        <f>-1*[1]ישיר!$C15</f>
        <v>-438401</v>
      </c>
      <c r="D11" s="3">
        <f>personal_labor_income_taxes!B11+C11</f>
        <v>3945090</v>
      </c>
      <c r="E11" s="2">
        <f>[1]ישיר!$F15</f>
        <v>2735431</v>
      </c>
      <c r="F11" s="2">
        <f>[1]ישיר!$V15</f>
        <v>2076888</v>
      </c>
      <c r="G11" s="2">
        <f>[1]ישיר!$H15</f>
        <v>325279</v>
      </c>
      <c r="H11" s="2">
        <f>[1]ישיר!$I15</f>
        <v>119995</v>
      </c>
      <c r="I11" s="2">
        <f>-1*[1]ישיר!$J15</f>
        <v>-7402</v>
      </c>
      <c r="J11" s="2">
        <f>-1*[1]ישיר!$AG15</f>
        <v>-161244</v>
      </c>
      <c r="K11" s="1">
        <f>-1*[1]ישיר!$AK15</f>
        <v>-4429</v>
      </c>
      <c r="L11" s="2">
        <f>-1*[1]ישיר!$Z15</f>
        <v>-51547</v>
      </c>
      <c r="M11" s="2">
        <f>[1]ישיר!$Y15</f>
        <v>272624</v>
      </c>
    </row>
    <row r="12" spans="1:13" x14ac:dyDescent="0.2">
      <c r="A12" s="26">
        <v>35370</v>
      </c>
      <c r="B12" s="2">
        <f>[1]ישיר!B16</f>
        <v>5032923</v>
      </c>
      <c r="C12" s="1">
        <f>-1*[1]ישיר!$C16</f>
        <v>-519094</v>
      </c>
      <c r="D12" s="3">
        <f>personal_labor_income_taxes!B12+C12</f>
        <v>4513829</v>
      </c>
      <c r="E12" s="2">
        <f>[1]ישיר!$F16</f>
        <v>3072490</v>
      </c>
      <c r="F12" s="2">
        <f>[1]ישיר!$V16</f>
        <v>2374642</v>
      </c>
      <c r="G12" s="2">
        <f>[1]ישיר!$H16</f>
        <v>513250</v>
      </c>
      <c r="H12" s="2">
        <f>[1]ישיר!$I16</f>
        <v>144010</v>
      </c>
      <c r="I12" s="2">
        <f>-1*[1]ישיר!$J16</f>
        <v>-2877</v>
      </c>
      <c r="J12" s="2">
        <f>-1*[1]ישיר!$AG16</f>
        <v>-134578</v>
      </c>
      <c r="K12" s="1">
        <f>-1*[1]ישיר!$AK16</f>
        <v>-3593</v>
      </c>
      <c r="L12" s="2">
        <f>-1*[1]ישיר!$Z16</f>
        <v>-50385</v>
      </c>
      <c r="M12" s="2">
        <f>[1]ישיר!$Y16</f>
        <v>272018</v>
      </c>
    </row>
    <row r="13" spans="1:13" x14ac:dyDescent="0.2">
      <c r="A13" s="26">
        <v>35400</v>
      </c>
      <c r="B13" s="2">
        <f>[1]ישיר!B17</f>
        <v>4418478</v>
      </c>
      <c r="C13" s="1">
        <f>-1*[1]ישיר!$C17</f>
        <v>-668837</v>
      </c>
      <c r="D13" s="3">
        <f>personal_labor_income_taxes!B13+C13</f>
        <v>3749641</v>
      </c>
      <c r="E13" s="2">
        <f>[1]ישיר!$F17</f>
        <v>2833585</v>
      </c>
      <c r="F13" s="2">
        <f>[1]ישיר!$V17</f>
        <v>2148921</v>
      </c>
      <c r="G13" s="2">
        <f>[1]ישיר!$H17</f>
        <v>314112</v>
      </c>
      <c r="H13" s="2">
        <f>[1]ישיר!$I17</f>
        <v>137124</v>
      </c>
      <c r="I13" s="2">
        <f>-1*[1]ישיר!$J17</f>
        <v>-5140</v>
      </c>
      <c r="J13" s="2">
        <f>-1*[1]ישיר!$AG17</f>
        <v>-115060</v>
      </c>
      <c r="K13" s="1">
        <f>-1*[1]ישיר!$AK17</f>
        <v>-6468</v>
      </c>
      <c r="L13" s="2">
        <f>-1*[1]ישיר!$Z17</f>
        <v>-48610</v>
      </c>
      <c r="M13" s="2">
        <f>[1]ישיר!$Y17</f>
        <v>284343</v>
      </c>
    </row>
    <row r="14" spans="1:13" x14ac:dyDescent="0.2">
      <c r="A14" s="26">
        <v>35431</v>
      </c>
      <c r="B14" s="2">
        <f>[1]ישיר!B18</f>
        <v>5592318</v>
      </c>
      <c r="C14" s="1">
        <f>-1*[1]ישיר!$C18</f>
        <v>-466736</v>
      </c>
      <c r="D14" s="3">
        <f>personal_labor_income_taxes!B14+C14</f>
        <v>5125582</v>
      </c>
      <c r="E14" s="2">
        <f>[1]ישיר!$F18</f>
        <v>3493214</v>
      </c>
      <c r="F14" s="2">
        <f>[1]ישיר!$V18</f>
        <v>2704813</v>
      </c>
      <c r="G14" s="2">
        <f>[1]ישיר!$H18</f>
        <v>6862</v>
      </c>
      <c r="H14" s="2">
        <f>[1]ישיר!$I18</f>
        <v>696447</v>
      </c>
      <c r="I14" s="2">
        <f>-1*[1]ישיר!$J18</f>
        <v>-4434</v>
      </c>
      <c r="J14" s="2">
        <f>-1*[1]ישיר!$AG18</f>
        <v>-120438</v>
      </c>
      <c r="K14" s="1">
        <f>-1*[1]ישיר!$AK18</f>
        <v>-9857</v>
      </c>
      <c r="L14" s="2">
        <f>-1*[1]ישיר!$Z18</f>
        <v>-54135</v>
      </c>
      <c r="M14" s="2">
        <f>[1]ישיר!$Y18</f>
        <v>259979</v>
      </c>
    </row>
    <row r="15" spans="1:13" x14ac:dyDescent="0.2">
      <c r="A15" s="26">
        <v>35462</v>
      </c>
      <c r="B15" s="2">
        <f>[1]ישיר!B19</f>
        <v>5617716</v>
      </c>
      <c r="C15" s="1">
        <f>-1*[1]ישיר!$C19</f>
        <v>-487758</v>
      </c>
      <c r="D15" s="3">
        <f>personal_labor_income_taxes!B15+C15</f>
        <v>5129958</v>
      </c>
      <c r="E15" s="2">
        <f>[1]ישיר!$F19</f>
        <v>3207100</v>
      </c>
      <c r="F15" s="2">
        <f>[1]ישיר!$V19</f>
        <v>2487361</v>
      </c>
      <c r="G15" s="2">
        <f>[1]ישיר!$H19</f>
        <v>349120</v>
      </c>
      <c r="H15" s="2">
        <f>[1]ישיר!$I19</f>
        <v>198732</v>
      </c>
      <c r="I15" s="2">
        <f>-1*[1]ישיר!$J19</f>
        <v>-4637</v>
      </c>
      <c r="J15" s="2">
        <f>-1*[1]ישיר!$AG19</f>
        <v>-61115</v>
      </c>
      <c r="K15" s="1">
        <f>-1*[1]ישיר!$AK19</f>
        <v>-10531</v>
      </c>
      <c r="L15" s="2">
        <f>-1*[1]ישיר!$Z19</f>
        <v>-73891</v>
      </c>
      <c r="M15" s="2">
        <f>[1]ישיר!$Y19</f>
        <v>286534</v>
      </c>
    </row>
    <row r="16" spans="1:13" x14ac:dyDescent="0.2">
      <c r="A16" s="26">
        <v>35490</v>
      </c>
      <c r="B16" s="2">
        <f>[1]ישיר!B20</f>
        <v>5402143</v>
      </c>
      <c r="C16" s="1">
        <f>-1*[1]ישיר!$C20</f>
        <v>-326139</v>
      </c>
      <c r="D16" s="3">
        <f>personal_labor_income_taxes!B16+C16</f>
        <v>5076004</v>
      </c>
      <c r="E16" s="2">
        <f>[1]ישיר!$F20</f>
        <v>3338111</v>
      </c>
      <c r="F16" s="2">
        <f>[1]ישיר!$V20</f>
        <v>2656197</v>
      </c>
      <c r="G16" s="2">
        <f>[1]ישיר!$H20</f>
        <v>458682</v>
      </c>
      <c r="H16" s="2">
        <f>[1]ישיר!$I20</f>
        <v>139088</v>
      </c>
      <c r="I16" s="2">
        <f>-1*[1]ישיר!$J20</f>
        <v>-7089</v>
      </c>
      <c r="J16" s="2">
        <f>-1*[1]ישיר!$AG20</f>
        <v>-60400</v>
      </c>
      <c r="K16" s="1">
        <f>-1*[1]ישיר!$AK20</f>
        <v>-8254</v>
      </c>
      <c r="L16" s="2">
        <f>-1*[1]ישיר!$Z20</f>
        <v>-71846</v>
      </c>
      <c r="M16" s="2">
        <f>[1]ישיר!$Y20</f>
        <v>262962</v>
      </c>
    </row>
    <row r="17" spans="1:13" x14ac:dyDescent="0.2">
      <c r="A17" s="26">
        <v>35521</v>
      </c>
      <c r="B17" s="2">
        <f>[1]ישיר!B21</f>
        <v>4999980</v>
      </c>
      <c r="C17" s="1">
        <f>-1*[1]ישיר!$C21</f>
        <v>-162804</v>
      </c>
      <c r="D17" s="3">
        <f>personal_labor_income_taxes!B17+C17</f>
        <v>4837176</v>
      </c>
      <c r="E17" s="2">
        <f>[1]ישיר!$F21</f>
        <v>3136694</v>
      </c>
      <c r="F17" s="2">
        <f>[1]ישיר!$V21</f>
        <v>2541617</v>
      </c>
      <c r="G17" s="2">
        <f>[1]ישיר!$H21</f>
        <v>314017</v>
      </c>
      <c r="H17" s="2">
        <f>[1]ישיר!$I21</f>
        <v>116312</v>
      </c>
      <c r="I17" s="2">
        <f>-1*[1]ישיר!$J21</f>
        <v>-3474</v>
      </c>
      <c r="J17" s="2">
        <f>-1*[1]ישיר!$AG21</f>
        <v>-46237</v>
      </c>
      <c r="K17" s="1">
        <f>-1*[1]ישיר!$AK21</f>
        <v>-5851</v>
      </c>
      <c r="L17" s="2">
        <f>-1*[1]ישיר!$Z21</f>
        <v>-90886</v>
      </c>
      <c r="M17" s="2">
        <f>[1]ישיר!$Y21</f>
        <v>251470</v>
      </c>
    </row>
    <row r="18" spans="1:13" x14ac:dyDescent="0.2">
      <c r="A18" s="26">
        <v>35551</v>
      </c>
      <c r="B18" s="2">
        <f>[1]ישיר!B22</f>
        <v>5426733</v>
      </c>
      <c r="C18" s="1">
        <f>-1*[1]ישיר!$C22</f>
        <v>-224920</v>
      </c>
      <c r="D18" s="3">
        <f>personal_labor_income_taxes!B18+C18</f>
        <v>5201813</v>
      </c>
      <c r="E18" s="2">
        <f>[1]ישיר!$F22</f>
        <v>3456147</v>
      </c>
      <c r="F18" s="2">
        <f>[1]ישיר!$V22</f>
        <v>2692398</v>
      </c>
      <c r="G18" s="2">
        <f>[1]ישיר!$H22</f>
        <v>482134</v>
      </c>
      <c r="H18" s="2">
        <f>[1]ישיר!$I22</f>
        <v>132396</v>
      </c>
      <c r="I18" s="2">
        <f>-1*[1]ישיר!$J22</f>
        <v>-7532</v>
      </c>
      <c r="J18" s="2">
        <f>-1*[1]ישיר!$AG22</f>
        <v>-91012</v>
      </c>
      <c r="K18" s="1">
        <f>-1*[1]ישיר!$AK22</f>
        <v>-9250</v>
      </c>
      <c r="L18" s="2">
        <f>-1*[1]ישיר!$Z22</f>
        <v>-84869</v>
      </c>
      <c r="M18" s="2">
        <f>[1]ישיר!$Y22</f>
        <v>288717</v>
      </c>
    </row>
    <row r="19" spans="1:13" x14ac:dyDescent="0.2">
      <c r="A19" s="26">
        <v>35582</v>
      </c>
      <c r="B19" s="2">
        <f>[1]ישיר!B23</f>
        <v>4694161</v>
      </c>
      <c r="C19" s="1">
        <f>-1*[1]ישיר!$C23</f>
        <v>-344090</v>
      </c>
      <c r="D19" s="3">
        <f>personal_labor_income_taxes!B19+C19</f>
        <v>4350071</v>
      </c>
      <c r="E19" s="2">
        <f>[1]ישיר!$F23</f>
        <v>3007103</v>
      </c>
      <c r="F19" s="2">
        <f>[1]ישיר!$V23</f>
        <v>2268594</v>
      </c>
      <c r="G19" s="2">
        <f>[1]ישיר!$H23</f>
        <v>316368</v>
      </c>
      <c r="H19" s="2">
        <f>[1]ישיר!$I23</f>
        <v>117034</v>
      </c>
      <c r="I19" s="2">
        <f>-1*[1]ישיר!$J23</f>
        <v>-4100</v>
      </c>
      <c r="J19" s="2">
        <f>-1*[1]ישיר!$AG23</f>
        <v>-163837</v>
      </c>
      <c r="K19" s="1">
        <f>-1*[1]ישיר!$AK23</f>
        <v>-6599</v>
      </c>
      <c r="L19" s="2">
        <f>-1*[1]ישיר!$Z23</f>
        <v>-81774</v>
      </c>
      <c r="M19" s="2">
        <f>[1]ישיר!$Y23</f>
        <v>285755</v>
      </c>
    </row>
    <row r="20" spans="1:13" x14ac:dyDescent="0.2">
      <c r="A20" s="26">
        <v>35612</v>
      </c>
      <c r="B20" s="2">
        <f>[1]ישיר!B24</f>
        <v>6023564</v>
      </c>
      <c r="C20" s="1">
        <f>-1*[1]ישיר!$C24</f>
        <v>-493702</v>
      </c>
      <c r="D20" s="3">
        <f>personal_labor_income_taxes!B20+C20</f>
        <v>5529862</v>
      </c>
      <c r="E20" s="2">
        <f>[1]ישיר!$F24</f>
        <v>3867112</v>
      </c>
      <c r="F20" s="2">
        <f>[1]ישיר!$V24</f>
        <v>3043060</v>
      </c>
      <c r="G20" s="2">
        <f>[1]ישיר!$H24</f>
        <v>492505</v>
      </c>
      <c r="H20" s="2">
        <f>[1]ישיר!$I24</f>
        <v>130234</v>
      </c>
      <c r="I20" s="2">
        <f>-1*[1]ישיר!$J24</f>
        <v>-5580</v>
      </c>
      <c r="J20" s="2">
        <f>-1*[1]ישיר!$AG24</f>
        <v>-223096</v>
      </c>
      <c r="K20" s="1">
        <f>-1*[1]ישיר!$AK24</f>
        <v>-10721</v>
      </c>
      <c r="L20" s="2">
        <f>-1*[1]ישיר!$Z24</f>
        <v>-86013</v>
      </c>
      <c r="M20" s="2">
        <f>[1]ישיר!$Y24</f>
        <v>312393</v>
      </c>
    </row>
    <row r="21" spans="1:13" x14ac:dyDescent="0.2">
      <c r="A21" s="26">
        <v>35643</v>
      </c>
      <c r="B21" s="2">
        <f>[1]ישיר!B25</f>
        <v>5364047</v>
      </c>
      <c r="C21" s="1">
        <f>-1*[1]ישיר!$C25</f>
        <v>-437865</v>
      </c>
      <c r="D21" s="3">
        <f>personal_labor_income_taxes!B21+C21</f>
        <v>4926182</v>
      </c>
      <c r="E21" s="2">
        <f>[1]ישיר!$F25</f>
        <v>3436176</v>
      </c>
      <c r="F21" s="2">
        <f>[1]ישיר!$V25</f>
        <v>2658594</v>
      </c>
      <c r="G21" s="2">
        <f>[1]ישיר!$H25</f>
        <v>362717</v>
      </c>
      <c r="H21" s="2">
        <f>[1]ישיר!$I25</f>
        <v>148484</v>
      </c>
      <c r="I21" s="2">
        <f>-1*[1]ישיר!$J25</f>
        <v>-3617</v>
      </c>
      <c r="J21" s="2">
        <f>-1*[1]ישיר!$AG25</f>
        <v>-221158</v>
      </c>
      <c r="K21" s="1">
        <f>-1*[1]ישיר!$AK25</f>
        <v>-8838</v>
      </c>
      <c r="L21" s="2">
        <f>-1*[1]ישיר!$Z25</f>
        <v>-63089</v>
      </c>
      <c r="M21" s="2">
        <f>[1]ישיר!$Y25</f>
        <v>328276</v>
      </c>
    </row>
    <row r="22" spans="1:13" x14ac:dyDescent="0.2">
      <c r="A22" s="26">
        <v>35674</v>
      </c>
      <c r="B22" s="2">
        <f>[1]ישיר!B26</f>
        <v>5835310</v>
      </c>
      <c r="C22" s="1">
        <f>-1*[1]ישיר!$C26</f>
        <v>-445930</v>
      </c>
      <c r="D22" s="3">
        <f>personal_labor_income_taxes!B22+C22</f>
        <v>5389380</v>
      </c>
      <c r="E22" s="2">
        <f>[1]ישיר!$F26</f>
        <v>3558493</v>
      </c>
      <c r="F22" s="2">
        <f>[1]ישיר!$V26</f>
        <v>2841732</v>
      </c>
      <c r="G22" s="2">
        <f>[1]ישיר!$H26</f>
        <v>524130</v>
      </c>
      <c r="H22" s="2">
        <f>[1]ישיר!$I26</f>
        <v>136173</v>
      </c>
      <c r="I22" s="2">
        <f>-1*[1]ישיר!$J26</f>
        <v>-4048</v>
      </c>
      <c r="J22" s="2">
        <f>-1*[1]ישיר!$AG26</f>
        <v>-198736</v>
      </c>
      <c r="K22" s="1">
        <f>-1*[1]ישיר!$AK26</f>
        <v>-6641</v>
      </c>
      <c r="L22" s="2">
        <f>-1*[1]ישיר!$Z26</f>
        <v>-57858</v>
      </c>
      <c r="M22" s="2">
        <f>[1]ישיר!$Y26</f>
        <v>330281</v>
      </c>
    </row>
    <row r="23" spans="1:13" x14ac:dyDescent="0.2">
      <c r="A23" s="26">
        <v>35704</v>
      </c>
      <c r="B23" s="2">
        <f>[1]ישיר!B27</f>
        <v>5007480</v>
      </c>
      <c r="C23" s="1">
        <f>-1*[1]ישיר!$C27</f>
        <v>-220639</v>
      </c>
      <c r="D23" s="3">
        <f>personal_labor_income_taxes!B23+C23</f>
        <v>4786841</v>
      </c>
      <c r="E23" s="2">
        <f>[1]ישיר!$F27</f>
        <v>3250752</v>
      </c>
      <c r="F23" s="2">
        <f>[1]ישיר!$V27</f>
        <v>2562972</v>
      </c>
      <c r="G23" s="2">
        <f>[1]ישיר!$H27</f>
        <v>331133</v>
      </c>
      <c r="H23" s="2">
        <f>[1]ישיר!$I27</f>
        <v>116417</v>
      </c>
      <c r="I23" s="2">
        <f>-1*[1]ישיר!$J27</f>
        <v>-5922</v>
      </c>
      <c r="J23" s="2">
        <f>-1*[1]ישיר!$AG27</f>
        <v>-114189</v>
      </c>
      <c r="K23" s="1">
        <f>-1*[1]ישיר!$AK27</f>
        <v>-3839</v>
      </c>
      <c r="L23" s="2">
        <f>-1*[1]ישיר!$Z27</f>
        <v>-68691</v>
      </c>
      <c r="M23" s="2">
        <f>[1]ישיר!$Y27</f>
        <v>293075</v>
      </c>
    </row>
    <row r="24" spans="1:13" x14ac:dyDescent="0.2">
      <c r="A24" s="26">
        <v>35735</v>
      </c>
      <c r="B24" s="2">
        <f>[1]ישיר!B28</f>
        <v>5388693</v>
      </c>
      <c r="C24" s="1">
        <f>-1*[1]ישיר!$C28</f>
        <v>-536863</v>
      </c>
      <c r="D24" s="3">
        <f>personal_labor_income_taxes!B24+C24</f>
        <v>4851830</v>
      </c>
      <c r="E24" s="2">
        <f>[1]ישיר!$F28</f>
        <v>3552121</v>
      </c>
      <c r="F24" s="2">
        <f>[1]ישיר!$V28</f>
        <v>2783612</v>
      </c>
      <c r="G24" s="2">
        <f>[1]ישיר!$H28</f>
        <v>518743</v>
      </c>
      <c r="H24" s="2">
        <f>[1]ישיר!$I28</f>
        <v>113228</v>
      </c>
      <c r="I24" s="2">
        <f>-1*[1]ישיר!$J28</f>
        <v>-5942</v>
      </c>
      <c r="J24" s="2">
        <f>-1*[1]ישיר!$AG28</f>
        <v>-207418</v>
      </c>
      <c r="K24" s="1">
        <f>-1*[1]ישיר!$AK28</f>
        <v>-9918</v>
      </c>
      <c r="L24" s="2">
        <f>-1*[1]ישיר!$Z28</f>
        <v>-62056</v>
      </c>
      <c r="M24" s="2">
        <f>[1]ישיר!$Y28</f>
        <v>297122</v>
      </c>
    </row>
    <row r="25" spans="1:13" x14ac:dyDescent="0.2">
      <c r="A25" s="26">
        <v>35765</v>
      </c>
      <c r="B25" s="2">
        <f>[1]ישיר!B29</f>
        <v>4818837</v>
      </c>
      <c r="C25" s="1">
        <f>-1*[1]ישיר!$C29</f>
        <v>-569501</v>
      </c>
      <c r="D25" s="3">
        <f>personal_labor_income_taxes!B25+C25</f>
        <v>4249336</v>
      </c>
      <c r="E25" s="2">
        <f>[1]ישיר!$F29</f>
        <v>3199776</v>
      </c>
      <c r="F25" s="2">
        <f>[1]ישיר!$V29</f>
        <v>2495492</v>
      </c>
      <c r="G25" s="2">
        <f>[1]ישיר!$H29</f>
        <v>330349</v>
      </c>
      <c r="H25" s="2">
        <f>[1]ישיר!$I29</f>
        <v>178505</v>
      </c>
      <c r="I25" s="2">
        <f>-1*[1]ישיר!$J29</f>
        <v>-4600</v>
      </c>
      <c r="J25" s="2">
        <f>-1*[1]ישיר!$AG29</f>
        <v>-154274</v>
      </c>
      <c r="K25" s="1">
        <f>-1*[1]ישיר!$AK29</f>
        <v>-4354</v>
      </c>
      <c r="L25" s="2">
        <f>-1*[1]ישיר!$Z29</f>
        <v>-55715</v>
      </c>
      <c r="M25" s="2">
        <f>[1]ישיר!$Y29</f>
        <v>268584</v>
      </c>
    </row>
    <row r="26" spans="1:13" x14ac:dyDescent="0.2">
      <c r="A26" s="26">
        <v>35796</v>
      </c>
      <c r="B26" s="2">
        <f>[1]ישיר!B30</f>
        <v>6033572</v>
      </c>
      <c r="C26" s="1">
        <f>-1*[1]ישיר!$C30</f>
        <v>-164167</v>
      </c>
      <c r="D26" s="3">
        <f>personal_labor_income_taxes!B26+C26</f>
        <v>5869405</v>
      </c>
      <c r="E26" s="2">
        <f>[1]ישיר!$F30</f>
        <v>4105194</v>
      </c>
      <c r="F26" s="2">
        <f>[1]ישיר!$V30</f>
        <v>3143923</v>
      </c>
      <c r="G26" s="2">
        <f>[1]ישיר!$H30</f>
        <v>5105</v>
      </c>
      <c r="H26" s="2">
        <f>[1]ישיר!$I30</f>
        <v>795353</v>
      </c>
      <c r="I26" s="2">
        <f>-1*[1]ישיר!$J30</f>
        <v>-2421</v>
      </c>
      <c r="J26" s="2">
        <f>-1*[1]ישיר!$AG30</f>
        <v>-48018</v>
      </c>
      <c r="K26" s="1">
        <f>-1*[1]ישיר!$AK30</f>
        <v>-83</v>
      </c>
      <c r="L26" s="2">
        <f>-1*[1]ישיר!$Z30</f>
        <v>-56932</v>
      </c>
      <c r="M26" s="2">
        <f>[1]ישיר!$Y30</f>
        <v>434385</v>
      </c>
    </row>
    <row r="27" spans="1:13" x14ac:dyDescent="0.2">
      <c r="A27" s="26">
        <v>35827</v>
      </c>
      <c r="B27" s="2">
        <f>[1]ישיר!B31</f>
        <v>4365419</v>
      </c>
      <c r="C27" s="1">
        <f>-1*[1]ישיר!$C31</f>
        <v>-580074</v>
      </c>
      <c r="D27" s="3">
        <f>personal_labor_income_taxes!B27+C27</f>
        <v>3785345</v>
      </c>
      <c r="E27" s="2">
        <f>[1]ישיר!$F31</f>
        <v>2612295</v>
      </c>
      <c r="F27" s="2">
        <f>[1]ישיר!$V31</f>
        <v>1964078</v>
      </c>
      <c r="G27" s="2">
        <f>[1]ישיר!$H31</f>
        <v>188571</v>
      </c>
      <c r="H27" s="2">
        <f>[1]ישיר!$I31</f>
        <v>355205</v>
      </c>
      <c r="I27" s="2">
        <f>-1*[1]ישיר!$J31</f>
        <v>-6999</v>
      </c>
      <c r="J27" s="2">
        <f>-1*[1]ישיר!$AG31</f>
        <v>-151128</v>
      </c>
      <c r="K27" s="1">
        <f>-1*[1]ישיר!$AK31</f>
        <v>-12534</v>
      </c>
      <c r="L27" s="2">
        <f>-1*[1]ישיר!$Z31</f>
        <v>-18770</v>
      </c>
      <c r="M27" s="2">
        <f>[1]ישיר!$Y31</f>
        <v>493099</v>
      </c>
    </row>
    <row r="28" spans="1:13" x14ac:dyDescent="0.2">
      <c r="A28" s="26">
        <v>35855</v>
      </c>
      <c r="B28" s="2">
        <f>[1]ישיר!B32</f>
        <v>7264530</v>
      </c>
      <c r="C28" s="1">
        <f>-1*[1]ישיר!$C32</f>
        <v>-518539</v>
      </c>
      <c r="D28" s="3">
        <f>personal_labor_income_taxes!B28+C28</f>
        <v>6745991</v>
      </c>
      <c r="E28" s="2">
        <f>[1]ישיר!$F32</f>
        <v>4603470</v>
      </c>
      <c r="F28" s="2">
        <f>[1]ישיר!$V32</f>
        <v>2993876</v>
      </c>
      <c r="G28" s="2">
        <f>[1]ישיר!$H32</f>
        <v>617693</v>
      </c>
      <c r="H28" s="2">
        <f>[1]ישיר!$I32</f>
        <v>168941</v>
      </c>
      <c r="I28" s="2">
        <f>-1*[1]ישיר!$J32</f>
        <v>-4569</v>
      </c>
      <c r="J28" s="2">
        <f>-1*[1]ישיר!$AG32</f>
        <v>-110612</v>
      </c>
      <c r="K28" s="1">
        <f>-1*[1]ישיר!$AK32</f>
        <v>-11124</v>
      </c>
      <c r="L28" s="2">
        <f>-1*[1]ישיר!$Z32</f>
        <v>-87690</v>
      </c>
      <c r="M28" s="2">
        <f>[1]ישיר!$Y32</f>
        <v>403664</v>
      </c>
    </row>
    <row r="29" spans="1:13" x14ac:dyDescent="0.2">
      <c r="A29" s="26">
        <v>35886</v>
      </c>
      <c r="B29" s="2">
        <f>[1]ישיר!B33</f>
        <v>5661141</v>
      </c>
      <c r="C29" s="1">
        <f>-1*[1]ישיר!$C33</f>
        <v>-214848</v>
      </c>
      <c r="D29" s="3">
        <f>personal_labor_income_taxes!B29+C29</f>
        <v>5446293</v>
      </c>
      <c r="E29" s="2">
        <f>[1]ישיר!$F33</f>
        <v>3585348</v>
      </c>
      <c r="F29" s="2">
        <f>[1]ישיר!$V33</f>
        <v>2530988</v>
      </c>
      <c r="G29" s="2">
        <f>[1]ישיר!$H33</f>
        <v>334945</v>
      </c>
      <c r="H29" s="2">
        <f>[1]ישיר!$I33</f>
        <v>271523</v>
      </c>
      <c r="I29" s="2">
        <f>-1*[1]ישיר!$J33</f>
        <v>-3123</v>
      </c>
      <c r="J29" s="2">
        <f>-1*[1]ישיר!$AG33</f>
        <v>-60136</v>
      </c>
      <c r="K29" s="1">
        <f>-1*[1]ישיר!$AK33</f>
        <v>-5808</v>
      </c>
      <c r="L29" s="2">
        <f>-1*[1]ישיר!$Z33</f>
        <v>-60257</v>
      </c>
      <c r="M29" s="2">
        <f>[1]ישיר!$Y33</f>
        <v>375914</v>
      </c>
    </row>
    <row r="30" spans="1:13" x14ac:dyDescent="0.2">
      <c r="A30" s="26">
        <v>35916</v>
      </c>
      <c r="B30" s="2">
        <f>[1]ישיר!B34</f>
        <v>6059758</v>
      </c>
      <c r="C30" s="1">
        <f>-1*[1]ישיר!$C34</f>
        <v>-435700</v>
      </c>
      <c r="D30" s="3">
        <f>personal_labor_income_taxes!B30+C30</f>
        <v>5624058</v>
      </c>
      <c r="E30" s="2">
        <f>[1]ישיר!$F34</f>
        <v>3818540</v>
      </c>
      <c r="F30" s="2">
        <f>[1]ישיר!$V34</f>
        <v>2769717</v>
      </c>
      <c r="G30" s="2">
        <f>[1]ישיר!$H34</f>
        <v>496616</v>
      </c>
      <c r="H30" s="2">
        <f>[1]ישיר!$I34</f>
        <v>143763</v>
      </c>
      <c r="I30" s="2">
        <f>-1*[1]ישיר!$J34</f>
        <v>-4510</v>
      </c>
      <c r="J30" s="2">
        <f>-1*[1]ישיר!$AG34</f>
        <v>-147172</v>
      </c>
      <c r="K30" s="1">
        <f>-1*[1]ישיר!$AK34</f>
        <v>-8228</v>
      </c>
      <c r="L30" s="2">
        <f>-1*[1]ישיר!$Z34</f>
        <v>-93897</v>
      </c>
      <c r="M30" s="2">
        <f>[1]ישיר!$Y34</f>
        <v>411469</v>
      </c>
    </row>
    <row r="31" spans="1:13" x14ac:dyDescent="0.2">
      <c r="A31" s="26">
        <v>35947</v>
      </c>
      <c r="B31" s="2">
        <f>[1]ישיר!B35</f>
        <v>5095820</v>
      </c>
      <c r="C31" s="1">
        <f>-1*[1]ישיר!$C35</f>
        <v>-395879</v>
      </c>
      <c r="D31" s="3">
        <f>personal_labor_income_taxes!B31+C31</f>
        <v>4699941</v>
      </c>
      <c r="E31" s="2">
        <f>[1]ישיר!$F35</f>
        <v>3259926</v>
      </c>
      <c r="F31" s="2">
        <f>[1]ישיר!$V35</f>
        <v>2259904</v>
      </c>
      <c r="G31" s="2">
        <f>[1]ישיר!$H35</f>
        <v>339126</v>
      </c>
      <c r="H31" s="2">
        <f>[1]ישיר!$I35</f>
        <v>129333</v>
      </c>
      <c r="I31" s="2">
        <f>-1*[1]ישיר!$J35</f>
        <v>-6877</v>
      </c>
      <c r="J31" s="2">
        <f>-1*[1]ישיר!$AG35</f>
        <v>-201196</v>
      </c>
      <c r="K31" s="1">
        <f>-1*[1]ישיר!$AK35</f>
        <v>-9483</v>
      </c>
      <c r="L31" s="2">
        <f>-1*[1]ישיר!$Z35</f>
        <v>-72972</v>
      </c>
      <c r="M31" s="2">
        <f>[1]ישיר!$Y35</f>
        <v>391192</v>
      </c>
    </row>
    <row r="32" spans="1:13" x14ac:dyDescent="0.2">
      <c r="A32" s="26">
        <v>35977</v>
      </c>
      <c r="B32" s="2">
        <f>[1]ישיר!B36</f>
        <v>6672308</v>
      </c>
      <c r="C32" s="1">
        <f>-1*[1]ישיר!$C36</f>
        <v>-523321</v>
      </c>
      <c r="D32" s="3">
        <f>personal_labor_income_taxes!B32+C32</f>
        <v>6148987</v>
      </c>
      <c r="E32" s="2">
        <f>[1]ישיר!$F36</f>
        <v>4110929</v>
      </c>
      <c r="F32" s="2">
        <f>[1]ישיר!$V36</f>
        <v>2952013</v>
      </c>
      <c r="G32" s="2">
        <f>[1]ישיר!$H36</f>
        <v>520081</v>
      </c>
      <c r="H32" s="2">
        <f>[1]ישיר!$I36</f>
        <v>148774</v>
      </c>
      <c r="I32" s="2">
        <f>-1*[1]ישיר!$J36</f>
        <v>-3396</v>
      </c>
      <c r="J32" s="2">
        <f>-1*[1]ישיר!$AG36</f>
        <v>-275386</v>
      </c>
      <c r="K32" s="1">
        <f>-1*[1]ישיר!$AK36</f>
        <v>-9708</v>
      </c>
      <c r="L32" s="2">
        <f>-1*[1]ישיר!$Z36</f>
        <v>-72304</v>
      </c>
      <c r="M32" s="2">
        <f>[1]ישיר!$Y36</f>
        <v>471606</v>
      </c>
    </row>
    <row r="33" spans="1:13" x14ac:dyDescent="0.2">
      <c r="A33" s="26">
        <v>36008</v>
      </c>
      <c r="B33" s="2">
        <f>[1]ישיר!B37</f>
        <v>5003630</v>
      </c>
      <c r="C33" s="1">
        <f>-1*[1]ישיר!$C37</f>
        <v>-226995</v>
      </c>
      <c r="D33" s="3">
        <f>personal_labor_income_taxes!B33+C33</f>
        <v>4776635</v>
      </c>
      <c r="E33" s="2">
        <f>[1]ישיר!$F37</f>
        <v>3009385</v>
      </c>
      <c r="F33" s="2">
        <f>[1]ישיר!$V37</f>
        <v>2123338</v>
      </c>
      <c r="G33" s="2">
        <f>[1]ישיר!$H37</f>
        <v>354990</v>
      </c>
      <c r="H33" s="2">
        <f>[1]ישיר!$I37</f>
        <v>296086</v>
      </c>
      <c r="I33" s="2">
        <f>-1*[1]ישיר!$J37</f>
        <v>-1890</v>
      </c>
      <c r="J33" s="2">
        <f>-1*[1]ישיר!$AG37</f>
        <v>-138972</v>
      </c>
      <c r="K33" s="1">
        <f>-1*[1]ישיר!$AK37</f>
        <v>-6277</v>
      </c>
      <c r="L33" s="2">
        <f>-1*[1]ישיר!$Z37</f>
        <v>-74550</v>
      </c>
      <c r="M33" s="2">
        <f>[1]ישיר!$Y37</f>
        <v>293010</v>
      </c>
    </row>
    <row r="34" spans="1:13" x14ac:dyDescent="0.2">
      <c r="A34" s="26">
        <v>36039</v>
      </c>
      <c r="B34" s="2">
        <f>[1]ישיר!B38</f>
        <v>5716289</v>
      </c>
      <c r="C34" s="1">
        <f>-1*[1]ישיר!$C38</f>
        <v>-47602</v>
      </c>
      <c r="D34" s="3">
        <f>personal_labor_income_taxes!B34+C34</f>
        <v>5668687</v>
      </c>
      <c r="E34" s="2">
        <f>[1]ישיר!$F38</f>
        <v>3628280</v>
      </c>
      <c r="F34" s="2">
        <f>[1]ישיר!$V38</f>
        <v>2708394</v>
      </c>
      <c r="G34" s="2">
        <f>[1]ישיר!$H38</f>
        <v>510115</v>
      </c>
      <c r="H34" s="2">
        <f>[1]ישיר!$I38</f>
        <v>231528</v>
      </c>
      <c r="I34" s="2">
        <f>-1*[1]ישיר!$J38</f>
        <v>-4105</v>
      </c>
      <c r="J34" s="2">
        <f>-1*[1]ישיר!$AG38</f>
        <v>-27234</v>
      </c>
      <c r="K34" s="1">
        <f>-1*[1]ישיר!$AK38</f>
        <v>-49</v>
      </c>
      <c r="L34" s="2">
        <f>-1*[1]ישיר!$Z38</f>
        <v>-81261</v>
      </c>
      <c r="M34" s="2">
        <f>[1]ישיר!$Y38</f>
        <v>319074</v>
      </c>
    </row>
    <row r="35" spans="1:13" x14ac:dyDescent="0.2">
      <c r="A35" s="26">
        <v>36069</v>
      </c>
      <c r="B35" s="2">
        <f>[1]ישיר!B39</f>
        <v>6181019</v>
      </c>
      <c r="C35" s="1">
        <f>-1*[1]ישיר!$C39</f>
        <v>-253617</v>
      </c>
      <c r="D35" s="3">
        <f>personal_labor_income_taxes!B35+C35</f>
        <v>5927402</v>
      </c>
      <c r="E35" s="2">
        <f>[1]ישיר!$F39</f>
        <v>4398952</v>
      </c>
      <c r="F35" s="2">
        <f>[1]ישיר!$V39</f>
        <v>3081338</v>
      </c>
      <c r="G35" s="2">
        <f>[1]ישיר!$H39</f>
        <v>347183</v>
      </c>
      <c r="H35" s="2">
        <f>[1]ישיר!$I39</f>
        <v>118040</v>
      </c>
      <c r="I35" s="2">
        <f>-1*[1]ישיר!$J39</f>
        <v>-4682</v>
      </c>
      <c r="J35" s="2">
        <f>-1*[1]ישיר!$AG39</f>
        <v>-111938</v>
      </c>
      <c r="K35" s="1">
        <f>-1*[1]ישיר!$AK39</f>
        <v>-8254</v>
      </c>
      <c r="L35" s="2">
        <f>-1*[1]ישיר!$Z39</f>
        <v>-92750</v>
      </c>
      <c r="M35" s="2">
        <f>[1]ישיר!$Y39</f>
        <v>677304</v>
      </c>
    </row>
    <row r="36" spans="1:13" x14ac:dyDescent="0.2">
      <c r="A36" s="26">
        <v>36100</v>
      </c>
      <c r="B36" s="2">
        <f>[1]ישיר!B40</f>
        <v>5800693</v>
      </c>
      <c r="C36" s="1">
        <f>-1*[1]ישיר!$C40</f>
        <v>-921179</v>
      </c>
      <c r="D36" s="3">
        <f>personal_labor_income_taxes!B36+C36</f>
        <v>4879514</v>
      </c>
      <c r="E36" s="2">
        <f>[1]ישיר!$F40</f>
        <v>3637059</v>
      </c>
      <c r="F36" s="2">
        <f>[1]ישיר!$V40</f>
        <v>2747922</v>
      </c>
      <c r="G36" s="2">
        <f>[1]ישיר!$H40</f>
        <v>528238</v>
      </c>
      <c r="H36" s="2">
        <f>[1]ישיר!$I40</f>
        <v>136909</v>
      </c>
      <c r="I36" s="2">
        <f>-1*[1]ישיר!$J40</f>
        <v>-8953</v>
      </c>
      <c r="J36" s="2">
        <f>-1*[1]ישיר!$AG40</f>
        <v>-347601</v>
      </c>
      <c r="K36" s="1">
        <f>-1*[1]ישיר!$AK40</f>
        <v>-6269</v>
      </c>
      <c r="L36" s="2">
        <f>-1*[1]ישיר!$Z40</f>
        <v>-82307</v>
      </c>
      <c r="M36" s="2">
        <f>[1]ישיר!$Y40</f>
        <v>376458</v>
      </c>
    </row>
    <row r="37" spans="1:13" x14ac:dyDescent="0.2">
      <c r="A37" s="26">
        <v>36130</v>
      </c>
      <c r="B37" s="2">
        <f>[1]ישיר!B41</f>
        <v>5622840</v>
      </c>
      <c r="C37" s="1">
        <f>-1*[1]ישיר!$C41</f>
        <v>-744505</v>
      </c>
      <c r="D37" s="3">
        <f>personal_labor_income_taxes!B37+C37</f>
        <v>4878335</v>
      </c>
      <c r="E37" s="2">
        <f>[1]ישיר!$F41</f>
        <v>3726834</v>
      </c>
      <c r="F37" s="2">
        <f>[1]ישיר!$V41</f>
        <v>2720132</v>
      </c>
      <c r="G37" s="2">
        <f>[1]ישיר!$H41</f>
        <v>340827</v>
      </c>
      <c r="H37" s="2">
        <f>[1]ישיר!$I41</f>
        <v>157047</v>
      </c>
      <c r="I37" s="2">
        <f>-1*[1]ישיר!$J41</f>
        <v>-7430</v>
      </c>
      <c r="J37" s="2">
        <f>-1*[1]ישיר!$AG41</f>
        <v>-260048</v>
      </c>
      <c r="K37" s="1">
        <f>-1*[1]ישיר!$AK41</f>
        <v>-14035</v>
      </c>
      <c r="L37" s="2">
        <f>-1*[1]ישיר!$Z41</f>
        <v>-87651</v>
      </c>
      <c r="M37" s="2">
        <f>[1]ישיר!$Y41</f>
        <v>402393</v>
      </c>
    </row>
    <row r="38" spans="1:13" x14ac:dyDescent="0.2">
      <c r="A38" s="26">
        <v>36161</v>
      </c>
      <c r="B38" s="2">
        <f>[1]ישיר!B42</f>
        <v>6329963</v>
      </c>
      <c r="C38" s="1">
        <f>-1*[1]ישיר!$C42</f>
        <v>-416200</v>
      </c>
      <c r="D38" s="3">
        <f>personal_labor_income_taxes!B38+C38</f>
        <v>5913763</v>
      </c>
      <c r="E38" s="2">
        <f>[1]ישיר!$F42</f>
        <v>4317070</v>
      </c>
      <c r="F38" s="2">
        <f>[1]ישיר!$V42</f>
        <v>3104235</v>
      </c>
      <c r="G38" s="2">
        <f>[1]ישיר!$H42</f>
        <v>5191</v>
      </c>
      <c r="H38" s="2">
        <f>[1]ישיר!$I42</f>
        <v>678773</v>
      </c>
      <c r="I38" s="2">
        <f>-1*[1]ישיר!$J42</f>
        <v>-4323</v>
      </c>
      <c r="J38" s="2">
        <f>-1*[1]ישיר!$AG42</f>
        <v>-130263</v>
      </c>
      <c r="K38" s="1">
        <f>-1*[1]ישיר!$AK42</f>
        <v>-7098</v>
      </c>
      <c r="L38" s="2">
        <f>-1*[1]ישיר!$Z42</f>
        <v>-75620</v>
      </c>
      <c r="M38" s="2">
        <f>[1]ישיר!$Y42</f>
        <v>507778</v>
      </c>
    </row>
    <row r="39" spans="1:13" x14ac:dyDescent="0.2">
      <c r="A39" s="26">
        <v>36192</v>
      </c>
      <c r="B39" s="2">
        <f>[1]ישיר!B43</f>
        <v>6102266</v>
      </c>
      <c r="C39" s="1">
        <f>-1*[1]ישיר!$C43</f>
        <v>-539823</v>
      </c>
      <c r="D39" s="3">
        <f>personal_labor_income_taxes!B39+C39</f>
        <v>5562443</v>
      </c>
      <c r="E39" s="2">
        <f>[1]ישיר!$F43</f>
        <v>3912272</v>
      </c>
      <c r="F39" s="2">
        <f>[1]ישיר!$V43</f>
        <v>2961786</v>
      </c>
      <c r="G39" s="2">
        <f>[1]ישיר!$H43</f>
        <v>349093</v>
      </c>
      <c r="H39" s="2">
        <f>[1]ישיר!$I43</f>
        <v>215736</v>
      </c>
      <c r="I39" s="2">
        <f>-1*[1]ישיר!$J43</f>
        <v>-6014</v>
      </c>
      <c r="J39" s="2">
        <f>-1*[1]ישיר!$AG43</f>
        <v>-138169</v>
      </c>
      <c r="K39" s="1">
        <f>-1*[1]ישיר!$AK43</f>
        <v>-4657</v>
      </c>
      <c r="L39" s="2">
        <f>-1*[1]ישיר!$Z43</f>
        <v>-80920</v>
      </c>
      <c r="M39" s="2">
        <f>[1]ישיר!$Y43</f>
        <v>386127</v>
      </c>
    </row>
    <row r="40" spans="1:13" x14ac:dyDescent="0.2">
      <c r="A40" s="26">
        <v>36220</v>
      </c>
      <c r="B40" s="2">
        <f>[1]ישיר!B44</f>
        <v>5813805</v>
      </c>
      <c r="C40" s="1">
        <f>-1*[1]ישיר!$C44</f>
        <v>-667987</v>
      </c>
      <c r="D40" s="3">
        <f>personal_labor_income_taxes!B40+C40</f>
        <v>5145818</v>
      </c>
      <c r="E40" s="2">
        <f>[1]ישיר!$F44</f>
        <v>3705328</v>
      </c>
      <c r="F40" s="2">
        <f>[1]ישיר!$V44</f>
        <v>2797389</v>
      </c>
      <c r="G40" s="2">
        <f>[1]ישיר!$H44</f>
        <v>481894</v>
      </c>
      <c r="H40" s="2">
        <f>[1]ישיר!$I44</f>
        <v>190531</v>
      </c>
      <c r="I40" s="2">
        <f>-1*[1]ישיר!$J44</f>
        <v>-4545</v>
      </c>
      <c r="J40" s="2">
        <f>-1*[1]ישיר!$AG44</f>
        <v>-100433</v>
      </c>
      <c r="K40" s="1">
        <f>-1*[1]ישיר!$AK44</f>
        <v>-5937</v>
      </c>
      <c r="L40" s="2">
        <f>-1*[1]ישיר!$Z44</f>
        <v>-79694</v>
      </c>
      <c r="M40" s="2">
        <f>[1]ישיר!$Y44</f>
        <v>364844</v>
      </c>
    </row>
    <row r="41" spans="1:13" x14ac:dyDescent="0.2">
      <c r="A41" s="26">
        <v>36251</v>
      </c>
      <c r="B41" s="2">
        <f>[1]ישיר!B45</f>
        <v>5769936</v>
      </c>
      <c r="C41" s="1">
        <f>-1*[1]ישיר!$C45</f>
        <v>-280516</v>
      </c>
      <c r="D41" s="3">
        <f>personal_labor_income_taxes!B41+C41</f>
        <v>5489420</v>
      </c>
      <c r="E41" s="2">
        <f>[1]ישיר!$F45</f>
        <v>3817241</v>
      </c>
      <c r="F41" s="2">
        <f>[1]ישיר!$V45</f>
        <v>2886658</v>
      </c>
      <c r="G41" s="2">
        <f>[1]ישיר!$H45</f>
        <v>353075</v>
      </c>
      <c r="H41" s="2">
        <f>[1]ישיר!$I45</f>
        <v>123346</v>
      </c>
      <c r="I41" s="2">
        <f>-1*[1]ישיר!$J45</f>
        <v>-4963</v>
      </c>
      <c r="J41" s="2">
        <f>-1*[1]ישיר!$AG45</f>
        <v>-63504</v>
      </c>
      <c r="K41" s="1">
        <f>-1*[1]ישיר!$AK45</f>
        <v>-8938</v>
      </c>
      <c r="L41" s="2">
        <f>-1*[1]ישיר!$Z45</f>
        <v>-82891</v>
      </c>
      <c r="M41" s="2">
        <f>[1]ישיר!$Y45</f>
        <v>330847</v>
      </c>
    </row>
    <row r="42" spans="1:13" x14ac:dyDescent="0.2">
      <c r="A42" s="26">
        <v>36281</v>
      </c>
      <c r="B42" s="2">
        <f>[1]ישיר!B46</f>
        <v>6712673</v>
      </c>
      <c r="C42" s="1">
        <f>-1*[1]ישיר!$C46</f>
        <v>-310387</v>
      </c>
      <c r="D42" s="3">
        <f>personal_labor_income_taxes!B42+C42</f>
        <v>6402286</v>
      </c>
      <c r="E42" s="2">
        <f>[1]ישיר!$F46</f>
        <v>4419822</v>
      </c>
      <c r="F42" s="2">
        <f>[1]ישיר!$V46</f>
        <v>3484795</v>
      </c>
      <c r="G42" s="2">
        <f>[1]ישיר!$H46</f>
        <v>532466</v>
      </c>
      <c r="H42" s="2">
        <f>[1]ישיר!$I46</f>
        <v>225771</v>
      </c>
      <c r="I42" s="2">
        <f>-1*[1]ישיר!$J46</f>
        <v>-5981</v>
      </c>
      <c r="J42" s="2">
        <f>-1*[1]ישיר!$AG46</f>
        <v>-120381</v>
      </c>
      <c r="K42" s="1">
        <f>-1*[1]ישיר!$AK46</f>
        <v>-11809</v>
      </c>
      <c r="L42" s="2">
        <f>-1*[1]ישיר!$Z46</f>
        <v>-146625</v>
      </c>
      <c r="M42" s="2">
        <f>[1]ישיר!$Y46</f>
        <v>295915</v>
      </c>
    </row>
    <row r="43" spans="1:13" x14ac:dyDescent="0.2">
      <c r="A43" s="26">
        <v>36312</v>
      </c>
      <c r="B43" s="2">
        <f>[1]ישיר!B47</f>
        <v>6124261</v>
      </c>
      <c r="C43" s="1">
        <f>-1*[1]ישיר!$C47</f>
        <v>-565552</v>
      </c>
      <c r="D43" s="3">
        <f>personal_labor_income_taxes!B43+C43</f>
        <v>5558709</v>
      </c>
      <c r="E43" s="2">
        <f>[1]ישיר!$F47</f>
        <v>3661045</v>
      </c>
      <c r="F43" s="2">
        <f>[1]ישיר!$V47</f>
        <v>2712433</v>
      </c>
      <c r="G43" s="2">
        <f>[1]ישיר!$H47</f>
        <v>361741</v>
      </c>
      <c r="H43" s="2">
        <f>[1]ישיר!$I47</f>
        <v>310925</v>
      </c>
      <c r="I43" s="2">
        <f>-1*[1]ישיר!$J47</f>
        <v>-5416</v>
      </c>
      <c r="J43" s="2">
        <f>-1*[1]ישיר!$AG47</f>
        <v>-266369</v>
      </c>
      <c r="K43" s="1">
        <f>-1*[1]ישיר!$AK47</f>
        <v>-5261</v>
      </c>
      <c r="L43" s="2">
        <f>-1*[1]ישיר!$Z47</f>
        <v>-105374</v>
      </c>
      <c r="M43" s="2">
        <f>[1]ישיר!$Y47</f>
        <v>285251</v>
      </c>
    </row>
    <row r="44" spans="1:13" x14ac:dyDescent="0.2">
      <c r="A44" s="26">
        <v>36342</v>
      </c>
      <c r="B44" s="2">
        <f>[1]ישיר!B48</f>
        <v>7205185</v>
      </c>
      <c r="C44" s="1">
        <f>-1*[1]ישיר!$C48</f>
        <v>-732897</v>
      </c>
      <c r="D44" s="3">
        <f>personal_labor_income_taxes!B44+C44</f>
        <v>6472288</v>
      </c>
      <c r="E44" s="2">
        <f>[1]ישיר!$F48</f>
        <v>4582114</v>
      </c>
      <c r="F44" s="2">
        <f>[1]ישיר!$V48</f>
        <v>3569950</v>
      </c>
      <c r="G44" s="2">
        <f>[1]ישיר!$H48</f>
        <v>532234</v>
      </c>
      <c r="H44" s="2">
        <f>[1]ישיר!$I48</f>
        <v>482430</v>
      </c>
      <c r="I44" s="2">
        <f>-1*[1]ישיר!$J48</f>
        <v>-5374</v>
      </c>
      <c r="J44" s="2">
        <f>-1*[1]ישיר!$AG48</f>
        <v>-292361</v>
      </c>
      <c r="K44" s="1">
        <f>-1*[1]ישיר!$AK48</f>
        <v>-5804</v>
      </c>
      <c r="L44" s="2">
        <f>-1*[1]ישיר!$Z48</f>
        <v>-108960</v>
      </c>
      <c r="M44" s="2">
        <f>[1]ישיר!$Y48</f>
        <v>375295</v>
      </c>
    </row>
    <row r="45" spans="1:13" x14ac:dyDescent="0.2">
      <c r="A45" s="26">
        <v>36373</v>
      </c>
      <c r="B45" s="2">
        <f>[1]ישיר!B49</f>
        <v>6273720</v>
      </c>
      <c r="C45" s="1">
        <f>-1*[1]ישיר!$C49</f>
        <v>-572022</v>
      </c>
      <c r="D45" s="3">
        <f>personal_labor_income_taxes!B45+C45</f>
        <v>5701698</v>
      </c>
      <c r="E45" s="2">
        <f>[1]ישיר!$F49</f>
        <v>4045610</v>
      </c>
      <c r="F45" s="2">
        <f>[1]ישיר!$V49</f>
        <v>3115631</v>
      </c>
      <c r="G45" s="2">
        <f>[1]ישיר!$H49</f>
        <v>389926</v>
      </c>
      <c r="H45" s="2">
        <f>[1]ישיר!$I49</f>
        <v>210944</v>
      </c>
      <c r="I45" s="2">
        <f>-1*[1]ישיר!$J49</f>
        <v>-4153</v>
      </c>
      <c r="J45" s="2">
        <f>-1*[1]ישיר!$AG49</f>
        <v>-304287</v>
      </c>
      <c r="K45" s="1">
        <f>-1*[1]ישיר!$AK49</f>
        <v>-7169</v>
      </c>
      <c r="L45" s="2">
        <f>-1*[1]ישיר!$Z49</f>
        <v>-105252</v>
      </c>
      <c r="M45" s="2">
        <f>[1]ישיר!$Y49</f>
        <v>329899</v>
      </c>
    </row>
    <row r="46" spans="1:13" x14ac:dyDescent="0.2">
      <c r="A46" s="26">
        <v>36404</v>
      </c>
      <c r="B46" s="2">
        <f>[1]ישיר!B50</f>
        <v>6088800</v>
      </c>
      <c r="C46" s="1">
        <f>-1*[1]ישיר!$C50</f>
        <v>-467816</v>
      </c>
      <c r="D46" s="3">
        <f>personal_labor_income_taxes!B46+C46</f>
        <v>5620984</v>
      </c>
      <c r="E46" s="2">
        <f>[1]ישיר!$F50</f>
        <v>3437384</v>
      </c>
      <c r="F46" s="2">
        <f>[1]ישיר!$V50</f>
        <v>2774006</v>
      </c>
      <c r="G46" s="2">
        <f>[1]ישיר!$H50</f>
        <v>596968</v>
      </c>
      <c r="H46" s="2">
        <f>[1]ישיר!$I50</f>
        <v>207768</v>
      </c>
      <c r="I46" s="2">
        <f>-1*[1]ישיר!$J50</f>
        <v>-4059</v>
      </c>
      <c r="J46" s="2">
        <f>-1*[1]ישיר!$AG50</f>
        <v>-193985</v>
      </c>
      <c r="K46" s="1">
        <f>-1*[1]ישיר!$AK50</f>
        <v>-6048</v>
      </c>
      <c r="L46" s="2">
        <f>-1*[1]ישיר!$Z50</f>
        <v>-99635</v>
      </c>
      <c r="M46" s="2">
        <f>[1]ישיר!$Y50</f>
        <v>157495</v>
      </c>
    </row>
    <row r="47" spans="1:13" x14ac:dyDescent="0.2">
      <c r="A47" s="26">
        <v>36434</v>
      </c>
      <c r="B47" s="2">
        <f>[1]ישיר!B51</f>
        <v>6834784</v>
      </c>
      <c r="C47" s="1">
        <f>-1*[1]ישיר!$C51</f>
        <v>-686688</v>
      </c>
      <c r="D47" s="3">
        <f>personal_labor_income_taxes!B47+C47</f>
        <v>6148096</v>
      </c>
      <c r="E47" s="2">
        <f>[1]ישיר!$F51</f>
        <v>4596640</v>
      </c>
      <c r="F47" s="2">
        <f>[1]ישיר!$V51</f>
        <v>3460834</v>
      </c>
      <c r="G47" s="2">
        <f>[1]ישיר!$H51</f>
        <v>365883</v>
      </c>
      <c r="H47" s="2">
        <f>[1]ישיר!$I51</f>
        <v>213514</v>
      </c>
      <c r="I47" s="2">
        <f>-1*[1]ישיר!$J51</f>
        <v>-7764</v>
      </c>
      <c r="J47" s="2">
        <f>-1*[1]ישיר!$AG51</f>
        <v>-248432</v>
      </c>
      <c r="K47" s="1">
        <f>-1*[1]ישיר!$AK51</f>
        <v>-4998</v>
      </c>
      <c r="L47" s="2">
        <f>-1*[1]ישיר!$Z51</f>
        <v>-82683</v>
      </c>
      <c r="M47" s="2">
        <f>[1]ישיר!$Y51</f>
        <v>477844</v>
      </c>
    </row>
    <row r="48" spans="1:13" x14ac:dyDescent="0.2">
      <c r="A48" s="26">
        <v>36465</v>
      </c>
      <c r="B48" s="2">
        <f>[1]ישיר!B52</f>
        <v>6318104</v>
      </c>
      <c r="C48" s="1">
        <f>-1*[1]ישיר!$C52</f>
        <v>-505231</v>
      </c>
      <c r="D48" s="3">
        <f>personal_labor_income_taxes!B48+C48</f>
        <v>5812873</v>
      </c>
      <c r="E48" s="2">
        <f>[1]ישיר!$F52</f>
        <v>3823314</v>
      </c>
      <c r="F48" s="2">
        <f>[1]ישיר!$V52</f>
        <v>3029920</v>
      </c>
      <c r="G48" s="2">
        <f>[1]ישיר!$H52</f>
        <v>578233</v>
      </c>
      <c r="H48" s="2">
        <f>[1]ישיר!$I52</f>
        <v>150358</v>
      </c>
      <c r="I48" s="2">
        <f>-1*[1]ישיר!$J52</f>
        <v>-7825</v>
      </c>
      <c r="J48" s="2">
        <f>-1*[1]ישיר!$AG52</f>
        <v>-218981</v>
      </c>
      <c r="K48" s="1">
        <f>-1*[1]ישיר!$AK52</f>
        <v>-5165</v>
      </c>
      <c r="L48" s="2">
        <f>-1*[1]ישיר!$Z52</f>
        <v>-83102</v>
      </c>
      <c r="M48" s="2">
        <f>[1]ישיר!$Y52</f>
        <v>233796</v>
      </c>
    </row>
    <row r="49" spans="1:13" x14ac:dyDescent="0.2">
      <c r="A49" s="26">
        <v>36495</v>
      </c>
      <c r="B49" s="2">
        <f>[1]ישיר!B53</f>
        <v>6862855</v>
      </c>
      <c r="C49" s="1">
        <f>-1*[1]ישיר!$C53</f>
        <v>-1168752</v>
      </c>
      <c r="D49" s="3">
        <f>personal_labor_income_taxes!B49+C49</f>
        <v>5694103</v>
      </c>
      <c r="E49" s="2">
        <f>[1]ישיר!$F53</f>
        <v>4485687</v>
      </c>
      <c r="F49" s="2">
        <f>[1]ישיר!$V53</f>
        <v>3451561</v>
      </c>
      <c r="G49" s="2">
        <f>[1]ישיר!$H53</f>
        <v>364034</v>
      </c>
      <c r="H49" s="2">
        <f>[1]ישיר!$I53</f>
        <v>265776</v>
      </c>
      <c r="I49" s="2">
        <f>-1*[1]ישיר!$J53</f>
        <v>-6995</v>
      </c>
      <c r="J49" s="2">
        <f>-1*[1]ישיר!$AG53</f>
        <v>-193446</v>
      </c>
      <c r="K49" s="1">
        <f>-1*[1]ישיר!$AK53</f>
        <v>-7845</v>
      </c>
      <c r="L49" s="2">
        <f>-1*[1]ישיר!$Z53</f>
        <v>-65333</v>
      </c>
      <c r="M49" s="2">
        <f>[1]ישיר!$Y53</f>
        <v>413710</v>
      </c>
    </row>
    <row r="50" spans="1:13" x14ac:dyDescent="0.2">
      <c r="A50" s="26">
        <v>36526</v>
      </c>
      <c r="B50" s="2">
        <f>[1]ישיר!B54</f>
        <v>7863204</v>
      </c>
      <c r="C50" s="1">
        <f>-1*[1]ישיר!$C54</f>
        <v>-373041</v>
      </c>
      <c r="D50" s="3">
        <f>personal_labor_income_taxes!B50+C50</f>
        <v>7490163</v>
      </c>
      <c r="E50" s="2">
        <f>[1]ישיר!$F54</f>
        <v>5050696</v>
      </c>
      <c r="F50" s="2">
        <f>[1]ישיר!$V54</f>
        <v>4022630</v>
      </c>
      <c r="G50" s="2">
        <f>[1]ישיר!$H54</f>
        <v>4339</v>
      </c>
      <c r="H50" s="2">
        <f>[1]ישיר!$I54</f>
        <v>929820</v>
      </c>
      <c r="I50" s="2">
        <f>-1*[1]ישיר!$J54</f>
        <v>-6380</v>
      </c>
      <c r="J50" s="2">
        <f>-1*[1]ישיר!$AG54</f>
        <v>-122183</v>
      </c>
      <c r="K50" s="1">
        <f>-1*[1]ישיר!$AK54</f>
        <v>-13469</v>
      </c>
      <c r="L50" s="2">
        <f>-1*[1]ישיר!$Z54</f>
        <v>-71263</v>
      </c>
      <c r="M50" s="2">
        <f>[1]ישיר!$Y54</f>
        <v>355581</v>
      </c>
    </row>
    <row r="51" spans="1:13" x14ac:dyDescent="0.2">
      <c r="A51" s="26">
        <v>36557</v>
      </c>
      <c r="B51" s="2">
        <f>[1]ישיר!B55</f>
        <v>7782236</v>
      </c>
      <c r="C51" s="1">
        <f>-1*[1]ישיר!$C55</f>
        <v>-421943</v>
      </c>
      <c r="D51" s="3">
        <f>personal_labor_income_taxes!B51+C51</f>
        <v>7360293</v>
      </c>
      <c r="E51" s="2">
        <f>[1]ישיר!$F55</f>
        <v>4671984</v>
      </c>
      <c r="F51" s="2">
        <f>[1]ישיר!$V55</f>
        <v>3658159</v>
      </c>
      <c r="G51" s="2">
        <f>[1]ישיר!$H55</f>
        <v>363724</v>
      </c>
      <c r="H51" s="2">
        <f>[1]ישיר!$I55</f>
        <v>238970</v>
      </c>
      <c r="I51" s="2">
        <f>-1*[1]ישיר!$J55</f>
        <v>-6686</v>
      </c>
      <c r="J51" s="2">
        <f>-1*[1]ישיר!$AG55</f>
        <v>-106487</v>
      </c>
      <c r="K51" s="1">
        <f>-1*[1]ישיר!$AK55</f>
        <v>-6773</v>
      </c>
      <c r="L51" s="2">
        <f>-1*[1]ישיר!$Z55</f>
        <v>-70284</v>
      </c>
      <c r="M51" s="2">
        <f>[1]ישיר!$Y55</f>
        <v>362326</v>
      </c>
    </row>
    <row r="52" spans="1:13" x14ac:dyDescent="0.2">
      <c r="A52" s="26">
        <v>36586</v>
      </c>
      <c r="B52" s="2">
        <f>[1]ישיר!B56</f>
        <v>7426821</v>
      </c>
      <c r="C52" s="1">
        <f>-1*[1]ישיר!$C56</f>
        <v>-352591</v>
      </c>
      <c r="D52" s="3">
        <f>personal_labor_income_taxes!B52+C52</f>
        <v>7074230</v>
      </c>
      <c r="E52" s="2">
        <f>[1]ישיר!$F56</f>
        <v>4738919</v>
      </c>
      <c r="F52" s="2">
        <f>[1]ישיר!$V56</f>
        <v>3819638</v>
      </c>
      <c r="G52" s="2">
        <f>[1]ישיר!$H56</f>
        <v>558278</v>
      </c>
      <c r="H52" s="2">
        <f>[1]ישיר!$I56</f>
        <v>213534</v>
      </c>
      <c r="I52" s="2">
        <f>-1*[1]ישיר!$J56</f>
        <v>-6399</v>
      </c>
      <c r="J52" s="2">
        <f>-1*[1]ישיר!$AG56</f>
        <v>-102308</v>
      </c>
      <c r="K52" s="1">
        <f>-1*[1]ישיר!$AK56</f>
        <v>-8075</v>
      </c>
      <c r="L52" s="2">
        <f>-1*[1]ישיר!$Z56</f>
        <v>-64407</v>
      </c>
      <c r="M52" s="2">
        <f>[1]ישיר!$Y56</f>
        <v>306696</v>
      </c>
    </row>
    <row r="53" spans="1:13" x14ac:dyDescent="0.2">
      <c r="A53" s="26">
        <v>36617</v>
      </c>
      <c r="B53" s="2">
        <f>[1]ישיר!B57</f>
        <v>6697417</v>
      </c>
      <c r="C53" s="1">
        <f>-1*[1]ישיר!$C57</f>
        <v>-211571</v>
      </c>
      <c r="D53" s="3">
        <f>personal_labor_income_taxes!B53+C53</f>
        <v>6485846</v>
      </c>
      <c r="E53" s="2">
        <f>[1]ישיר!$F57</f>
        <v>3996389</v>
      </c>
      <c r="F53" s="2">
        <f>[1]ישיר!$V57</f>
        <v>3223902</v>
      </c>
      <c r="G53" s="2">
        <f>[1]ישיר!$H57</f>
        <v>347805</v>
      </c>
      <c r="H53" s="2">
        <f>[1]ישיר!$I57</f>
        <v>393020</v>
      </c>
      <c r="I53" s="2">
        <f>-1*[1]ישיר!$J57</f>
        <v>-2524</v>
      </c>
      <c r="J53" s="2">
        <f>-1*[1]ישיר!$AG57</f>
        <v>-60260</v>
      </c>
      <c r="K53" s="1">
        <f>-1*[1]ישיר!$AK57</f>
        <v>-5105</v>
      </c>
      <c r="L53" s="2">
        <f>-1*[1]ישיר!$Z57</f>
        <v>-89032</v>
      </c>
      <c r="M53" s="2">
        <f>[1]ישיר!$Y57</f>
        <v>157446</v>
      </c>
    </row>
    <row r="54" spans="1:13" x14ac:dyDescent="0.2">
      <c r="A54" s="26">
        <v>36647</v>
      </c>
      <c r="B54" s="2">
        <f>[1]ישיר!B58</f>
        <v>8622891</v>
      </c>
      <c r="C54" s="1">
        <f>-1*[1]ישיר!$C58</f>
        <v>-395440</v>
      </c>
      <c r="D54" s="3">
        <f>personal_labor_income_taxes!B54+C54</f>
        <v>8227451</v>
      </c>
      <c r="E54" s="2">
        <f>[1]ישיר!$F58</f>
        <v>5641987</v>
      </c>
      <c r="F54" s="2">
        <f>[1]ישיר!$V58</f>
        <v>4555049</v>
      </c>
      <c r="G54" s="2">
        <f>[1]ישיר!$H58</f>
        <v>540585</v>
      </c>
      <c r="H54" s="2">
        <f>[1]ישיר!$I58</f>
        <v>318647</v>
      </c>
      <c r="I54" s="2">
        <f>-1*[1]ישיר!$J58</f>
        <v>-7564</v>
      </c>
      <c r="J54" s="2">
        <f>-1*[1]ישיר!$AG58</f>
        <v>-164065</v>
      </c>
      <c r="K54" s="1">
        <f>-1*[1]ישיר!$AK58</f>
        <v>-9303</v>
      </c>
      <c r="L54" s="2">
        <f>-1*[1]ישיר!$Z58</f>
        <v>-112236</v>
      </c>
      <c r="M54" s="2">
        <f>[1]ישיר!$Y58</f>
        <v>497203</v>
      </c>
    </row>
    <row r="55" spans="1:13" x14ac:dyDescent="0.2">
      <c r="A55" s="26">
        <v>36678</v>
      </c>
      <c r="B55" s="2">
        <f>[1]ישיר!B59</f>
        <v>7337246</v>
      </c>
      <c r="C55" s="1">
        <f>-1*[1]ישיר!$C59</f>
        <v>-414781</v>
      </c>
      <c r="D55" s="3">
        <f>personal_labor_income_taxes!B55+C55</f>
        <v>6922465</v>
      </c>
      <c r="E55" s="2">
        <f>[1]ישיר!$F59</f>
        <v>4164912</v>
      </c>
      <c r="F55" s="2">
        <f>[1]ישיר!$V59</f>
        <v>3347237</v>
      </c>
      <c r="G55" s="2">
        <f>[1]ישיר!$H59</f>
        <v>374856</v>
      </c>
      <c r="H55" s="2">
        <f>[1]ישיר!$I59</f>
        <v>498622</v>
      </c>
      <c r="I55" s="2">
        <f>-1*[1]ישיר!$J59</f>
        <v>-7566</v>
      </c>
      <c r="J55" s="2">
        <f>-1*[1]ישיר!$AG59</f>
        <v>-250700</v>
      </c>
      <c r="K55" s="1">
        <f>-1*[1]ישיר!$AK59</f>
        <v>-20656</v>
      </c>
      <c r="L55" s="2">
        <f>-1*[1]ישיר!$Z59</f>
        <v>-73963</v>
      </c>
      <c r="M55" s="2">
        <f>[1]ישיר!$Y59</f>
        <v>386344</v>
      </c>
    </row>
    <row r="56" spans="1:13" x14ac:dyDescent="0.2">
      <c r="A56" s="26">
        <v>36708</v>
      </c>
      <c r="B56" s="2">
        <f>[1]ישיר!B60</f>
        <v>7709586</v>
      </c>
      <c r="C56" s="1">
        <f>-1*[1]ישיר!$C60</f>
        <v>-465625</v>
      </c>
      <c r="D56" s="3">
        <f>personal_labor_income_taxes!B56+C56</f>
        <v>7243961</v>
      </c>
      <c r="E56" s="2">
        <f>[1]ישיר!$F60</f>
        <v>4980500</v>
      </c>
      <c r="F56" s="2">
        <f>[1]ישיר!$V60</f>
        <v>4037888</v>
      </c>
      <c r="G56" s="2">
        <f>[1]ישיר!$H60</f>
        <v>593135</v>
      </c>
      <c r="H56" s="2">
        <f>[1]ישיר!$I60</f>
        <v>240287</v>
      </c>
      <c r="I56" s="2">
        <f>-1*[1]ישיר!$J60</f>
        <v>-4635</v>
      </c>
      <c r="J56" s="2">
        <f>-1*[1]ישיר!$AG60</f>
        <v>-264888</v>
      </c>
      <c r="K56" s="1">
        <f>-1*[1]ישיר!$AK60</f>
        <v>-11722</v>
      </c>
      <c r="L56" s="2">
        <f>-1*[1]ישיר!$Z60</f>
        <v>-98144</v>
      </c>
      <c r="M56" s="2">
        <f>[1]ישיר!$Y60</f>
        <v>368442</v>
      </c>
    </row>
    <row r="57" spans="1:13" x14ac:dyDescent="0.2">
      <c r="A57" s="26">
        <v>36739</v>
      </c>
      <c r="B57" s="2">
        <f>[1]ישיר!B61</f>
        <v>7628842</v>
      </c>
      <c r="C57" s="1">
        <f>-1*[1]ישיר!$C61</f>
        <v>-562221</v>
      </c>
      <c r="D57" s="3">
        <f>personal_labor_income_taxes!B57+C57</f>
        <v>7066621</v>
      </c>
      <c r="E57" s="2">
        <f>[1]ישיר!$F61</f>
        <v>4750559</v>
      </c>
      <c r="F57" s="2">
        <f>[1]ישיר!$V61</f>
        <v>3770053</v>
      </c>
      <c r="G57" s="2">
        <f>[1]ישיר!$H61</f>
        <v>413464</v>
      </c>
      <c r="H57" s="2">
        <f>[1]ישיר!$I61</f>
        <v>217431</v>
      </c>
      <c r="I57" s="2">
        <f>-1*[1]ישיר!$J61</f>
        <v>-2402</v>
      </c>
      <c r="J57" s="2">
        <f>-1*[1]ישיר!$AG61</f>
        <v>-288636</v>
      </c>
      <c r="K57" s="1">
        <f>-1*[1]ישיר!$AK61</f>
        <v>-9456</v>
      </c>
      <c r="L57" s="2">
        <f>-1*[1]ישיר!$Z61</f>
        <v>-87383</v>
      </c>
      <c r="M57" s="2">
        <f>[1]ישיר!$Y61</f>
        <v>373167</v>
      </c>
    </row>
    <row r="58" spans="1:13" x14ac:dyDescent="0.2">
      <c r="A58" s="26">
        <v>36770</v>
      </c>
      <c r="B58" s="2">
        <f>[1]ישיר!B62</f>
        <v>7744433</v>
      </c>
      <c r="C58" s="1">
        <f>-1*[1]ישיר!$C62</f>
        <v>-477180</v>
      </c>
      <c r="D58" s="3">
        <f>personal_labor_income_taxes!B58+C58</f>
        <v>7267253</v>
      </c>
      <c r="E58" s="2">
        <f>[1]ישיר!$F62</f>
        <v>4879029</v>
      </c>
      <c r="F58" s="2">
        <f>[1]ישיר!$V62</f>
        <v>3966152</v>
      </c>
      <c r="G58" s="2">
        <f>[1]ישיר!$H62</f>
        <v>607689</v>
      </c>
      <c r="H58" s="2">
        <f>[1]ישיר!$I62</f>
        <v>227803</v>
      </c>
      <c r="I58" s="2">
        <f>-1*[1]ישיר!$J62</f>
        <v>-8632</v>
      </c>
      <c r="J58" s="2">
        <f>-1*[1]ישיר!$AG62</f>
        <v>-253299</v>
      </c>
      <c r="K58" s="1">
        <f>-1*[1]ישיר!$AK62</f>
        <v>-9694</v>
      </c>
      <c r="L58" s="2">
        <f>-1*[1]ישיר!$Z62</f>
        <v>-87444</v>
      </c>
      <c r="M58" s="2">
        <f>[1]ישיר!$Y62</f>
        <v>351878</v>
      </c>
    </row>
    <row r="59" spans="1:13" x14ac:dyDescent="0.2">
      <c r="A59" s="26">
        <v>36800</v>
      </c>
      <c r="B59" s="2">
        <f>[1]ישיר!B63</f>
        <v>7479394</v>
      </c>
      <c r="C59" s="1">
        <f>-1*[1]ישיר!$C63</f>
        <v>-406811</v>
      </c>
      <c r="D59" s="3">
        <f>personal_labor_income_taxes!B59+C59</f>
        <v>7072583</v>
      </c>
      <c r="E59" s="2">
        <f>[1]ישיר!$F63</f>
        <v>4761403</v>
      </c>
      <c r="F59" s="2">
        <f>[1]ישיר!$V63</f>
        <v>3833142</v>
      </c>
      <c r="G59" s="2">
        <f>[1]ישיר!$H63</f>
        <v>359133</v>
      </c>
      <c r="H59" s="2">
        <f>[1]ישיר!$I63</f>
        <v>316703</v>
      </c>
      <c r="I59" s="2">
        <f>-1*[1]ישיר!$J63</f>
        <v>-4470</v>
      </c>
      <c r="J59" s="2">
        <f>-1*[1]ישיר!$AG63</f>
        <v>-171104</v>
      </c>
      <c r="K59" s="1">
        <f>-1*[1]ישיר!$AK63</f>
        <v>-12375</v>
      </c>
      <c r="L59" s="2">
        <f>-1*[1]ישיר!$Z63</f>
        <v>-90768</v>
      </c>
      <c r="M59" s="2">
        <f>[1]ישיר!$Y63</f>
        <v>328275</v>
      </c>
    </row>
    <row r="60" spans="1:13" x14ac:dyDescent="0.2">
      <c r="A60" s="26">
        <v>36831</v>
      </c>
      <c r="B60" s="2">
        <f>[1]ישיר!B64</f>
        <v>7764650</v>
      </c>
      <c r="C60" s="1">
        <f>-1*[1]ישיר!$C64</f>
        <v>-503295</v>
      </c>
      <c r="D60" s="3">
        <f>personal_labor_income_taxes!B60+C60</f>
        <v>7261355</v>
      </c>
      <c r="E60" s="2">
        <f>[1]ישיר!$F64</f>
        <v>5020664</v>
      </c>
      <c r="F60" s="2">
        <f>[1]ישיר!$V64</f>
        <v>4019317</v>
      </c>
      <c r="G60" s="2">
        <f>[1]ישיר!$H64</f>
        <v>588437</v>
      </c>
      <c r="H60" s="2">
        <f>[1]ישיר!$I64</f>
        <v>221470</v>
      </c>
      <c r="I60" s="2">
        <f>-1*[1]ישיר!$J64</f>
        <v>-7914</v>
      </c>
      <c r="J60" s="2">
        <f>-1*[1]ישיר!$AG64</f>
        <v>-206433</v>
      </c>
      <c r="K60" s="1">
        <f>-1*[1]ישיר!$AK64</f>
        <v>-9982</v>
      </c>
      <c r="L60" s="2">
        <f>-1*[1]ישיר!$Z64</f>
        <v>-94393</v>
      </c>
      <c r="M60" s="2">
        <f>[1]ישיר!$Y64</f>
        <v>398726</v>
      </c>
    </row>
    <row r="61" spans="1:13" x14ac:dyDescent="0.2">
      <c r="A61" s="26">
        <v>36861</v>
      </c>
      <c r="B61" s="2">
        <f>[1]ישיר!B65</f>
        <v>6497909</v>
      </c>
      <c r="C61" s="1">
        <f>-1*[1]ישיר!$C65</f>
        <v>-840765</v>
      </c>
      <c r="D61" s="3">
        <f>personal_labor_income_taxes!B61+C61</f>
        <v>5657144</v>
      </c>
      <c r="E61" s="2">
        <f>[1]ישיר!$F65</f>
        <v>4645549</v>
      </c>
      <c r="F61" s="2">
        <f>[1]ישיר!$V65</f>
        <v>3728470</v>
      </c>
      <c r="G61" s="2">
        <f>[1]ישיר!$H65</f>
        <v>357846</v>
      </c>
      <c r="H61" s="2">
        <f>[1]ישיר!$I65</f>
        <v>157797</v>
      </c>
      <c r="I61" s="2">
        <f>-1*[1]ישיר!$J65</f>
        <v>-5197</v>
      </c>
      <c r="J61" s="2">
        <f>-1*[1]ישיר!$AG65</f>
        <v>-203161</v>
      </c>
      <c r="K61" s="1">
        <f>-1*[1]ישיר!$AK65</f>
        <v>-13050</v>
      </c>
      <c r="L61" s="2">
        <f>-1*[1]ישיר!$Z65</f>
        <v>-72184</v>
      </c>
      <c r="M61" s="2">
        <f>[1]ישיר!$Y65</f>
        <v>305489</v>
      </c>
    </row>
    <row r="62" spans="1:13" x14ac:dyDescent="0.2">
      <c r="A62" s="26">
        <v>36892</v>
      </c>
      <c r="B62" s="2">
        <f>[1]ישיר!B66</f>
        <v>8214621</v>
      </c>
      <c r="C62" s="1">
        <f>-1*[1]ישיר!$C66</f>
        <v>-325411</v>
      </c>
      <c r="D62" s="3">
        <f>personal_labor_income_taxes!B62+C62</f>
        <v>7889210</v>
      </c>
      <c r="E62" s="2">
        <f>[1]ישיר!$F66</f>
        <v>5175828</v>
      </c>
      <c r="F62" s="2">
        <f>[1]ישיר!$V66</f>
        <v>4198773</v>
      </c>
      <c r="G62" s="2">
        <f>[1]ישיר!$H66</f>
        <v>350355</v>
      </c>
      <c r="H62" s="2">
        <f>[1]ישיר!$I66</f>
        <v>951597</v>
      </c>
      <c r="I62" s="2">
        <f>-1*[1]ישיר!$J66</f>
        <v>-3844</v>
      </c>
      <c r="J62" s="2">
        <f>-1*[1]ישיר!$AG66</f>
        <v>-129846</v>
      </c>
      <c r="K62" s="1">
        <f>-1*[1]ישיר!$AK66</f>
        <v>-6609</v>
      </c>
      <c r="L62" s="2">
        <f>-1*[1]ישיר!$Z66</f>
        <v>-81876</v>
      </c>
      <c r="M62" s="2">
        <f>[1]ישיר!$Y66</f>
        <v>354537</v>
      </c>
    </row>
    <row r="63" spans="1:13" x14ac:dyDescent="0.2">
      <c r="A63" s="26">
        <v>36923</v>
      </c>
      <c r="B63" s="2">
        <f>[1]ישיר!B67</f>
        <v>7635837</v>
      </c>
      <c r="C63" s="1">
        <f>-1*[1]ישיר!$C67</f>
        <v>-456287</v>
      </c>
      <c r="D63" s="3">
        <f>personal_labor_income_taxes!B63+C63</f>
        <v>7179550</v>
      </c>
      <c r="E63" s="2">
        <f>[1]ישיר!$F67</f>
        <v>5027834</v>
      </c>
      <c r="F63" s="2">
        <f>[1]ישיר!$V67</f>
        <v>4094329</v>
      </c>
      <c r="G63" s="2">
        <f>[1]ישיר!$H67</f>
        <v>374873</v>
      </c>
      <c r="H63" s="2">
        <f>[1]ישיר!$I67</f>
        <v>238357</v>
      </c>
      <c r="I63" s="2">
        <f>-1*[1]ישיר!$J67</f>
        <v>-4395</v>
      </c>
      <c r="J63" s="2">
        <f>-1*[1]ישיר!$AG67</f>
        <v>-104135</v>
      </c>
      <c r="K63" s="1">
        <f>-1*[1]ישיר!$AK67</f>
        <v>-7939</v>
      </c>
      <c r="L63" s="2">
        <f>-1*[1]ישיר!$Z67</f>
        <v>-71018</v>
      </c>
      <c r="M63" s="2">
        <f>[1]ישיר!$Y67</f>
        <v>370314</v>
      </c>
    </row>
    <row r="64" spans="1:13" x14ac:dyDescent="0.2">
      <c r="A64" s="26">
        <v>36951</v>
      </c>
      <c r="B64" s="2">
        <f>[1]ישיר!B68</f>
        <v>8544680</v>
      </c>
      <c r="C64" s="1">
        <f>-1*[1]ישיר!$C68</f>
        <v>-297676</v>
      </c>
      <c r="D64" s="3">
        <f>personal_labor_income_taxes!B64+C64</f>
        <v>8247004</v>
      </c>
      <c r="E64" s="2">
        <f>[1]ישיר!$F68</f>
        <v>5370491</v>
      </c>
      <c r="F64" s="2">
        <f>[1]ישיר!$V68</f>
        <v>4263659</v>
      </c>
      <c r="G64" s="2">
        <f>[1]ישיר!$H68</f>
        <v>537247</v>
      </c>
      <c r="H64" s="2">
        <f>[1]ישיר!$I68</f>
        <v>184743</v>
      </c>
      <c r="I64" s="2">
        <f>-1*[1]ישיר!$J68</f>
        <v>-5363</v>
      </c>
      <c r="J64" s="2">
        <f>-1*[1]ישיר!$AG68</f>
        <v>-105101</v>
      </c>
      <c r="K64" s="1">
        <f>-1*[1]ישיר!$AK68</f>
        <v>-9469</v>
      </c>
      <c r="L64" s="2">
        <f>-1*[1]ישיר!$Z68</f>
        <v>-84189</v>
      </c>
      <c r="M64" s="2">
        <f>[1]ישיר!$Y68</f>
        <v>539633</v>
      </c>
    </row>
    <row r="65" spans="1:13" x14ac:dyDescent="0.2">
      <c r="A65" s="26">
        <v>36982</v>
      </c>
      <c r="B65" s="2">
        <f>[1]ישיר!B69</f>
        <v>7014328</v>
      </c>
      <c r="C65" s="1">
        <f>-1*[1]ישיר!$C69</f>
        <v>-281334</v>
      </c>
      <c r="D65" s="3">
        <f>personal_labor_income_taxes!B65+C65</f>
        <v>6732994</v>
      </c>
      <c r="E65" s="2">
        <f>[1]ישיר!$F69</f>
        <v>4662875</v>
      </c>
      <c r="F65" s="2">
        <f>[1]ישיר!$V69</f>
        <v>3890207</v>
      </c>
      <c r="G65" s="2">
        <f>[1]ישיר!$H69</f>
        <v>343183</v>
      </c>
      <c r="H65" s="2">
        <f>[1]ישיר!$I69</f>
        <v>164366</v>
      </c>
      <c r="I65" s="2">
        <f>-1*[1]ישיר!$J69</f>
        <v>-4046</v>
      </c>
      <c r="J65" s="2">
        <f>-1*[1]ישיר!$AG69</f>
        <v>-80948</v>
      </c>
      <c r="K65" s="1">
        <f>-1*[1]ישיר!$AK69</f>
        <v>-3842</v>
      </c>
      <c r="L65" s="2">
        <f>-1*[1]ישיר!$Z69</f>
        <v>-89693</v>
      </c>
      <c r="M65" s="2">
        <f>[1]ישיר!$Y69</f>
        <v>295253</v>
      </c>
    </row>
    <row r="66" spans="1:13" x14ac:dyDescent="0.2">
      <c r="A66" s="26">
        <v>37012</v>
      </c>
      <c r="B66" s="2">
        <f>[1]ישיר!B70</f>
        <v>7955202</v>
      </c>
      <c r="C66" s="1">
        <f>-1*[1]ישיר!$C70</f>
        <v>-416272</v>
      </c>
      <c r="D66" s="3">
        <f>personal_labor_income_taxes!B66+C66</f>
        <v>7538930</v>
      </c>
      <c r="E66" s="2">
        <f>[1]ישיר!$F70</f>
        <v>5442644</v>
      </c>
      <c r="F66" s="2">
        <f>[1]ישיר!$V70</f>
        <v>4653382</v>
      </c>
      <c r="G66" s="2">
        <f>[1]ישיר!$H70</f>
        <v>543232</v>
      </c>
      <c r="H66" s="2">
        <f>[1]ישיר!$I70</f>
        <v>196627</v>
      </c>
      <c r="I66" s="2">
        <f>-1*[1]ישיר!$J70</f>
        <v>-4880</v>
      </c>
      <c r="J66" s="2">
        <f>-1*[1]ישיר!$AG70</f>
        <v>-176283</v>
      </c>
      <c r="K66" s="1">
        <f>-1*[1]ישיר!$AK70</f>
        <v>-7509</v>
      </c>
      <c r="L66" s="2">
        <f>-1*[1]ישיר!$Z70</f>
        <v>-111971</v>
      </c>
      <c r="M66" s="2">
        <f>[1]ישיר!$Y70</f>
        <v>309957</v>
      </c>
    </row>
    <row r="67" spans="1:13" x14ac:dyDescent="0.2">
      <c r="A67" s="26">
        <v>37043</v>
      </c>
      <c r="B67" s="2">
        <f>[1]ישיר!B71</f>
        <v>7397247</v>
      </c>
      <c r="C67" s="1">
        <f>-1*[1]ישיר!$C71</f>
        <v>-471957</v>
      </c>
      <c r="D67" s="3">
        <f>personal_labor_income_taxes!B67+C67</f>
        <v>6925290</v>
      </c>
      <c r="E67" s="2">
        <f>[1]ישיר!$F71</f>
        <v>4850130</v>
      </c>
      <c r="F67" s="2">
        <f>[1]ישיר!$V71</f>
        <v>3852005</v>
      </c>
      <c r="G67" s="2">
        <f>[1]ישיר!$H71</f>
        <v>336536</v>
      </c>
      <c r="H67" s="2">
        <f>[1]ישיר!$I71</f>
        <v>298620</v>
      </c>
      <c r="I67" s="2">
        <f>-1*[1]ישיר!$J71</f>
        <v>-4655</v>
      </c>
      <c r="J67" s="2">
        <f>-1*[1]ישיר!$AG71</f>
        <v>-282475</v>
      </c>
      <c r="K67" s="1">
        <f>-1*[1]ישיר!$AK71</f>
        <v>-9497</v>
      </c>
      <c r="L67" s="2">
        <f>-1*[1]ישיר!$Z71</f>
        <v>-93734</v>
      </c>
      <c r="M67" s="2">
        <f>[1]ישיר!$Y71</f>
        <v>387718</v>
      </c>
    </row>
    <row r="68" spans="1:13" x14ac:dyDescent="0.2">
      <c r="A68" s="26">
        <v>37073</v>
      </c>
      <c r="B68" s="2">
        <f>[1]ישיר!B72</f>
        <v>8594088</v>
      </c>
      <c r="C68" s="1">
        <f>-1*[1]ישיר!$C72</f>
        <v>-601339</v>
      </c>
      <c r="D68" s="3">
        <f>personal_labor_income_taxes!B68+C68</f>
        <v>7992749</v>
      </c>
      <c r="E68" s="2">
        <f>[1]ישיר!$F72</f>
        <v>5585545</v>
      </c>
      <c r="F68" s="2">
        <f>[1]ישיר!$V72</f>
        <v>4538586</v>
      </c>
      <c r="G68" s="2">
        <f>[1]ישיר!$H72</f>
        <v>577728</v>
      </c>
      <c r="H68" s="2">
        <f>[1]ישיר!$I72</f>
        <v>415125</v>
      </c>
      <c r="I68" s="2">
        <f>-1*[1]ישיר!$J72</f>
        <v>-4065</v>
      </c>
      <c r="J68" s="2">
        <f>-1*[1]ישיר!$AG72</f>
        <v>-302825</v>
      </c>
      <c r="K68" s="1">
        <f>-1*[1]ישיר!$AK72</f>
        <v>-14670</v>
      </c>
      <c r="L68" s="2">
        <f>-1*[1]ישיר!$Z72</f>
        <v>-95808</v>
      </c>
      <c r="M68" s="2">
        <f>[1]ישיר!$Y72</f>
        <v>424089</v>
      </c>
    </row>
    <row r="69" spans="1:13" x14ac:dyDescent="0.2">
      <c r="A69" s="26">
        <v>37104</v>
      </c>
      <c r="B69" s="2">
        <f>[1]ישיר!B73</f>
        <v>7813737</v>
      </c>
      <c r="C69" s="1">
        <f>-1*[1]ישיר!$C73</f>
        <v>-536036</v>
      </c>
      <c r="D69" s="3">
        <f>personal_labor_income_taxes!B69+C69</f>
        <v>7277701</v>
      </c>
      <c r="E69" s="2">
        <f>[1]ישיר!$F73</f>
        <v>5344922</v>
      </c>
      <c r="F69" s="2">
        <f>[1]ישיר!$V73</f>
        <v>4330499</v>
      </c>
      <c r="G69" s="2">
        <f>[1]ישיר!$H73</f>
        <v>362618</v>
      </c>
      <c r="H69" s="2">
        <f>[1]ישיר!$I73</f>
        <v>188094</v>
      </c>
      <c r="I69" s="2">
        <f>-1*[1]ישיר!$J73</f>
        <v>-4912</v>
      </c>
      <c r="J69" s="2">
        <f>-1*[1]ישיר!$AG73</f>
        <v>-276816</v>
      </c>
      <c r="K69" s="1">
        <f>-1*[1]ישיר!$AK73</f>
        <v>-4824</v>
      </c>
      <c r="L69" s="2">
        <f>-1*[1]ישיר!$Z73</f>
        <v>-85324</v>
      </c>
      <c r="M69" s="2">
        <f>[1]ישיר!$Y73</f>
        <v>469481</v>
      </c>
    </row>
    <row r="70" spans="1:13" x14ac:dyDescent="0.2">
      <c r="A70" s="26">
        <v>37135</v>
      </c>
      <c r="B70" s="2">
        <f>[1]ישיר!B74</f>
        <v>7691746</v>
      </c>
      <c r="C70" s="1">
        <f>-1*[1]ישיר!$C74</f>
        <v>-452725</v>
      </c>
      <c r="D70" s="3">
        <f>personal_labor_income_taxes!B70+C70</f>
        <v>7239021</v>
      </c>
      <c r="E70" s="2">
        <f>[1]ישיר!$F74</f>
        <v>5111368</v>
      </c>
      <c r="F70" s="2">
        <f>[1]ישיר!$V74</f>
        <v>4257464</v>
      </c>
      <c r="G70" s="2">
        <f>[1]ישיר!$H74</f>
        <v>608037</v>
      </c>
      <c r="H70" s="2">
        <f>[1]ישיר!$I74</f>
        <v>196155</v>
      </c>
      <c r="I70" s="2">
        <f>-1*[1]ישיר!$J74</f>
        <v>-2972</v>
      </c>
      <c r="J70" s="2">
        <f>-1*[1]ישיר!$AG74</f>
        <v>-181877</v>
      </c>
      <c r="K70" s="1">
        <f>-1*[1]ישיר!$AK74</f>
        <v>-9923</v>
      </c>
      <c r="L70" s="2">
        <f>-1*[1]ישיר!$Z74</f>
        <v>-87211</v>
      </c>
      <c r="M70" s="2">
        <f>[1]ישיר!$Y74</f>
        <v>404138</v>
      </c>
    </row>
    <row r="71" spans="1:13" x14ac:dyDescent="0.2">
      <c r="A71" s="26">
        <v>37165</v>
      </c>
      <c r="B71" s="2">
        <f>[1]ישיר!B75</f>
        <v>6564442</v>
      </c>
      <c r="C71" s="1">
        <f>-1*[1]ישיר!$C75</f>
        <v>-484803</v>
      </c>
      <c r="D71" s="3">
        <f>personal_labor_income_taxes!B71+C71</f>
        <v>6079639</v>
      </c>
      <c r="E71" s="2">
        <f>[1]ישיר!$F75</f>
        <v>4508463</v>
      </c>
      <c r="F71" s="2">
        <f>[1]ישיר!$V75</f>
        <v>3677955</v>
      </c>
      <c r="G71" s="2">
        <f>[1]ישיר!$H75</f>
        <v>315296</v>
      </c>
      <c r="H71" s="2">
        <f>[1]ישיר!$I75</f>
        <v>199267</v>
      </c>
      <c r="I71" s="2">
        <f>-1*[1]ישיר!$J75</f>
        <v>-7476</v>
      </c>
      <c r="J71" s="2">
        <f>-1*[1]ישיר!$AG75</f>
        <v>-203352</v>
      </c>
      <c r="K71" s="1">
        <f>-1*[1]ישיר!$AK75</f>
        <v>-4129</v>
      </c>
      <c r="L71" s="2">
        <f>-1*[1]ישיר!$Z75</f>
        <v>-73939</v>
      </c>
      <c r="M71" s="2">
        <f>[1]ישיר!$Y75</f>
        <v>390745</v>
      </c>
    </row>
    <row r="72" spans="1:13" x14ac:dyDescent="0.2">
      <c r="A72" s="26">
        <v>37196</v>
      </c>
      <c r="B72" s="2">
        <f>[1]ישיר!B76</f>
        <v>7130905</v>
      </c>
      <c r="C72" s="1">
        <f>-1*[1]ישיר!$C76</f>
        <v>-696768</v>
      </c>
      <c r="D72" s="3">
        <f>personal_labor_income_taxes!B72+C72</f>
        <v>6434137</v>
      </c>
      <c r="E72" s="2">
        <f>[1]ישיר!$F76</f>
        <v>4789304</v>
      </c>
      <c r="F72" s="2">
        <f>[1]ישיר!$V76</f>
        <v>3925666</v>
      </c>
      <c r="G72" s="2">
        <f>[1]ישיר!$H76</f>
        <v>590687</v>
      </c>
      <c r="H72" s="2">
        <f>[1]ישיר!$I76</f>
        <v>163695</v>
      </c>
      <c r="I72" s="2">
        <f>-1*[1]ישיר!$J76</f>
        <v>-4052</v>
      </c>
      <c r="J72" s="2">
        <f>-1*[1]ישיר!$AG76</f>
        <v>-238646</v>
      </c>
      <c r="K72" s="1">
        <f>-1*[1]ישיר!$AK76</f>
        <v>-16048</v>
      </c>
      <c r="L72" s="2">
        <f>-1*[1]ישיר!$Z76</f>
        <v>-66068</v>
      </c>
      <c r="M72" s="2">
        <f>[1]ישיר!$Y76</f>
        <v>341532</v>
      </c>
    </row>
    <row r="73" spans="1:13" x14ac:dyDescent="0.2">
      <c r="A73" s="26">
        <v>37226</v>
      </c>
      <c r="B73" s="2">
        <f>[1]ישיר!B77</f>
        <v>6519826</v>
      </c>
      <c r="C73" s="1">
        <f>-1*[1]ישיר!$C77</f>
        <v>-718213</v>
      </c>
      <c r="D73" s="3">
        <f>personal_labor_income_taxes!B73+C73</f>
        <v>5801613</v>
      </c>
      <c r="E73" s="2">
        <f>[1]ישיר!$F77</f>
        <v>4651223</v>
      </c>
      <c r="F73" s="2">
        <f>[1]ישיר!$V77</f>
        <v>3731271</v>
      </c>
      <c r="G73" s="2">
        <f>[1]ישיר!$H77</f>
        <v>316902</v>
      </c>
      <c r="H73" s="2">
        <f>[1]ישיר!$I77</f>
        <v>218840</v>
      </c>
      <c r="I73" s="2">
        <f>-1*[1]ישיר!$J77</f>
        <v>-5011</v>
      </c>
      <c r="J73" s="2">
        <f>-1*[1]ישיר!$AG77</f>
        <v>-189132</v>
      </c>
      <c r="K73" s="1">
        <f>-1*[1]ישיר!$AK77</f>
        <v>-8489</v>
      </c>
      <c r="L73" s="2">
        <f>-1*[1]ישיר!$Z77</f>
        <v>-82649</v>
      </c>
      <c r="M73" s="2">
        <f>[1]ישיר!$Y77</f>
        <v>386768</v>
      </c>
    </row>
    <row r="74" spans="1:13" x14ac:dyDescent="0.2">
      <c r="A74" s="26">
        <v>37257</v>
      </c>
      <c r="B74" s="2">
        <f>[1]ישיר!B78</f>
        <v>7720190</v>
      </c>
      <c r="C74" s="1">
        <f>-1*[1]ישיר!$C78</f>
        <v>-502076</v>
      </c>
      <c r="D74" s="3">
        <f>personal_labor_income_taxes!B74+C74</f>
        <v>7218114</v>
      </c>
      <c r="E74" s="2">
        <f>[1]ישיר!$F78</f>
        <v>5368796</v>
      </c>
      <c r="F74" s="2">
        <f>[1]ישיר!$V78</f>
        <v>4336366</v>
      </c>
      <c r="G74" s="2">
        <f>[1]ישיר!$H78</f>
        <v>6012</v>
      </c>
      <c r="H74" s="2">
        <f>[1]ישיר!$I78</f>
        <v>880771</v>
      </c>
      <c r="I74" s="2">
        <f>-1*[1]ישיר!$J78</f>
        <v>-6157</v>
      </c>
      <c r="J74" s="2">
        <f>-1*[1]ישיר!$AG78</f>
        <v>-168537</v>
      </c>
      <c r="K74" s="1">
        <f>-1*[1]ישיר!$AK78</f>
        <v>-8743</v>
      </c>
      <c r="L74" s="2">
        <f>-1*[1]ישיר!$Z78</f>
        <v>-95805</v>
      </c>
      <c r="M74" s="2">
        <f>[1]ישיר!$Y78</f>
        <v>407516</v>
      </c>
    </row>
    <row r="75" spans="1:13" x14ac:dyDescent="0.2">
      <c r="A75" s="26">
        <v>37288</v>
      </c>
      <c r="B75" s="2">
        <f>[1]ישיר!B79</f>
        <v>7872956</v>
      </c>
      <c r="C75" s="1">
        <f>-1*[1]ישיר!$C79</f>
        <v>-687853</v>
      </c>
      <c r="D75" s="3">
        <f>personal_labor_income_taxes!B75+C75</f>
        <v>7185103</v>
      </c>
      <c r="E75" s="2">
        <f>[1]ישיר!$F79</f>
        <v>5060895</v>
      </c>
      <c r="F75" s="2">
        <f>[1]ישיר!$V79</f>
        <v>4112414</v>
      </c>
      <c r="G75" s="2">
        <f>[1]ישיר!$H79</f>
        <v>334003</v>
      </c>
      <c r="H75" s="2">
        <f>[1]ישיר!$I79</f>
        <v>363519</v>
      </c>
      <c r="I75" s="2">
        <f>-1*[1]ישיר!$J79</f>
        <v>-6934</v>
      </c>
      <c r="J75" s="2">
        <f>-1*[1]ישיר!$AG79</f>
        <v>-124127</v>
      </c>
      <c r="K75" s="1">
        <f>-1*[1]ישיר!$AK79</f>
        <v>-8414</v>
      </c>
      <c r="L75" s="2">
        <f>-1*[1]ישיר!$Z79</f>
        <v>-62256</v>
      </c>
      <c r="M75" s="2">
        <f>[1]ישיר!$Y79</f>
        <v>400756</v>
      </c>
    </row>
    <row r="76" spans="1:13" x14ac:dyDescent="0.2">
      <c r="A76" s="26">
        <v>37316</v>
      </c>
      <c r="B76" s="2">
        <f>[1]ישיר!B80</f>
        <v>7563748</v>
      </c>
      <c r="C76" s="1">
        <f>-1*[1]ישיר!$C80</f>
        <v>-572843</v>
      </c>
      <c r="D76" s="3">
        <f>personal_labor_income_taxes!B76+C76</f>
        <v>6990905</v>
      </c>
      <c r="E76" s="2">
        <f>[1]ישיר!$F80</f>
        <v>4855173</v>
      </c>
      <c r="F76" s="2">
        <f>[1]ישיר!$V80</f>
        <v>4137537</v>
      </c>
      <c r="G76" s="2">
        <f>[1]ישיר!$H80</f>
        <v>538062</v>
      </c>
      <c r="H76" s="2">
        <f>[1]ישיר!$I80</f>
        <v>254093</v>
      </c>
      <c r="I76" s="2">
        <f>-1*[1]ישיר!$J80</f>
        <v>-3843</v>
      </c>
      <c r="J76" s="2">
        <f>-1*[1]ישיר!$AG80</f>
        <v>-117801</v>
      </c>
      <c r="K76" s="1">
        <f>-1*[1]ישיר!$AK80</f>
        <v>-4165</v>
      </c>
      <c r="L76" s="2">
        <f>-1*[1]ישיר!$Z80</f>
        <v>-95236</v>
      </c>
      <c r="M76" s="2">
        <f>[1]ישיר!$Y80</f>
        <v>290820</v>
      </c>
    </row>
    <row r="77" spans="1:13" x14ac:dyDescent="0.2">
      <c r="A77" s="26">
        <v>37347</v>
      </c>
      <c r="B77" s="2">
        <f>[1]ישיר!B81</f>
        <v>7062036</v>
      </c>
      <c r="C77" s="1">
        <f>-1*[1]ישיר!$C81</f>
        <v>-281924</v>
      </c>
      <c r="D77" s="3">
        <f>personal_labor_income_taxes!B77+C77</f>
        <v>6780112</v>
      </c>
      <c r="E77" s="2">
        <f>[1]ישיר!$F81</f>
        <v>4780197</v>
      </c>
      <c r="F77" s="2">
        <f>[1]ישיר!$V81</f>
        <v>3630122</v>
      </c>
      <c r="G77" s="2">
        <f>[1]ישיר!$H81</f>
        <v>327276</v>
      </c>
      <c r="H77" s="2">
        <f>[1]ישיר!$I81</f>
        <v>196281</v>
      </c>
      <c r="I77" s="2">
        <f>-1*[1]ישיר!$J81</f>
        <v>-4425</v>
      </c>
      <c r="J77" s="2">
        <f>-1*[1]ישיר!$AG81</f>
        <v>-102533</v>
      </c>
      <c r="K77" s="1">
        <f>-1*[1]ישיר!$AK81</f>
        <v>-4202</v>
      </c>
      <c r="L77" s="2">
        <f>-1*[1]ישיר!$Z81</f>
        <v>-109340</v>
      </c>
      <c r="M77" s="2">
        <f>[1]ישיר!$Y81</f>
        <v>498256</v>
      </c>
    </row>
    <row r="78" spans="1:13" x14ac:dyDescent="0.2">
      <c r="A78" s="26">
        <v>37377</v>
      </c>
      <c r="B78" s="2">
        <f>[1]ישיר!B82</f>
        <v>7535421</v>
      </c>
      <c r="C78" s="1">
        <f>-1*[1]ישיר!$C82</f>
        <v>-464691</v>
      </c>
      <c r="D78" s="3">
        <f>personal_labor_income_taxes!B78+C78</f>
        <v>7070730</v>
      </c>
      <c r="E78" s="2">
        <f>[1]ישיר!$F82</f>
        <v>5073527</v>
      </c>
      <c r="F78" s="2">
        <f>[1]ישיר!$V82</f>
        <v>4175896</v>
      </c>
      <c r="G78" s="2">
        <f>[1]ישיר!$H82</f>
        <v>559178</v>
      </c>
      <c r="H78" s="2">
        <f>[1]ישיר!$I82</f>
        <v>200935</v>
      </c>
      <c r="I78" s="2">
        <f>-1*[1]ישיר!$J82</f>
        <v>-6814</v>
      </c>
      <c r="J78" s="2">
        <f>-1*[1]ישיר!$AG82</f>
        <v>-264509</v>
      </c>
      <c r="K78" s="1">
        <f>-1*[1]ישיר!$AK82</f>
        <v>-7370</v>
      </c>
      <c r="L78" s="2">
        <f>-1*[1]ישיר!$Z82</f>
        <v>-109411</v>
      </c>
      <c r="M78" s="2">
        <f>[1]ישיר!$Y82</f>
        <v>363634</v>
      </c>
    </row>
    <row r="79" spans="1:13" x14ac:dyDescent="0.2">
      <c r="A79" s="26">
        <v>37408</v>
      </c>
      <c r="B79" s="2">
        <f>[1]ישיר!B83</f>
        <v>6664510</v>
      </c>
      <c r="C79" s="1">
        <f>-1*[1]ישיר!$C83</f>
        <v>-503438</v>
      </c>
      <c r="D79" s="3">
        <f>personal_labor_income_taxes!B79+C79</f>
        <v>6161072</v>
      </c>
      <c r="E79" s="2">
        <f>[1]ישיר!$F83</f>
        <v>4560367</v>
      </c>
      <c r="F79" s="2">
        <f>[1]ישיר!$V83</f>
        <v>3759323</v>
      </c>
      <c r="G79" s="2">
        <f>[1]ישיר!$H83</f>
        <v>351492</v>
      </c>
      <c r="H79" s="2">
        <f>[1]ישיר!$I83</f>
        <v>209554</v>
      </c>
      <c r="I79" s="2">
        <f>-1*[1]ישיר!$J83</f>
        <v>-6765</v>
      </c>
      <c r="J79" s="2">
        <f>-1*[1]ישיר!$AG83</f>
        <v>-293635</v>
      </c>
      <c r="K79" s="1">
        <f>-1*[1]ישיר!$AK83</f>
        <v>-11050</v>
      </c>
      <c r="L79" s="2">
        <f>-1*[1]ישיר!$Z83</f>
        <v>-96973</v>
      </c>
      <c r="M79" s="2">
        <f>[1]ישיר!$Y83</f>
        <v>383284</v>
      </c>
    </row>
    <row r="80" spans="1:13" x14ac:dyDescent="0.2">
      <c r="A80" s="26">
        <v>37438</v>
      </c>
      <c r="B80" s="2">
        <f>[1]ישיר!B84</f>
        <v>8334395</v>
      </c>
      <c r="C80" s="1">
        <f>-1*[1]ישיר!$C84</f>
        <v>-541993</v>
      </c>
      <c r="D80" s="3">
        <f>personal_labor_income_taxes!B80+C80</f>
        <v>7792402</v>
      </c>
      <c r="E80" s="2">
        <f>[1]ישיר!$F84</f>
        <v>5849770</v>
      </c>
      <c r="F80" s="2">
        <f>[1]ישיר!$V84</f>
        <v>4844040</v>
      </c>
      <c r="G80" s="2">
        <f>[1]ישיר!$H84</f>
        <v>594722</v>
      </c>
      <c r="H80" s="2">
        <f>[1]ישיר!$I84</f>
        <v>232706</v>
      </c>
      <c r="I80" s="2">
        <f>-1*[1]ישיר!$J84</f>
        <v>-6386</v>
      </c>
      <c r="J80" s="2">
        <f>-1*[1]ישיר!$AG84</f>
        <v>-349115</v>
      </c>
      <c r="K80" s="1">
        <f>-1*[1]ישיר!$AK84</f>
        <v>-4274</v>
      </c>
      <c r="L80" s="2">
        <f>-1*[1]ישיר!$Z84</f>
        <v>-108597</v>
      </c>
      <c r="M80" s="2">
        <f>[1]ישיר!$Y84</f>
        <v>609207</v>
      </c>
    </row>
    <row r="81" spans="1:13" x14ac:dyDescent="0.2">
      <c r="A81" s="26">
        <v>37469</v>
      </c>
      <c r="B81" s="2">
        <f>[1]ישיר!B85</f>
        <v>7077272</v>
      </c>
      <c r="C81" s="1">
        <f>-1*[1]ישיר!$C85</f>
        <v>-845397</v>
      </c>
      <c r="D81" s="3">
        <f>personal_labor_income_taxes!B81+C81</f>
        <v>6231875</v>
      </c>
      <c r="E81" s="2">
        <f>[1]ישיר!$F85</f>
        <v>5102757</v>
      </c>
      <c r="F81" s="2">
        <f>[1]ישיר!$V85</f>
        <v>4016060</v>
      </c>
      <c r="G81" s="2">
        <f>[1]ישיר!$H85</f>
        <v>321942</v>
      </c>
      <c r="H81" s="2">
        <f>[1]ישיר!$I85</f>
        <v>170560</v>
      </c>
      <c r="I81" s="2">
        <f>-1*[1]ישיר!$J85</f>
        <v>-5083</v>
      </c>
      <c r="J81" s="2">
        <f>-1*[1]ישיר!$AG85</f>
        <v>-349280</v>
      </c>
      <c r="K81" s="1">
        <f>-1*[1]ישיר!$AK85</f>
        <v>-7236</v>
      </c>
      <c r="L81" s="2">
        <f>-1*[1]ישיר!$Z85</f>
        <v>-103489</v>
      </c>
      <c r="M81" s="2">
        <f>[1]ישיר!$Y85</f>
        <v>579869</v>
      </c>
    </row>
    <row r="82" spans="1:13" x14ac:dyDescent="0.2">
      <c r="A82" s="26">
        <v>37500</v>
      </c>
      <c r="B82" s="2">
        <f>[1]ישיר!B86</f>
        <v>6756781</v>
      </c>
      <c r="C82" s="1">
        <f>-1*[1]ישיר!$C86</f>
        <v>-233382</v>
      </c>
      <c r="D82" s="3">
        <f>personal_labor_income_taxes!B82+C82</f>
        <v>6523399</v>
      </c>
      <c r="E82" s="2">
        <f>[1]ישיר!$F86</f>
        <v>4670539</v>
      </c>
      <c r="F82" s="2">
        <f>[1]ישיר!$V86</f>
        <v>3868865</v>
      </c>
      <c r="G82" s="2">
        <f>[1]ישיר!$H86</f>
        <v>531245</v>
      </c>
      <c r="H82" s="2">
        <f>[1]ישיר!$I86</f>
        <v>158320</v>
      </c>
      <c r="I82" s="2">
        <f>-1*[1]ישיר!$J86</f>
        <v>-8634</v>
      </c>
      <c r="J82" s="2">
        <f>-1*[1]ישיר!$AG86</f>
        <v>-149398</v>
      </c>
      <c r="K82" s="1">
        <f>-1*[1]ישיר!$AK86</f>
        <v>-5153</v>
      </c>
      <c r="L82" s="2">
        <f>-1*[1]ישיר!$Z86</f>
        <v>-108162</v>
      </c>
      <c r="M82" s="2">
        <f>[1]ישיר!$Y86</f>
        <v>436639</v>
      </c>
    </row>
    <row r="83" spans="1:13" x14ac:dyDescent="0.2">
      <c r="A83" s="26">
        <v>37530</v>
      </c>
      <c r="B83" s="2">
        <f>[1]ישיר!B87</f>
        <v>6591214</v>
      </c>
      <c r="C83" s="1">
        <f>-1*[1]ישיר!$C87</f>
        <v>-308246</v>
      </c>
      <c r="D83" s="3">
        <f>personal_labor_income_taxes!B83+C83</f>
        <v>6282968</v>
      </c>
      <c r="E83" s="2">
        <f>[1]ישיר!$F87</f>
        <v>4933946</v>
      </c>
      <c r="F83" s="2">
        <f>[1]ישיר!$V87</f>
        <v>4301696</v>
      </c>
      <c r="G83" s="2">
        <f>[1]ישיר!$H87</f>
        <v>256338</v>
      </c>
      <c r="H83" s="2">
        <f>[1]ישיר!$I87</f>
        <v>126496</v>
      </c>
      <c r="I83" s="2">
        <f>-1*[1]ישיר!$J87</f>
        <v>-2352</v>
      </c>
      <c r="J83" s="2">
        <f>-1*[1]ישיר!$AG87</f>
        <v>-150736</v>
      </c>
      <c r="K83" s="1">
        <f>-1*[1]ישיר!$AK87</f>
        <v>-604</v>
      </c>
      <c r="L83" s="2">
        <f>-1*[1]ישיר!$Z87</f>
        <v>-81990</v>
      </c>
      <c r="M83" s="2">
        <f>[1]ישיר!$Y87</f>
        <v>375750</v>
      </c>
    </row>
    <row r="84" spans="1:13" x14ac:dyDescent="0.2">
      <c r="A84" s="26">
        <v>37561</v>
      </c>
      <c r="B84" s="2">
        <f>[1]ישיר!B88</f>
        <v>6673613</v>
      </c>
      <c r="C84" s="1">
        <f>-1*[1]ישיר!$C88</f>
        <v>-379108</v>
      </c>
      <c r="D84" s="3">
        <f>personal_labor_income_taxes!B84+C84</f>
        <v>6294505</v>
      </c>
      <c r="E84" s="2">
        <f>[1]ישיר!$F88</f>
        <v>4741576</v>
      </c>
      <c r="F84" s="2">
        <f>[1]ישיר!$V88</f>
        <v>3593481</v>
      </c>
      <c r="G84" s="2">
        <f>[1]ישיר!$H88</f>
        <v>501904</v>
      </c>
      <c r="H84" s="2">
        <f>[1]ישיר!$I88</f>
        <v>117657</v>
      </c>
      <c r="I84" s="2">
        <f>-1*[1]ישיר!$J88</f>
        <v>-9164</v>
      </c>
      <c r="J84" s="2">
        <f>-1*[1]ישיר!$AG88</f>
        <v>-155602</v>
      </c>
      <c r="K84" s="1">
        <f>-1*[1]ישיר!$AK88</f>
        <v>-7</v>
      </c>
      <c r="L84" s="2">
        <f>-1*[1]ישיר!$Z88</f>
        <v>-87215</v>
      </c>
      <c r="M84" s="2">
        <f>[1]ישיר!$Y88</f>
        <v>644328</v>
      </c>
    </row>
    <row r="85" spans="1:13" x14ac:dyDescent="0.2">
      <c r="A85" s="26">
        <v>37591</v>
      </c>
      <c r="B85" s="2">
        <f>[1]ישיר!B89</f>
        <v>6523853</v>
      </c>
      <c r="C85" s="1">
        <f>-1*[1]ישיר!$C89</f>
        <v>-508510</v>
      </c>
      <c r="D85" s="3">
        <f>personal_labor_income_taxes!B85+C85</f>
        <v>6015343</v>
      </c>
      <c r="E85" s="2">
        <f>[1]ישיר!$F89</f>
        <v>4643090</v>
      </c>
      <c r="F85" s="2">
        <f>[1]ישיר!$V89</f>
        <v>3639410</v>
      </c>
      <c r="G85" s="2">
        <f>[1]ישיר!$H89</f>
        <v>252690</v>
      </c>
      <c r="H85" s="2">
        <f>[1]ישיר!$I89</f>
        <v>193797</v>
      </c>
      <c r="I85" s="2">
        <f>-1*[1]ישיר!$J89</f>
        <v>-7661</v>
      </c>
      <c r="J85" s="2">
        <f>-1*[1]ישיר!$AG89</f>
        <v>-253872</v>
      </c>
      <c r="K85" s="1">
        <f>-1*[1]ישיר!$AK89</f>
        <v>-8258</v>
      </c>
      <c r="L85" s="2">
        <f>-1*[1]ישיר!$Z89</f>
        <v>-91365</v>
      </c>
      <c r="M85" s="2">
        <f>[1]ישיר!$Y89</f>
        <v>479781</v>
      </c>
    </row>
    <row r="86" spans="1:13" x14ac:dyDescent="0.2">
      <c r="A86" s="26">
        <v>37622</v>
      </c>
      <c r="B86" s="2">
        <f>[1]ישיר!B90</f>
        <v>7441435</v>
      </c>
      <c r="C86" s="1">
        <f>-1*[1]ישיר!$C90</f>
        <v>-1114562</v>
      </c>
      <c r="D86" s="3">
        <f>personal_labor_income_taxes!B86+C86</f>
        <v>6326873</v>
      </c>
      <c r="E86" s="2">
        <f>[1]ישיר!$F90</f>
        <v>5134721</v>
      </c>
      <c r="F86" s="2">
        <f>[1]ישיר!$V90</f>
        <v>4048891</v>
      </c>
      <c r="G86" s="2">
        <f>[1]ישיר!$H90</f>
        <v>5999</v>
      </c>
      <c r="H86" s="2">
        <f>[1]ישיר!$I90</f>
        <v>726777</v>
      </c>
      <c r="I86" s="2">
        <f>-1*[1]ישיר!$J90</f>
        <v>-4437</v>
      </c>
      <c r="J86" s="2">
        <f>-1*[1]ישיר!$AG90</f>
        <v>-280702</v>
      </c>
      <c r="K86" s="1">
        <f>-1*[1]ישיר!$AK90</f>
        <v>-12073</v>
      </c>
      <c r="L86" s="2">
        <f>-1*[1]ישיר!$Z90</f>
        <v>-93135</v>
      </c>
      <c r="M86" s="2">
        <f>[1]ישיר!$Y90</f>
        <v>448224</v>
      </c>
    </row>
    <row r="87" spans="1:13" x14ac:dyDescent="0.2">
      <c r="A87" s="26">
        <v>37653</v>
      </c>
      <c r="B87" s="2">
        <f>[1]ישיר!B91</f>
        <v>7089012</v>
      </c>
      <c r="C87" s="1">
        <f>-1*[1]ישיר!$C91</f>
        <v>-744465</v>
      </c>
      <c r="D87" s="3">
        <f>personal_labor_income_taxes!B87+C87</f>
        <v>6344547</v>
      </c>
      <c r="E87" s="2">
        <f>[1]ישיר!$F91</f>
        <v>4713466</v>
      </c>
      <c r="F87" s="2">
        <f>[1]ישיר!$V91</f>
        <v>3863442</v>
      </c>
      <c r="G87" s="2">
        <f>[1]ישיר!$H91</f>
        <v>226103</v>
      </c>
      <c r="H87" s="2">
        <f>[1]ישיר!$I91</f>
        <v>271681</v>
      </c>
      <c r="I87" s="2">
        <f>-1*[1]ישיר!$J91</f>
        <v>-4476</v>
      </c>
      <c r="J87" s="2">
        <f>-1*[1]ישיר!$AG91</f>
        <v>-193426</v>
      </c>
      <c r="K87" s="1">
        <f>-1*[1]ישיר!$AK91</f>
        <v>-9989</v>
      </c>
      <c r="L87" s="2">
        <f>-1*[1]ישיר!$Z91</f>
        <v>-97951</v>
      </c>
      <c r="M87" s="2">
        <f>[1]ישיר!$Y91</f>
        <v>554129</v>
      </c>
    </row>
    <row r="88" spans="1:13" x14ac:dyDescent="0.2">
      <c r="A88" s="26">
        <v>37681</v>
      </c>
      <c r="B88" s="2">
        <f>[1]ישיר!B92</f>
        <v>7233885</v>
      </c>
      <c r="C88" s="1">
        <f>-1*[1]ישיר!$C92</f>
        <v>-524740</v>
      </c>
      <c r="D88" s="3">
        <f>personal_labor_income_taxes!B88+C88</f>
        <v>6709145</v>
      </c>
      <c r="E88" s="2">
        <f>[1]ישיר!$F92</f>
        <v>4901420</v>
      </c>
      <c r="F88" s="2">
        <f>[1]ישיר!$V92</f>
        <v>3816222</v>
      </c>
      <c r="G88" s="2">
        <f>[1]ישיר!$H92</f>
        <v>424145</v>
      </c>
      <c r="H88" s="2">
        <f>[1]ישיר!$I92</f>
        <v>248157</v>
      </c>
      <c r="I88" s="2">
        <f>-1*[1]ישיר!$J92</f>
        <v>-4483</v>
      </c>
      <c r="J88" s="2">
        <f>-1*[1]ישיר!$AG92</f>
        <v>-139901</v>
      </c>
      <c r="K88" s="1">
        <f>-1*[1]ישיר!$AK92</f>
        <v>-6272</v>
      </c>
      <c r="L88" s="2">
        <f>-1*[1]ישיר!$Z92</f>
        <v>-121245</v>
      </c>
      <c r="M88" s="2">
        <f>[1]ישיר!$Y92</f>
        <v>519556</v>
      </c>
    </row>
    <row r="89" spans="1:13" x14ac:dyDescent="0.2">
      <c r="A89" s="26">
        <v>37712</v>
      </c>
      <c r="B89" s="2">
        <f>[1]ישיר!B93</f>
        <v>6350271</v>
      </c>
      <c r="C89" s="1">
        <f>-1*[1]ישיר!$C93</f>
        <v>-348810</v>
      </c>
      <c r="D89" s="3">
        <f>personal_labor_income_taxes!B89+C89</f>
        <v>6001461</v>
      </c>
      <c r="E89" s="2">
        <f>[1]ישיר!$F93</f>
        <v>4465717</v>
      </c>
      <c r="F89" s="2">
        <f>[1]ישיר!$V93</f>
        <v>3518759</v>
      </c>
      <c r="G89" s="2">
        <f>[1]ישיר!$H93</f>
        <v>226380</v>
      </c>
      <c r="H89" s="2">
        <f>[1]ישיר!$I93</f>
        <v>152595</v>
      </c>
      <c r="I89" s="2">
        <f>-1*[1]ישיר!$J93</f>
        <v>-1980</v>
      </c>
      <c r="J89" s="2">
        <f>-1*[1]ישיר!$AG93</f>
        <v>-71602</v>
      </c>
      <c r="K89" s="1">
        <f>-1*[1]ישיר!$AK93</f>
        <v>-6034</v>
      </c>
      <c r="L89" s="2">
        <f>-1*[1]ישיר!$Z93</f>
        <v>-106420</v>
      </c>
      <c r="M89" s="2">
        <f>[1]ישיר!$Y93</f>
        <v>384359</v>
      </c>
    </row>
    <row r="90" spans="1:13" x14ac:dyDescent="0.2">
      <c r="A90" s="26">
        <v>37742</v>
      </c>
      <c r="B90" s="2">
        <f>[1]ישיר!B94</f>
        <v>7098745</v>
      </c>
      <c r="C90" s="1">
        <f>-1*[1]ישיר!$C94</f>
        <v>-525271</v>
      </c>
      <c r="D90" s="3">
        <f>personal_labor_income_taxes!B90+C90</f>
        <v>6573474</v>
      </c>
      <c r="E90" s="2">
        <f>[1]ישיר!$F94</f>
        <v>4792198</v>
      </c>
      <c r="F90" s="2">
        <f>[1]ישיר!$V94</f>
        <v>3721948</v>
      </c>
      <c r="G90" s="2">
        <f>[1]ישיר!$H94</f>
        <v>438139</v>
      </c>
      <c r="H90" s="2">
        <f>[1]ישיר!$I94</f>
        <v>344177</v>
      </c>
      <c r="I90" s="2">
        <f>-1*[1]ישיר!$J94</f>
        <v>-15612</v>
      </c>
      <c r="J90" s="2">
        <f>-1*[1]ישיר!$AG94</f>
        <v>-119745</v>
      </c>
      <c r="K90" s="1">
        <f>-1*[1]ישיר!$AK94</f>
        <v>-11547</v>
      </c>
      <c r="L90" s="2">
        <f>-1*[1]ישיר!$Z94</f>
        <v>-103242</v>
      </c>
      <c r="M90" s="2">
        <f>[1]ישיר!$Y94</f>
        <v>476676</v>
      </c>
    </row>
    <row r="91" spans="1:13" x14ac:dyDescent="0.2">
      <c r="A91" s="26">
        <v>37773</v>
      </c>
      <c r="B91" s="2">
        <f>[1]ישיר!B95</f>
        <v>6457279</v>
      </c>
      <c r="C91" s="1">
        <f>-1*[1]ישיר!$C95</f>
        <v>-480980</v>
      </c>
      <c r="D91" s="3">
        <f>personal_labor_income_taxes!B91+C91</f>
        <v>5976299</v>
      </c>
      <c r="E91" s="2">
        <f>[1]ישיר!$F95</f>
        <v>4253139</v>
      </c>
      <c r="F91" s="2">
        <f>[1]ישיר!$V95</f>
        <v>3095910</v>
      </c>
      <c r="G91" s="2">
        <f>[1]ישיר!$H95</f>
        <v>231641</v>
      </c>
      <c r="H91" s="2">
        <f>[1]ישיר!$I95</f>
        <v>203382</v>
      </c>
      <c r="I91" s="2">
        <f>-1*[1]ישיר!$J95</f>
        <v>-7504</v>
      </c>
      <c r="J91" s="2">
        <f>-1*[1]ישיר!$AG95</f>
        <v>-287347</v>
      </c>
      <c r="K91" s="1">
        <f>-1*[1]ישיר!$AK95</f>
        <v>-12030</v>
      </c>
      <c r="L91" s="2">
        <f>-1*[1]ישיר!$Z95</f>
        <v>-105128</v>
      </c>
      <c r="M91" s="2">
        <f>[1]ישיר!$Y95</f>
        <v>464769</v>
      </c>
    </row>
    <row r="92" spans="1:13" x14ac:dyDescent="0.2">
      <c r="A92" s="26">
        <v>37803</v>
      </c>
      <c r="B92" s="2">
        <f>[1]ישיר!B96</f>
        <v>7816055</v>
      </c>
      <c r="C92" s="1">
        <f>-1*[1]ישיר!$C96</f>
        <v>-613633</v>
      </c>
      <c r="D92" s="3">
        <f>personal_labor_income_taxes!B92+C92</f>
        <v>7202422</v>
      </c>
      <c r="E92" s="2">
        <f>[1]ישיר!$F96</f>
        <v>5049252</v>
      </c>
      <c r="F92" s="2">
        <f>[1]ישיר!$V96</f>
        <v>3593671</v>
      </c>
      <c r="G92" s="2">
        <f>[1]ישיר!$H96</f>
        <v>454496</v>
      </c>
      <c r="H92" s="2">
        <f>[1]ישיר!$I96</f>
        <v>394066</v>
      </c>
      <c r="I92" s="2">
        <f>-1*[1]ישיר!$J96</f>
        <v>-5152</v>
      </c>
      <c r="J92" s="2">
        <f>-1*[1]ישיר!$AG96</f>
        <v>-329153</v>
      </c>
      <c r="K92" s="1">
        <f>-1*[1]ישיר!$AK96</f>
        <v>-13715</v>
      </c>
      <c r="L92" s="2">
        <f>-1*[1]ישיר!$Z96</f>
        <v>-121385</v>
      </c>
      <c r="M92" s="2">
        <f>[1]ישיר!$Y96</f>
        <v>482309</v>
      </c>
    </row>
    <row r="93" spans="1:13" x14ac:dyDescent="0.2">
      <c r="A93" s="26">
        <v>37834</v>
      </c>
      <c r="B93" s="2">
        <f>[1]ישיר!B97</f>
        <v>6972344</v>
      </c>
      <c r="C93" s="1">
        <f>-1*[1]ישיר!$C97</f>
        <v>-649972</v>
      </c>
      <c r="D93" s="3">
        <f>personal_labor_income_taxes!B93+C93</f>
        <v>6322372</v>
      </c>
      <c r="E93" s="2">
        <f>[1]ישיר!$F97</f>
        <v>4326773</v>
      </c>
      <c r="F93" s="2">
        <f>[1]ישיר!$V97</f>
        <v>3108135</v>
      </c>
      <c r="G93" s="2">
        <f>[1]ישיר!$H97</f>
        <v>249848</v>
      </c>
      <c r="H93" s="2">
        <f>[1]ישיר!$I97</f>
        <v>545642</v>
      </c>
      <c r="I93" s="2">
        <f>-1*[1]ישיר!$J97</f>
        <v>-4128</v>
      </c>
      <c r="J93" s="2">
        <f>-1*[1]ישיר!$AG97</f>
        <v>-286550</v>
      </c>
      <c r="K93" s="1">
        <f>-1*[1]ישיר!$AK97</f>
        <v>-8108</v>
      </c>
      <c r="L93" s="2">
        <f>-1*[1]ישיר!$Z97</f>
        <v>-106936</v>
      </c>
      <c r="M93" s="2">
        <f>[1]ישיר!$Y97</f>
        <v>583947</v>
      </c>
    </row>
    <row r="94" spans="1:13" x14ac:dyDescent="0.2">
      <c r="A94" s="26">
        <v>37865</v>
      </c>
      <c r="B94" s="2">
        <f>[1]ישיר!B98</f>
        <v>7170525</v>
      </c>
      <c r="C94" s="1">
        <f>-1*[1]ישיר!$C98</f>
        <v>-628780</v>
      </c>
      <c r="D94" s="3">
        <f>personal_labor_income_taxes!B94+C94</f>
        <v>6541745</v>
      </c>
      <c r="E94" s="2">
        <f>[1]ישיר!$F98</f>
        <v>4710926</v>
      </c>
      <c r="F94" s="2">
        <f>[1]ישיר!$V98</f>
        <v>3532954</v>
      </c>
      <c r="G94" s="2">
        <f>[1]ישיר!$H98</f>
        <v>463683</v>
      </c>
      <c r="H94" s="2">
        <f>[1]ישיר!$I98</f>
        <v>183229</v>
      </c>
      <c r="I94" s="2">
        <f>-1*[1]ישיר!$J98</f>
        <v>-2960</v>
      </c>
      <c r="J94" s="2">
        <f>-1*[1]ישיר!$AG98</f>
        <v>-295506</v>
      </c>
      <c r="K94" s="1">
        <f>-1*[1]ישיר!$AK98</f>
        <v>-13512</v>
      </c>
      <c r="L94" s="2">
        <f>-1*[1]ישיר!$Z98</f>
        <v>-103174</v>
      </c>
      <c r="M94" s="2">
        <f>[1]ישיר!$Y98</f>
        <v>453318</v>
      </c>
    </row>
    <row r="95" spans="1:13" x14ac:dyDescent="0.2">
      <c r="A95" s="26">
        <v>37895</v>
      </c>
      <c r="B95" s="2">
        <f>[1]ישיר!B99</f>
        <v>6652486</v>
      </c>
      <c r="C95" s="1">
        <f>-1*[1]ישיר!$C99</f>
        <v>-386546</v>
      </c>
      <c r="D95" s="3">
        <f>personal_labor_income_taxes!B95+C95</f>
        <v>6265940</v>
      </c>
      <c r="E95" s="2">
        <f>[1]ישיר!$F99</f>
        <v>4455021</v>
      </c>
      <c r="F95" s="2">
        <f>[1]ישיר!$V99</f>
        <v>3384061</v>
      </c>
      <c r="G95" s="2">
        <f>[1]ישיר!$H99</f>
        <v>227324</v>
      </c>
      <c r="H95" s="2">
        <f>[1]ישיר!$I99</f>
        <v>188433</v>
      </c>
      <c r="I95" s="2">
        <f>-1*[1]ישיר!$J99</f>
        <v>-3983</v>
      </c>
      <c r="J95" s="2">
        <f>-1*[1]ישיר!$AG99</f>
        <v>-191385</v>
      </c>
      <c r="K95" s="1">
        <f>-1*[1]ישיר!$AK99</f>
        <v>-12749</v>
      </c>
      <c r="L95" s="2">
        <f>-1*[1]ישיר!$Z99</f>
        <v>-105518</v>
      </c>
      <c r="M95" s="2">
        <f>[1]ישיר!$Y99</f>
        <v>479390</v>
      </c>
    </row>
    <row r="96" spans="1:13" x14ac:dyDescent="0.2">
      <c r="A96" s="26">
        <v>37926</v>
      </c>
      <c r="B96" s="2">
        <f>[1]ישיר!B100</f>
        <v>6783495</v>
      </c>
      <c r="C96" s="1">
        <f>-1*[1]ישיר!$C100</f>
        <v>-396334</v>
      </c>
      <c r="D96" s="3">
        <f>personal_labor_income_taxes!B96+C96</f>
        <v>6387161</v>
      </c>
      <c r="E96" s="2">
        <f>[1]ישיר!$F100</f>
        <v>4614810</v>
      </c>
      <c r="F96" s="2">
        <f>[1]ישיר!$V100</f>
        <v>3672792</v>
      </c>
      <c r="G96" s="2">
        <f>[1]ישיר!$H100</f>
        <v>441244</v>
      </c>
      <c r="H96" s="2">
        <f>[1]ישיר!$I100</f>
        <v>186555</v>
      </c>
      <c r="I96" s="2">
        <f>-1*[1]ישיר!$J100</f>
        <v>-2648</v>
      </c>
      <c r="J96" s="2">
        <f>-1*[1]ישיר!$AG100</f>
        <v>-156546</v>
      </c>
      <c r="K96" s="1">
        <f>-1*[1]ישיר!$AK100</f>
        <v>-8676</v>
      </c>
      <c r="L96" s="2">
        <f>-1*[1]ישיר!$Z100</f>
        <v>-90473</v>
      </c>
      <c r="M96" s="2">
        <f>[1]ישיר!$Y100</f>
        <v>520551</v>
      </c>
    </row>
    <row r="97" spans="1:13" x14ac:dyDescent="0.2">
      <c r="A97" s="26">
        <v>37956</v>
      </c>
      <c r="B97" s="2">
        <f>[1]ישיר!B101</f>
        <v>6190145</v>
      </c>
      <c r="C97" s="1">
        <f>-1*[1]ישיר!$C101</f>
        <v>-647031</v>
      </c>
      <c r="D97" s="3">
        <f>personal_labor_income_taxes!B97+C97</f>
        <v>5543114</v>
      </c>
      <c r="E97" s="2">
        <f>[1]ישיר!$F101</f>
        <v>4411330</v>
      </c>
      <c r="F97" s="2">
        <f>[1]ישיר!$V101</f>
        <v>3266898</v>
      </c>
      <c r="G97" s="2">
        <f>[1]ישיר!$H101</f>
        <v>215128</v>
      </c>
      <c r="H97" s="2">
        <f>[1]ישיר!$I101</f>
        <v>164209</v>
      </c>
      <c r="I97" s="2">
        <f>-1*[1]ישיר!$J101</f>
        <v>-7063</v>
      </c>
      <c r="J97" s="2">
        <f>-1*[1]ישיר!$AG101</f>
        <v>-175467</v>
      </c>
      <c r="K97" s="1">
        <f>-1*[1]ישיר!$AK101</f>
        <v>-4688</v>
      </c>
      <c r="L97" s="2">
        <f>-1*[1]ישיר!$Z101</f>
        <v>-97805</v>
      </c>
      <c r="M97" s="2">
        <f>[1]ישיר!$Y101</f>
        <v>514874</v>
      </c>
    </row>
    <row r="98" spans="1:13" x14ac:dyDescent="0.2">
      <c r="A98" s="26">
        <v>37987</v>
      </c>
      <c r="B98" s="2">
        <f>[1]ישיר!B102</f>
        <v>7484584</v>
      </c>
      <c r="C98" s="1">
        <f>-1*[1]ישיר!$C102</f>
        <v>-564150</v>
      </c>
      <c r="D98" s="3">
        <f>personal_labor_income_taxes!B98+C98</f>
        <v>6920434</v>
      </c>
      <c r="E98" s="2">
        <f>[1]ישיר!$F102</f>
        <v>5239621</v>
      </c>
      <c r="F98" s="2">
        <f>[1]ישיר!$V102</f>
        <v>3738511</v>
      </c>
      <c r="G98" s="2">
        <f>[1]ישיר!$H102</f>
        <v>3201</v>
      </c>
      <c r="H98" s="2">
        <f>[1]ישיר!$I102</f>
        <v>648038</v>
      </c>
      <c r="I98" s="2">
        <f>-1*[1]ישיר!$J102</f>
        <v>-5033</v>
      </c>
      <c r="J98" s="2">
        <f>-1*[1]ישיר!$AG102</f>
        <v>-210370</v>
      </c>
      <c r="K98" s="1">
        <f>-1*[1]ישיר!$AK102</f>
        <v>-5293</v>
      </c>
      <c r="L98" s="2">
        <f>-1*[1]ישיר!$Z102</f>
        <v>-97805</v>
      </c>
      <c r="M98" s="2">
        <f>[1]ישיר!$Y102</f>
        <v>536060</v>
      </c>
    </row>
    <row r="99" spans="1:13" x14ac:dyDescent="0.2">
      <c r="A99" s="26">
        <v>38018</v>
      </c>
      <c r="B99" s="2">
        <f>[1]ישיר!B103</f>
        <v>8157028</v>
      </c>
      <c r="C99" s="1">
        <f>-1*[1]ישיר!$C103</f>
        <v>-628105</v>
      </c>
      <c r="D99" s="3">
        <f>personal_labor_income_taxes!B99+C99</f>
        <v>7528923</v>
      </c>
      <c r="E99" s="2">
        <f>[1]ישיר!$F103</f>
        <v>5306171</v>
      </c>
      <c r="F99" s="2">
        <f>[1]ישיר!$V103</f>
        <v>3865049</v>
      </c>
      <c r="G99" s="2">
        <f>[1]ישיר!$H103</f>
        <v>216044</v>
      </c>
      <c r="H99" s="2">
        <f>[1]ישיר!$I103</f>
        <v>278332</v>
      </c>
      <c r="I99" s="2">
        <f>-1*[1]ישיר!$J103</f>
        <v>-6201</v>
      </c>
      <c r="J99" s="2">
        <f>-1*[1]ישיר!$AG103</f>
        <v>-186524</v>
      </c>
      <c r="K99" s="1">
        <f>-1*[1]ישיר!$AK103</f>
        <v>-5949</v>
      </c>
      <c r="L99" s="2">
        <f>-1*[1]ישיר!$Z103</f>
        <v>-104456</v>
      </c>
      <c r="M99" s="2">
        <f>[1]ישיר!$Y103</f>
        <v>661427</v>
      </c>
    </row>
    <row r="100" spans="1:13" x14ac:dyDescent="0.2">
      <c r="A100" s="26">
        <v>38047</v>
      </c>
      <c r="B100" s="2">
        <f>[1]ישיר!B104</f>
        <v>8031894</v>
      </c>
      <c r="C100" s="1">
        <f>-1*[1]ישיר!$C104</f>
        <v>-829527</v>
      </c>
      <c r="D100" s="3">
        <f>personal_labor_income_taxes!B100+C100</f>
        <v>7202367</v>
      </c>
      <c r="E100" s="2">
        <f>[1]ישיר!$F104</f>
        <v>4937287</v>
      </c>
      <c r="F100" s="2">
        <f>[1]ישיר!$V104</f>
        <v>3767546</v>
      </c>
      <c r="G100" s="2">
        <f>[1]ישיר!$H104</f>
        <v>437871</v>
      </c>
      <c r="H100" s="2">
        <f>[1]ישיר!$I104</f>
        <v>228892</v>
      </c>
      <c r="I100" s="2">
        <f>-1*[1]ישיר!$J104</f>
        <v>-3227</v>
      </c>
      <c r="J100" s="2">
        <f>-1*[1]ישיר!$AG104</f>
        <v>-172315</v>
      </c>
      <c r="K100" s="1">
        <f>-1*[1]ישיר!$AK104</f>
        <v>-10094</v>
      </c>
      <c r="L100" s="2">
        <f>-1*[1]ישיר!$Z104</f>
        <v>-103845</v>
      </c>
      <c r="M100" s="2">
        <f>[1]ישיר!$Y104</f>
        <v>643038</v>
      </c>
    </row>
    <row r="101" spans="1:13" x14ac:dyDescent="0.2">
      <c r="A101" s="26">
        <v>38078</v>
      </c>
      <c r="B101" s="2">
        <f>[1]ישיר!B105</f>
        <v>7074433</v>
      </c>
      <c r="C101" s="1">
        <f>-1*[1]ישיר!$C105</f>
        <v>-482990</v>
      </c>
      <c r="D101" s="3">
        <f>personal_labor_income_taxes!B101+C101</f>
        <v>6591443</v>
      </c>
      <c r="E101" s="2">
        <f>[1]ישיר!$F105</f>
        <v>4469483</v>
      </c>
      <c r="F101" s="2">
        <f>[1]ישיר!$V105</f>
        <v>3333042</v>
      </c>
      <c r="G101" s="2">
        <f>[1]ישיר!$H105</f>
        <v>240402</v>
      </c>
      <c r="H101" s="2">
        <f>[1]ישיר!$I105</f>
        <v>202018</v>
      </c>
      <c r="I101" s="2">
        <f>-1*[1]ישיר!$J105</f>
        <v>-3457</v>
      </c>
      <c r="J101" s="2">
        <f>-1*[1]ישיר!$AG105</f>
        <v>-102642</v>
      </c>
      <c r="K101" s="1">
        <f>-1*[1]ישיר!$AK105</f>
        <v>-5132</v>
      </c>
      <c r="L101" s="2">
        <f>-1*[1]ישיר!$Z105</f>
        <v>-113626</v>
      </c>
      <c r="M101" s="2">
        <f>[1]ישיר!$Y105</f>
        <v>486735</v>
      </c>
    </row>
    <row r="102" spans="1:13" x14ac:dyDescent="0.2">
      <c r="A102" s="26">
        <v>38108</v>
      </c>
      <c r="B102" s="2">
        <f>[1]ישיר!B106</f>
        <v>7326785</v>
      </c>
      <c r="C102" s="1">
        <f>-1*[1]ישיר!$C106</f>
        <v>-477199</v>
      </c>
      <c r="D102" s="3">
        <f>personal_labor_income_taxes!B102+C102</f>
        <v>6849586</v>
      </c>
      <c r="E102" s="2">
        <f>[1]ישיר!$F106</f>
        <v>4676075</v>
      </c>
      <c r="F102" s="2">
        <f>[1]ישיר!$V106</f>
        <v>3573971</v>
      </c>
      <c r="G102" s="2">
        <f>[1]ישיר!$H106</f>
        <v>466736</v>
      </c>
      <c r="H102" s="2">
        <f>[1]ישיר!$I106</f>
        <v>221842</v>
      </c>
      <c r="I102" s="2">
        <f>-1*[1]ישיר!$J106</f>
        <v>-4420</v>
      </c>
      <c r="J102" s="2">
        <f>-1*[1]ישיר!$AG106</f>
        <v>-160488</v>
      </c>
      <c r="K102" s="1">
        <f>-1*[1]ישיר!$AK106</f>
        <v>-12567</v>
      </c>
      <c r="L102" s="2">
        <f>-1*[1]ישיר!$Z106</f>
        <v>-137634</v>
      </c>
      <c r="M102" s="2">
        <f>[1]ישיר!$Y106</f>
        <v>532126</v>
      </c>
    </row>
    <row r="103" spans="1:13" x14ac:dyDescent="0.2">
      <c r="A103" s="26">
        <v>38139</v>
      </c>
      <c r="B103" s="2">
        <f>[1]ישיר!B107</f>
        <v>6640058</v>
      </c>
      <c r="C103" s="1">
        <f>-1*[1]ישיר!$C107</f>
        <v>-778290</v>
      </c>
      <c r="D103" s="3">
        <f>personal_labor_income_taxes!B103+C103</f>
        <v>5861768</v>
      </c>
      <c r="E103" s="2">
        <f>[1]ישיר!$F107</f>
        <v>4081746</v>
      </c>
      <c r="F103" s="2">
        <f>[1]ישיר!$V107</f>
        <v>3030193</v>
      </c>
      <c r="G103" s="2">
        <f>[1]ישיר!$H107</f>
        <v>243997</v>
      </c>
      <c r="H103" s="2">
        <f>[1]ישיר!$I107</f>
        <v>206719</v>
      </c>
      <c r="I103" s="2">
        <f>-1*[1]ישיר!$J107</f>
        <v>-5112</v>
      </c>
      <c r="J103" s="2">
        <f>-1*[1]ישיר!$AG107</f>
        <v>-373243</v>
      </c>
      <c r="K103" s="1">
        <f>-1*[1]ישיר!$AK107</f>
        <v>-11072</v>
      </c>
      <c r="L103" s="2">
        <f>-1*[1]ישיר!$Z107</f>
        <v>-104183</v>
      </c>
      <c r="M103" s="2">
        <f>[1]ישיר!$Y107</f>
        <v>478826</v>
      </c>
    </row>
    <row r="104" spans="1:13" x14ac:dyDescent="0.2">
      <c r="A104" s="26">
        <v>38169</v>
      </c>
      <c r="B104" s="2">
        <f>[1]ישיר!B108</f>
        <v>7887460</v>
      </c>
      <c r="C104" s="1">
        <f>-1*[1]ישיר!$C108</f>
        <v>-801687</v>
      </c>
      <c r="D104" s="3">
        <f>personal_labor_income_taxes!B104+C104</f>
        <v>7085773</v>
      </c>
      <c r="E104" s="2">
        <f>[1]ישיר!$F108</f>
        <v>4950935</v>
      </c>
      <c r="F104" s="2">
        <f>[1]ישיר!$V108</f>
        <v>3772855</v>
      </c>
      <c r="G104" s="2">
        <f>[1]ישיר!$H108</f>
        <v>492137</v>
      </c>
      <c r="H104" s="2">
        <f>[1]ישיר!$I108</f>
        <v>261823</v>
      </c>
      <c r="I104" s="2">
        <f>-1*[1]ישיר!$J108</f>
        <v>-8223</v>
      </c>
      <c r="J104" s="2">
        <f>-1*[1]ישיר!$AG108</f>
        <v>-344516</v>
      </c>
      <c r="K104" s="1">
        <f>-1*[1]ישיר!$AK108</f>
        <v>-9566</v>
      </c>
      <c r="L104" s="2">
        <f>-1*[1]ישיר!$Z108</f>
        <v>-120564</v>
      </c>
      <c r="M104" s="2">
        <f>[1]ישיר!$Y108</f>
        <v>530405</v>
      </c>
    </row>
    <row r="105" spans="1:13" x14ac:dyDescent="0.2">
      <c r="A105" s="26">
        <v>38200</v>
      </c>
      <c r="B105" s="2">
        <f>[1]ישיר!B109</f>
        <v>6857405</v>
      </c>
      <c r="C105" s="1">
        <f>-1*[1]ישיר!$C109</f>
        <v>-682686</v>
      </c>
      <c r="D105" s="3">
        <f>personal_labor_income_taxes!B105+C105</f>
        <v>6174719</v>
      </c>
      <c r="E105" s="2">
        <f>[1]ישיר!$F109</f>
        <v>4270124</v>
      </c>
      <c r="F105" s="2">
        <f>[1]ישיר!$V109</f>
        <v>3114766</v>
      </c>
      <c r="G105" s="2">
        <f>[1]ישיר!$H109</f>
        <v>262756</v>
      </c>
      <c r="H105" s="2">
        <f>[1]ישיר!$I109</f>
        <v>221285</v>
      </c>
      <c r="I105" s="2">
        <f>-1*[1]ישיר!$J109</f>
        <v>-4165</v>
      </c>
      <c r="J105" s="2">
        <f>-1*[1]ישיר!$AG109</f>
        <v>-360692</v>
      </c>
      <c r="K105" s="1">
        <f>-1*[1]ישיר!$AK109</f>
        <v>-8320</v>
      </c>
      <c r="L105" s="2">
        <f>-1*[1]ישיר!$Z109</f>
        <v>-92891</v>
      </c>
      <c r="M105" s="2">
        <f>[1]ישיר!$Y109</f>
        <v>500110</v>
      </c>
    </row>
    <row r="106" spans="1:13" x14ac:dyDescent="0.2">
      <c r="A106" s="26">
        <v>38231</v>
      </c>
      <c r="B106" s="2">
        <f>[1]ישיר!B110</f>
        <v>7394611</v>
      </c>
      <c r="C106" s="1">
        <f>-1*[1]ישיר!$C110</f>
        <v>-469115</v>
      </c>
      <c r="D106" s="3">
        <f>personal_labor_income_taxes!B106+C106</f>
        <v>6925496</v>
      </c>
      <c r="E106" s="2">
        <f>[1]ישיר!$F110</f>
        <v>4464370</v>
      </c>
      <c r="F106" s="2">
        <f>[1]ישיר!$V110</f>
        <v>3335714</v>
      </c>
      <c r="G106" s="2">
        <f>[1]ישיר!$H110</f>
        <v>505298</v>
      </c>
      <c r="H106" s="2">
        <f>[1]ישיר!$I110</f>
        <v>186380</v>
      </c>
      <c r="I106" s="2">
        <f>-1*[1]ישיר!$J110</f>
        <v>-2551</v>
      </c>
      <c r="J106" s="2">
        <f>-1*[1]ישיר!$AG110</f>
        <v>-271384</v>
      </c>
      <c r="K106" s="1">
        <f>-1*[1]ישיר!$AK110</f>
        <v>-7435</v>
      </c>
      <c r="L106" s="2">
        <f>-1*[1]ישיר!$Z110</f>
        <v>-102633</v>
      </c>
      <c r="M106" s="2">
        <f>[1]ישיר!$Y110</f>
        <v>473274</v>
      </c>
    </row>
    <row r="107" spans="1:13" x14ac:dyDescent="0.2">
      <c r="A107" s="26">
        <v>38261</v>
      </c>
      <c r="B107" s="2">
        <f>[1]ישיר!B111</f>
        <v>6784471</v>
      </c>
      <c r="C107" s="1">
        <f>-1*[1]ישיר!$C111</f>
        <v>-436426</v>
      </c>
      <c r="D107" s="3">
        <f>personal_labor_income_taxes!B107+C107</f>
        <v>6348045</v>
      </c>
      <c r="E107" s="2">
        <f>[1]ישיר!$F111</f>
        <v>4169962</v>
      </c>
      <c r="F107" s="2">
        <f>[1]ישיר!$V111</f>
        <v>3216664</v>
      </c>
      <c r="G107" s="2">
        <f>[1]ישיר!$H111</f>
        <v>232746</v>
      </c>
      <c r="H107" s="2">
        <f>[1]ישיר!$I111</f>
        <v>205476</v>
      </c>
      <c r="I107" s="2">
        <f>-1*[1]ישיר!$J111</f>
        <v>-4826</v>
      </c>
      <c r="J107" s="2">
        <f>-1*[1]ישיר!$AG111</f>
        <v>-244910</v>
      </c>
      <c r="K107" s="1">
        <f>-1*[1]ישיר!$AK111</f>
        <v>-7693</v>
      </c>
      <c r="L107" s="2">
        <f>-1*[1]ישיר!$Z111</f>
        <v>-91059</v>
      </c>
      <c r="M107" s="2">
        <f>[1]ישיר!$Y111</f>
        <v>495820</v>
      </c>
    </row>
    <row r="108" spans="1:13" x14ac:dyDescent="0.2">
      <c r="A108" s="26">
        <v>38292</v>
      </c>
      <c r="B108" s="2">
        <f>[1]ישיר!B112</f>
        <v>7277169</v>
      </c>
      <c r="C108" s="1">
        <f>-1*[1]ישיר!$C112</f>
        <v>-593229</v>
      </c>
      <c r="D108" s="3">
        <f>personal_labor_income_taxes!B108+C108</f>
        <v>6683940</v>
      </c>
      <c r="E108" s="2">
        <f>[1]ישיר!$F112</f>
        <v>4404609</v>
      </c>
      <c r="F108" s="2">
        <f>[1]ישיר!$V112</f>
        <v>3282226</v>
      </c>
      <c r="G108" s="2">
        <f>[1]ישיר!$H112</f>
        <v>481927</v>
      </c>
      <c r="H108" s="2">
        <f>[1]ישיר!$I112</f>
        <v>179467</v>
      </c>
      <c r="I108" s="2">
        <f>-1*[1]ישיר!$J112</f>
        <v>-4769</v>
      </c>
      <c r="J108" s="2">
        <f>-1*[1]ישיר!$AG112</f>
        <v>-303909</v>
      </c>
      <c r="K108" s="1">
        <f>-1*[1]ישיר!$AK112</f>
        <v>-6458</v>
      </c>
      <c r="L108" s="2">
        <f>-1*[1]ישיר!$Z112</f>
        <v>-97684</v>
      </c>
      <c r="M108" s="2">
        <f>[1]ישיר!$Y112</f>
        <v>491710</v>
      </c>
    </row>
    <row r="109" spans="1:13" x14ac:dyDescent="0.2">
      <c r="A109" s="26">
        <v>38322</v>
      </c>
      <c r="B109" s="2">
        <f>[1]ישיר!B113</f>
        <v>6650952</v>
      </c>
      <c r="C109" s="1">
        <f>-1*[1]ישיר!$C113</f>
        <v>-711977</v>
      </c>
      <c r="D109" s="3">
        <f>personal_labor_income_taxes!B109+C109</f>
        <v>5938975</v>
      </c>
      <c r="E109" s="2">
        <f>[1]ישיר!$F113</f>
        <v>4385541</v>
      </c>
      <c r="F109" s="2">
        <f>[1]ישיר!$V113</f>
        <v>3221393</v>
      </c>
      <c r="G109" s="2">
        <f>[1]ישיר!$H113</f>
        <v>245560</v>
      </c>
      <c r="H109" s="2">
        <f>[1]ישיר!$I113</f>
        <v>216753</v>
      </c>
      <c r="I109" s="2">
        <f>-1*[1]ישיר!$J113</f>
        <v>-4630</v>
      </c>
      <c r="J109" s="2">
        <f>-1*[1]ישיר!$AG113</f>
        <v>-260162</v>
      </c>
      <c r="K109" s="1">
        <f>-1*[1]ישיר!$AK113</f>
        <v>-9007</v>
      </c>
      <c r="L109" s="2">
        <f>-1*[1]ישיר!$Z113</f>
        <v>-96050</v>
      </c>
      <c r="M109" s="2">
        <f>[1]ישיר!$Y113</f>
        <v>517430</v>
      </c>
    </row>
    <row r="110" spans="1:13" x14ac:dyDescent="0.2">
      <c r="A110" s="26">
        <v>38353</v>
      </c>
      <c r="B110" s="2">
        <f>[1]ישיר!B114</f>
        <v>8925754</v>
      </c>
      <c r="C110" s="1">
        <f>-1*[1]ישיר!$C114</f>
        <v>-551358</v>
      </c>
      <c r="D110" s="3">
        <f>personal_labor_income_taxes!B110+C110</f>
        <v>8374396</v>
      </c>
      <c r="E110" s="2">
        <f>[1]ישיר!$F114</f>
        <v>5645039</v>
      </c>
      <c r="F110" s="2">
        <f>[1]ישיר!$V114</f>
        <v>4195048</v>
      </c>
      <c r="G110" s="2">
        <f>[1]ישיר!$H114</f>
        <v>3921</v>
      </c>
      <c r="H110" s="2">
        <f>[1]ישיר!$I114</f>
        <v>908411</v>
      </c>
      <c r="I110" s="2">
        <f>-1*[1]ישיר!$J114</f>
        <v>-4369</v>
      </c>
      <c r="J110" s="2">
        <f>-1*[1]ישיר!$AG114</f>
        <v>-198121</v>
      </c>
      <c r="K110" s="1">
        <f>-1*[1]ישיר!$AK114</f>
        <v>-11271</v>
      </c>
      <c r="L110" s="2">
        <f>-1*[1]ישיר!$Z114</f>
        <v>-105962</v>
      </c>
      <c r="M110" s="2">
        <f>[1]ישיר!$Y114</f>
        <v>625482</v>
      </c>
    </row>
    <row r="111" spans="1:13" x14ac:dyDescent="0.2">
      <c r="A111" s="26">
        <v>38384</v>
      </c>
      <c r="B111" s="2">
        <f>[1]ישיר!B115</f>
        <v>7701864</v>
      </c>
      <c r="C111" s="1">
        <f>-1*[1]ישיר!$C115</f>
        <v>-698994</v>
      </c>
      <c r="D111" s="3">
        <f>personal_labor_income_taxes!B111+C111</f>
        <v>7002870</v>
      </c>
      <c r="E111" s="2">
        <f>[1]ישיר!$F115</f>
        <v>4708929</v>
      </c>
      <c r="F111" s="2">
        <f>[1]ישיר!$V115</f>
        <v>3407320</v>
      </c>
      <c r="G111" s="2">
        <f>[1]ישיר!$H115</f>
        <v>206674</v>
      </c>
      <c r="H111" s="2">
        <f>[1]ישיר!$I115</f>
        <v>311955</v>
      </c>
      <c r="I111" s="2">
        <f>-1*[1]ישיר!$J115</f>
        <v>-5310</v>
      </c>
      <c r="J111" s="2">
        <f>-1*[1]ישיר!$AG115</f>
        <v>-179901</v>
      </c>
      <c r="K111" s="1">
        <f>-1*[1]ישיר!$AK115</f>
        <v>-7771</v>
      </c>
      <c r="L111" s="2">
        <f>-1*[1]ישיר!$Z115</f>
        <v>-96767</v>
      </c>
      <c r="M111" s="2">
        <f>[1]ישיר!$Y115</f>
        <v>578253</v>
      </c>
    </row>
    <row r="112" spans="1:13" x14ac:dyDescent="0.2">
      <c r="A112" s="26">
        <v>38412</v>
      </c>
      <c r="B112" s="2">
        <f>[1]ישיר!B116</f>
        <v>8295198</v>
      </c>
      <c r="C112" s="1">
        <f>-1*[1]ישיר!$C116</f>
        <v>-475885</v>
      </c>
      <c r="D112" s="3">
        <f>personal_labor_income_taxes!B112+C112</f>
        <v>7819313</v>
      </c>
      <c r="E112" s="2">
        <f>[1]ישיר!$F116</f>
        <v>4701389</v>
      </c>
      <c r="F112" s="2">
        <f>[1]ישיר!$V116</f>
        <v>3429424</v>
      </c>
      <c r="G112" s="2">
        <f>[1]ישיר!$H116</f>
        <v>467935</v>
      </c>
      <c r="H112" s="2">
        <f>[1]ישיר!$I116</f>
        <v>412917</v>
      </c>
      <c r="I112" s="2">
        <f>-1*[1]ישיר!$J116</f>
        <v>-6363</v>
      </c>
      <c r="J112" s="2">
        <f>-1*[1]ישיר!$AG116</f>
        <v>-164091</v>
      </c>
      <c r="K112" s="1">
        <f>-1*[1]ישיר!$AK116</f>
        <v>-12188</v>
      </c>
      <c r="L112" s="2">
        <f>-1*[1]ישיר!$Z116</f>
        <v>-111565</v>
      </c>
      <c r="M112" s="2">
        <f>[1]ישיר!$Y116</f>
        <v>511459</v>
      </c>
    </row>
    <row r="113" spans="1:13" x14ac:dyDescent="0.2">
      <c r="A113" s="26">
        <v>38443</v>
      </c>
      <c r="B113" s="2">
        <f>[1]ישיר!B117</f>
        <v>7403884</v>
      </c>
      <c r="C113" s="1">
        <f>-1*[1]ישיר!$C117</f>
        <v>-358231</v>
      </c>
      <c r="D113" s="3">
        <f>personal_labor_income_taxes!B113+C113</f>
        <v>7045653</v>
      </c>
      <c r="E113" s="2">
        <f>[1]ישיר!$F117</f>
        <v>4260546</v>
      </c>
      <c r="F113" s="2">
        <f>[1]ישיר!$V117</f>
        <v>3083428</v>
      </c>
      <c r="G113" s="2">
        <f>[1]ישיר!$H117</f>
        <v>232519</v>
      </c>
      <c r="H113" s="2">
        <f>[1]ישיר!$I117</f>
        <v>243999</v>
      </c>
      <c r="I113" s="2">
        <f>-1*[1]ישיר!$J117</f>
        <v>-5266</v>
      </c>
      <c r="J113" s="2">
        <f>-1*[1]ישיר!$AG117</f>
        <v>-101140</v>
      </c>
      <c r="K113" s="1">
        <f>-1*[1]ישיר!$AK117</f>
        <v>-3519</v>
      </c>
      <c r="L113" s="2">
        <f>-1*[1]ישיר!$Z117</f>
        <v>-106383</v>
      </c>
      <c r="M113" s="2">
        <f>[1]ישיר!$Y117</f>
        <v>502762</v>
      </c>
    </row>
    <row r="114" spans="1:13" x14ac:dyDescent="0.2">
      <c r="A114" s="26">
        <v>38473</v>
      </c>
      <c r="B114" s="2">
        <f>[1]ישיר!B118</f>
        <v>8337693</v>
      </c>
      <c r="C114" s="1">
        <f>-1*[1]ישיר!$C118</f>
        <v>-407998</v>
      </c>
      <c r="D114" s="3">
        <f>personal_labor_income_taxes!B114+C114</f>
        <v>7929695</v>
      </c>
      <c r="E114" s="2">
        <f>[1]ישיר!$F118</f>
        <v>5119408</v>
      </c>
      <c r="F114" s="2">
        <f>[1]ישיר!$V118</f>
        <v>3892629</v>
      </c>
      <c r="G114" s="2">
        <f>[1]ישיר!$H118</f>
        <v>517963</v>
      </c>
      <c r="H114" s="2">
        <f>[1]ישיר!$I118</f>
        <v>237036</v>
      </c>
      <c r="I114" s="2">
        <f>-1*[1]ישיר!$J118</f>
        <v>-5468</v>
      </c>
      <c r="J114" s="2">
        <f>-1*[1]ישיר!$AG118</f>
        <v>-213501</v>
      </c>
      <c r="K114" s="1">
        <f>-1*[1]ישיר!$AK118</f>
        <v>-3814</v>
      </c>
      <c r="L114" s="2">
        <f>-1*[1]ישיר!$Z118</f>
        <v>-151733</v>
      </c>
      <c r="M114" s="2">
        <f>[1]ישיר!$Y118</f>
        <v>521371</v>
      </c>
    </row>
    <row r="115" spans="1:13" x14ac:dyDescent="0.2">
      <c r="A115" s="26">
        <v>38504</v>
      </c>
      <c r="B115" s="2">
        <f>[1]ישיר!B119</f>
        <v>7590230</v>
      </c>
      <c r="C115" s="1">
        <f>-1*[1]ישיר!$C119</f>
        <v>-575883</v>
      </c>
      <c r="D115" s="3">
        <f>personal_labor_income_taxes!B115+C115</f>
        <v>7014347</v>
      </c>
      <c r="E115" s="2">
        <f>[1]ישיר!$F119</f>
        <v>4358183</v>
      </c>
      <c r="F115" s="2">
        <f>[1]ישיר!$V119</f>
        <v>3011534</v>
      </c>
      <c r="G115" s="2">
        <f>[1]ישיר!$H119</f>
        <v>247267</v>
      </c>
      <c r="H115" s="2">
        <f>[1]ישיר!$I119</f>
        <v>288102</v>
      </c>
      <c r="I115" s="2">
        <f>-1*[1]ישיר!$J119</f>
        <v>-10529</v>
      </c>
      <c r="J115" s="2">
        <f>-1*[1]ישיר!$AG119</f>
        <v>-337908</v>
      </c>
      <c r="K115" s="1">
        <f>-1*[1]ישיר!$AK119</f>
        <v>-23554</v>
      </c>
      <c r="L115" s="2">
        <f>-1*[1]ישיר!$Z119</f>
        <v>-159383</v>
      </c>
      <c r="M115" s="2">
        <f>[1]ישיר!$Y119</f>
        <v>554206</v>
      </c>
    </row>
    <row r="116" spans="1:13" x14ac:dyDescent="0.2">
      <c r="A116" s="26">
        <v>38534</v>
      </c>
      <c r="B116" s="2">
        <f>[1]ישיר!B120</f>
        <v>8293059</v>
      </c>
      <c r="C116" s="1">
        <f>-1*[1]ישיר!$C120</f>
        <v>-686581</v>
      </c>
      <c r="D116" s="3">
        <f>personal_labor_income_taxes!B116+C116</f>
        <v>7606478</v>
      </c>
      <c r="E116" s="2">
        <f>[1]ישיר!$F120</f>
        <v>5072509</v>
      </c>
      <c r="F116" s="2">
        <f>[1]ישיר!$V120</f>
        <v>3741700</v>
      </c>
      <c r="G116" s="2">
        <f>[1]ישיר!$H120</f>
        <v>538762</v>
      </c>
      <c r="H116" s="2">
        <f>[1]ישיר!$I120</f>
        <v>225899</v>
      </c>
      <c r="I116" s="2">
        <f>-1*[1]ישיר!$J120</f>
        <v>-9144</v>
      </c>
      <c r="J116" s="2">
        <f>-1*[1]ישיר!$AG120</f>
        <v>-371689</v>
      </c>
      <c r="K116" s="1">
        <f>-1*[1]ישיר!$AK120</f>
        <v>-8439</v>
      </c>
      <c r="L116" s="2">
        <f>-1*[1]ישיר!$Z120</f>
        <v>-138421</v>
      </c>
      <c r="M116" s="2">
        <f>[1]ישיר!$Y120</f>
        <v>608433</v>
      </c>
    </row>
    <row r="117" spans="1:13" x14ac:dyDescent="0.2">
      <c r="A117" s="26">
        <v>38565</v>
      </c>
      <c r="B117" s="2">
        <f>[1]ישיר!B121</f>
        <v>7821499</v>
      </c>
      <c r="C117" s="1">
        <f>-1*[1]ישיר!$C121</f>
        <v>-666230</v>
      </c>
      <c r="D117" s="3">
        <f>personal_labor_income_taxes!B117+C117</f>
        <v>7155269</v>
      </c>
      <c r="E117" s="2">
        <f>[1]ישיר!$F121</f>
        <v>4668395</v>
      </c>
      <c r="F117" s="2">
        <f>[1]ישיר!$V121</f>
        <v>3353671</v>
      </c>
      <c r="G117" s="2">
        <f>[1]ישיר!$H121</f>
        <v>286152</v>
      </c>
      <c r="H117" s="2">
        <f>[1]ישיר!$I121</f>
        <v>352830</v>
      </c>
      <c r="I117" s="2">
        <f>-1*[1]ישיר!$J121</f>
        <v>-6224</v>
      </c>
      <c r="J117" s="2">
        <f>-1*[1]ישיר!$AG121</f>
        <v>-378842</v>
      </c>
      <c r="K117" s="1">
        <f>-1*[1]ישיר!$AK121</f>
        <v>-10394</v>
      </c>
      <c r="L117" s="2">
        <f>-1*[1]ישיר!$Z121</f>
        <v>-120651</v>
      </c>
      <c r="M117" s="2">
        <f>[1]ישיר!$Y121</f>
        <v>662374</v>
      </c>
    </row>
    <row r="118" spans="1:13" x14ac:dyDescent="0.2">
      <c r="A118" s="26">
        <v>38596</v>
      </c>
      <c r="B118" s="2">
        <f>[1]ישיר!B122</f>
        <v>8609509</v>
      </c>
      <c r="C118" s="1">
        <f>-1*[1]ישיר!$C122</f>
        <v>-899982</v>
      </c>
      <c r="D118" s="3">
        <f>personal_labor_income_taxes!B118+C118</f>
        <v>7709527</v>
      </c>
      <c r="E118" s="2">
        <f>[1]ישיר!$F122</f>
        <v>4776915</v>
      </c>
      <c r="F118" s="2">
        <f>[1]ישיר!$V122</f>
        <v>3590669</v>
      </c>
      <c r="G118" s="2">
        <f>[1]ישיר!$H122</f>
        <v>597431</v>
      </c>
      <c r="H118" s="2">
        <f>[1]ישיר!$I122</f>
        <v>308659</v>
      </c>
      <c r="I118" s="2">
        <f>-1*[1]ישיר!$J122</f>
        <v>-11323</v>
      </c>
      <c r="J118" s="2">
        <f>-1*[1]ישיר!$AG122</f>
        <v>-318688</v>
      </c>
      <c r="K118" s="1">
        <f>-1*[1]ישיר!$AK122</f>
        <v>-7826</v>
      </c>
      <c r="L118" s="2">
        <f>-1*[1]ישיר!$Z122</f>
        <v>-121470</v>
      </c>
      <c r="M118" s="2">
        <f>[1]ישיר!$Y122</f>
        <v>595145</v>
      </c>
    </row>
    <row r="119" spans="1:13" x14ac:dyDescent="0.2">
      <c r="A119" s="26">
        <v>38626</v>
      </c>
      <c r="B119" s="2">
        <f>[1]ישיר!B123</f>
        <v>7485496</v>
      </c>
      <c r="C119" s="1">
        <f>-1*[1]ישיר!$C123</f>
        <v>-284010</v>
      </c>
      <c r="D119" s="3">
        <f>personal_labor_income_taxes!B119+C119</f>
        <v>7201486</v>
      </c>
      <c r="E119" s="2">
        <f>[1]ישיר!$F123</f>
        <v>4598103</v>
      </c>
      <c r="F119" s="2">
        <f>[1]ישיר!$V123</f>
        <v>3458115</v>
      </c>
      <c r="G119" s="2">
        <f>[1]ישיר!$H123</f>
        <v>265228</v>
      </c>
      <c r="H119" s="2">
        <f>[1]ישיר!$I123</f>
        <v>172935</v>
      </c>
      <c r="I119" s="2">
        <f>-1*[1]ישיר!$J123</f>
        <v>-2685</v>
      </c>
      <c r="J119" s="2">
        <f>-1*[1]ישיר!$AG123</f>
        <v>-169849</v>
      </c>
      <c r="K119" s="1">
        <f>-1*[1]ישיר!$AK123</f>
        <v>-4108</v>
      </c>
      <c r="L119" s="2">
        <f>-1*[1]ישיר!$Z123</f>
        <v>-118781</v>
      </c>
      <c r="M119" s="2">
        <f>[1]ישיר!$Y123</f>
        <v>613406</v>
      </c>
    </row>
    <row r="120" spans="1:13" x14ac:dyDescent="0.2">
      <c r="A120" s="26">
        <v>38657</v>
      </c>
      <c r="B120" s="2">
        <f>[1]ישיר!B124</f>
        <v>8097252</v>
      </c>
      <c r="C120" s="1">
        <f>-1*[1]ישיר!$C124</f>
        <v>-524691</v>
      </c>
      <c r="D120" s="3">
        <f>personal_labor_income_taxes!B120+C120</f>
        <v>7572561</v>
      </c>
      <c r="E120" s="2">
        <f>[1]ישיר!$F124</f>
        <v>4687454</v>
      </c>
      <c r="F120" s="2">
        <f>[1]ישיר!$V124</f>
        <v>3367234</v>
      </c>
      <c r="G120" s="2">
        <f>[1]ישיר!$H124</f>
        <v>514445</v>
      </c>
      <c r="H120" s="2">
        <f>[1]ישיר!$I124</f>
        <v>259162</v>
      </c>
      <c r="I120" s="2">
        <f>-1*[1]ישיר!$J124</f>
        <v>-5679</v>
      </c>
      <c r="J120" s="2">
        <f>-1*[1]ישיר!$AG124</f>
        <v>-256689</v>
      </c>
      <c r="K120" s="1">
        <f>-1*[1]ישיר!$AK124</f>
        <v>-15471</v>
      </c>
      <c r="L120" s="2">
        <f>-1*[1]ישיר!$Z124</f>
        <v>-113659</v>
      </c>
      <c r="M120" s="2">
        <f>[1]ישיר!$Y124</f>
        <v>520376</v>
      </c>
    </row>
    <row r="121" spans="1:13" x14ac:dyDescent="0.2">
      <c r="A121" s="26">
        <v>38687</v>
      </c>
      <c r="B121" s="2">
        <f>[1]ישיר!B125</f>
        <v>7071961</v>
      </c>
      <c r="C121" s="1">
        <f>-1*[1]ישיר!$C125</f>
        <v>-1131702</v>
      </c>
      <c r="D121" s="3">
        <f>personal_labor_income_taxes!B121+C121</f>
        <v>5940259</v>
      </c>
      <c r="E121" s="2">
        <f>[1]ישיר!$F125</f>
        <v>4604404</v>
      </c>
      <c r="F121" s="2">
        <f>[1]ישיר!$V125</f>
        <v>3301991</v>
      </c>
      <c r="G121" s="2">
        <f>[1]ישיר!$H125</f>
        <v>241081</v>
      </c>
      <c r="H121" s="2">
        <f>[1]ישיר!$I125</f>
        <v>226128</v>
      </c>
      <c r="I121" s="2">
        <f>-1*[1]ישיר!$J125</f>
        <v>-5043</v>
      </c>
      <c r="J121" s="2">
        <f>-1*[1]ישיר!$AG125</f>
        <v>-300485</v>
      </c>
      <c r="K121" s="1">
        <f>-1*[1]ישיר!$AK125</f>
        <v>-8948</v>
      </c>
      <c r="L121" s="2">
        <f>-1*[1]ישיר!$Z125</f>
        <v>-104545</v>
      </c>
      <c r="M121" s="2">
        <f>[1]ישיר!$Y125</f>
        <v>551125</v>
      </c>
    </row>
    <row r="122" spans="1:13" x14ac:dyDescent="0.2">
      <c r="A122" s="26">
        <v>38718</v>
      </c>
      <c r="B122" s="2">
        <f>[1]ישיר!B126</f>
        <v>10450197</v>
      </c>
      <c r="C122" s="1">
        <f>-1*[1]ישיר!$C126</f>
        <v>-474068</v>
      </c>
      <c r="D122" s="3">
        <f>personal_labor_income_taxes!B122+C122</f>
        <v>9976129</v>
      </c>
      <c r="E122" s="2">
        <f>[1]ישיר!$F126</f>
        <v>6342020</v>
      </c>
      <c r="F122" s="2">
        <f>[1]ישיר!$V126</f>
        <v>4111701</v>
      </c>
      <c r="G122" s="2">
        <f>[1]ישיר!$H126</f>
        <v>12043</v>
      </c>
      <c r="H122" s="2">
        <f>[1]ישיר!$I126</f>
        <v>1035609</v>
      </c>
      <c r="I122" s="2">
        <f>-1*[1]ישיר!$J126</f>
        <v>-8026</v>
      </c>
      <c r="J122" s="2">
        <f>-1*[1]ישיר!$AG126</f>
        <v>-188973</v>
      </c>
      <c r="K122" s="1">
        <f>-1*[1]ישיר!$AK126</f>
        <v>-9945</v>
      </c>
      <c r="L122" s="2">
        <f>-1*[1]ישיר!$Z126</f>
        <v>-155531</v>
      </c>
      <c r="M122" s="2">
        <f>[1]ישיר!$Y126</f>
        <v>573997</v>
      </c>
    </row>
    <row r="123" spans="1:13" x14ac:dyDescent="0.2">
      <c r="A123" s="26">
        <v>38749</v>
      </c>
      <c r="B123" s="2">
        <f>[1]ישיר!B127</f>
        <v>9358951</v>
      </c>
      <c r="C123" s="1">
        <f>-1*[1]ישיר!$C127</f>
        <v>-442619</v>
      </c>
      <c r="D123" s="3">
        <f>personal_labor_income_taxes!B123+C123</f>
        <v>8916332</v>
      </c>
      <c r="E123" s="2">
        <f>[1]ישיר!$F127</f>
        <v>5071524</v>
      </c>
      <c r="F123" s="2">
        <f>[1]ישיר!$V127</f>
        <v>3554260</v>
      </c>
      <c r="G123" s="2">
        <f>[1]ישיר!$H127</f>
        <v>249259</v>
      </c>
      <c r="H123" s="2">
        <f>[1]ישיר!$I127</f>
        <v>472871</v>
      </c>
      <c r="I123" s="2">
        <f>-1*[1]ישיר!$J127</f>
        <v>-4054</v>
      </c>
      <c r="J123" s="2">
        <f>-1*[1]ישיר!$AG127</f>
        <v>-149109</v>
      </c>
      <c r="K123" s="1">
        <f>-1*[1]ישיר!$AK127</f>
        <v>-11096</v>
      </c>
      <c r="L123" s="2">
        <f>-1*[1]ישיר!$Z127</f>
        <v>-137969</v>
      </c>
      <c r="M123" s="2">
        <f>[1]ישיר!$Y127</f>
        <v>570816</v>
      </c>
    </row>
    <row r="124" spans="1:13" x14ac:dyDescent="0.2">
      <c r="A124" s="26">
        <v>38777</v>
      </c>
      <c r="B124" s="2">
        <f>[1]ישיר!B128</f>
        <v>9130679</v>
      </c>
      <c r="C124" s="1">
        <f>-1*[1]ישיר!$C128</f>
        <v>-475537</v>
      </c>
      <c r="D124" s="3">
        <f>personal_labor_income_taxes!B124+C124</f>
        <v>8655142</v>
      </c>
      <c r="E124" s="2">
        <f>[1]ישיר!$F128</f>
        <v>5225869</v>
      </c>
      <c r="F124" s="2">
        <f>[1]ישיר!$V128</f>
        <v>3823069</v>
      </c>
      <c r="G124" s="2">
        <f>[1]ישיר!$H128</f>
        <v>517707</v>
      </c>
      <c r="H124" s="2">
        <f>[1]ישיר!$I128</f>
        <v>288671</v>
      </c>
      <c r="I124" s="2">
        <f>-1*[1]ישיר!$J128</f>
        <v>-4988</v>
      </c>
      <c r="J124" s="2">
        <f>-1*[1]ישיר!$AG128</f>
        <v>-131564</v>
      </c>
      <c r="K124" s="1">
        <f>-1*[1]ישיר!$AK128</f>
        <v>-10142</v>
      </c>
      <c r="L124" s="2">
        <f>-1*[1]ישיר!$Z128</f>
        <v>-169561</v>
      </c>
      <c r="M124" s="2">
        <f>[1]ישיר!$Y128</f>
        <v>553696</v>
      </c>
    </row>
    <row r="125" spans="1:13" x14ac:dyDescent="0.2">
      <c r="A125" s="26">
        <v>38808</v>
      </c>
      <c r="B125" s="2">
        <f>[1]ישיר!B129</f>
        <v>9441985</v>
      </c>
      <c r="C125" s="1">
        <f>-1*[1]ישיר!$C129</f>
        <v>-434018</v>
      </c>
      <c r="D125" s="3">
        <f>personal_labor_income_taxes!B125+C125</f>
        <v>9007967</v>
      </c>
      <c r="E125" s="2">
        <f>[1]ישיר!$F129</f>
        <v>4913873</v>
      </c>
      <c r="F125" s="2">
        <f>[1]ישיר!$V129</f>
        <v>3539130</v>
      </c>
      <c r="G125" s="2">
        <f>[1]ישיר!$H129</f>
        <v>267355</v>
      </c>
      <c r="H125" s="2">
        <f>[1]ישיר!$I129</f>
        <v>631781</v>
      </c>
      <c r="I125" s="2">
        <f>-1*[1]ישיר!$J129</f>
        <v>-3272</v>
      </c>
      <c r="J125" s="2">
        <f>-1*[1]ישיר!$AG129</f>
        <v>-83584</v>
      </c>
      <c r="K125" s="1">
        <f>-1*[1]ישיר!$AK129</f>
        <v>-4585</v>
      </c>
      <c r="L125" s="2">
        <f>-1*[1]ישיר!$Z129</f>
        <v>-161160</v>
      </c>
      <c r="M125" s="2">
        <f>[1]ישיר!$Y129</f>
        <v>522002</v>
      </c>
    </row>
    <row r="126" spans="1:13" x14ac:dyDescent="0.2">
      <c r="A126" s="26">
        <v>38838</v>
      </c>
      <c r="B126" s="2">
        <f>[1]ישיר!B130</f>
        <v>9241347</v>
      </c>
      <c r="C126" s="1">
        <f>-1*[1]ישיר!$C130</f>
        <v>-781579</v>
      </c>
      <c r="D126" s="3">
        <f>personal_labor_income_taxes!B126+C126</f>
        <v>8459768</v>
      </c>
      <c r="E126" s="2">
        <f>[1]ישיר!$F130</f>
        <v>5345391</v>
      </c>
      <c r="F126" s="2">
        <f>[1]ישיר!$V130</f>
        <v>3880669</v>
      </c>
      <c r="G126" s="2">
        <f>[1]ישיר!$H130</f>
        <v>633051</v>
      </c>
      <c r="H126" s="2">
        <f>[1]ישיר!$I130</f>
        <v>405524</v>
      </c>
      <c r="I126" s="2">
        <f>-1*[1]ישיר!$J130</f>
        <v>-4728</v>
      </c>
      <c r="J126" s="2">
        <f>-1*[1]ישיר!$AG130</f>
        <v>-223220</v>
      </c>
      <c r="K126" s="1">
        <f>-1*[1]ישיר!$AK130</f>
        <v>-9841</v>
      </c>
      <c r="L126" s="2">
        <f>-1*[1]ישיר!$Z130</f>
        <v>-177260</v>
      </c>
      <c r="M126" s="2">
        <f>[1]ישיר!$Y130</f>
        <v>558092</v>
      </c>
    </row>
    <row r="127" spans="1:13" x14ac:dyDescent="0.2">
      <c r="A127" s="26">
        <v>38869</v>
      </c>
      <c r="B127" s="2">
        <f>[1]ישיר!B131</f>
        <v>7793106</v>
      </c>
      <c r="C127" s="1">
        <f>-1*[1]ישיר!$C131</f>
        <v>-709203</v>
      </c>
      <c r="D127" s="3">
        <f>personal_labor_income_taxes!B127+C127</f>
        <v>7083903</v>
      </c>
      <c r="E127" s="2">
        <f>[1]ישיר!$F131</f>
        <v>4502793</v>
      </c>
      <c r="F127" s="2">
        <f>[1]ישיר!$V131</f>
        <v>3090622</v>
      </c>
      <c r="G127" s="2">
        <f>[1]ישיר!$H131</f>
        <v>282689</v>
      </c>
      <c r="H127" s="2">
        <f>[1]ישיר!$I131</f>
        <v>315018</v>
      </c>
      <c r="I127" s="2">
        <f>-1*[1]ישיר!$J131</f>
        <v>-4439</v>
      </c>
      <c r="J127" s="2">
        <f>-1*[1]ישיר!$AG131</f>
        <v>-340901</v>
      </c>
      <c r="K127" s="1">
        <f>-1*[1]ישיר!$AK131</f>
        <v>-9655</v>
      </c>
      <c r="L127" s="2">
        <f>-1*[1]ישיר!$Z131</f>
        <v>-128561</v>
      </c>
      <c r="M127" s="2">
        <f>[1]ישיר!$Y131</f>
        <v>544110</v>
      </c>
    </row>
    <row r="128" spans="1:13" x14ac:dyDescent="0.2">
      <c r="A128" s="26">
        <v>38899</v>
      </c>
      <c r="B128" s="2">
        <f>[1]ישיר!B132</f>
        <v>8959017</v>
      </c>
      <c r="C128" s="1">
        <f>-1*[1]ישיר!$C132</f>
        <v>-647930</v>
      </c>
      <c r="D128" s="3">
        <f>personal_labor_income_taxes!B128+C128</f>
        <v>8311087</v>
      </c>
      <c r="E128" s="2">
        <f>[1]ישיר!$F132</f>
        <v>5270500</v>
      </c>
      <c r="F128" s="2">
        <f>[1]ישיר!$V132</f>
        <v>3793465</v>
      </c>
      <c r="G128" s="2">
        <f>[1]ישיר!$H132</f>
        <v>607219</v>
      </c>
      <c r="H128" s="2">
        <f>[1]ישיר!$I132</f>
        <v>363178</v>
      </c>
      <c r="I128" s="2">
        <f>-1*[1]ישיר!$J132</f>
        <v>-6785</v>
      </c>
      <c r="J128" s="2">
        <f>-1*[1]ישיר!$AG132</f>
        <v>-378367</v>
      </c>
      <c r="K128" s="1">
        <f>-1*[1]ישיר!$AK132</f>
        <v>-14170</v>
      </c>
      <c r="L128" s="2">
        <f>-1*[1]ישיר!$Z132</f>
        <v>-138804</v>
      </c>
      <c r="M128" s="2">
        <f>[1]ישיר!$Y132</f>
        <v>652737</v>
      </c>
    </row>
    <row r="129" spans="1:13" x14ac:dyDescent="0.2">
      <c r="A129" s="26">
        <v>38930</v>
      </c>
      <c r="B129" s="2">
        <f>[1]ישיר!B133</f>
        <v>11566318</v>
      </c>
      <c r="C129" s="1">
        <f>-1*[1]ישיר!$C133</f>
        <v>-625726</v>
      </c>
      <c r="D129" s="3">
        <f>personal_labor_income_taxes!B129+C129</f>
        <v>10940592</v>
      </c>
      <c r="E129" s="2">
        <f>[1]ישיר!$F133</f>
        <v>4580184</v>
      </c>
      <c r="F129" s="2">
        <f>[1]ישיר!$V133</f>
        <v>3349260</v>
      </c>
      <c r="G129" s="2">
        <f>[1]ישיר!$H133</f>
        <v>304350</v>
      </c>
      <c r="H129" s="2">
        <f>[1]ישיר!$I133</f>
        <v>297377</v>
      </c>
      <c r="I129" s="2">
        <f>-1*[1]ישיר!$J133</f>
        <v>-5957</v>
      </c>
      <c r="J129" s="2">
        <f>-1*[1]ישיר!$AG133</f>
        <v>-326099</v>
      </c>
      <c r="K129" s="1">
        <f>-1*[1]ישיר!$AK133</f>
        <v>-9573</v>
      </c>
      <c r="L129" s="2">
        <f>-1*[1]ישיר!$Z133</f>
        <v>-128622</v>
      </c>
      <c r="M129" s="2">
        <f>[1]ישיר!$Y133</f>
        <v>479464</v>
      </c>
    </row>
    <row r="130" spans="1:13" x14ac:dyDescent="0.2">
      <c r="A130" s="26">
        <v>38961</v>
      </c>
      <c r="B130" s="2">
        <f>[1]ישיר!B134</f>
        <v>8678912</v>
      </c>
      <c r="C130" s="1">
        <f>-1*[1]ישיר!$C134</f>
        <v>-651594</v>
      </c>
      <c r="D130" s="3">
        <f>personal_labor_income_taxes!B130+C130</f>
        <v>8027318</v>
      </c>
      <c r="E130" s="2">
        <f>[1]ישיר!$F134</f>
        <v>5373980</v>
      </c>
      <c r="F130" s="2">
        <f>[1]ישיר!$V134</f>
        <v>3892576</v>
      </c>
      <c r="G130" s="2">
        <f>[1]ישיר!$H134</f>
        <v>572444</v>
      </c>
      <c r="H130" s="2">
        <f>[1]ישיר!$I134</f>
        <v>235115</v>
      </c>
      <c r="I130" s="2">
        <f>-1*[1]ישיר!$J134</f>
        <v>-4914</v>
      </c>
      <c r="J130" s="2">
        <f>-1*[1]ישיר!$AG134</f>
        <v>-301853</v>
      </c>
      <c r="K130" s="1">
        <f>-1*[1]ישיר!$AK134</f>
        <v>-10742</v>
      </c>
      <c r="L130" s="2">
        <f>-1*[1]ישיר!$Z134</f>
        <v>-133462</v>
      </c>
      <c r="M130" s="2">
        <f>[1]ישיר!$Y134</f>
        <v>492767</v>
      </c>
    </row>
    <row r="131" spans="1:13" x14ac:dyDescent="0.2">
      <c r="A131" s="26">
        <v>38991</v>
      </c>
      <c r="B131" s="2">
        <f>[1]ישיר!B135</f>
        <v>7562916</v>
      </c>
      <c r="C131" s="1">
        <f>-1*[1]ישיר!$C135</f>
        <v>-450291</v>
      </c>
      <c r="D131" s="3">
        <f>personal_labor_income_taxes!B131+C131</f>
        <v>7112625</v>
      </c>
      <c r="E131" s="2">
        <f>[1]ישיר!$F135</f>
        <v>4732159</v>
      </c>
      <c r="F131" s="2">
        <f>[1]ישיר!$V135</f>
        <v>3402034</v>
      </c>
      <c r="G131" s="2">
        <f>[1]ישיר!$H135</f>
        <v>274999</v>
      </c>
      <c r="H131" s="2">
        <f>[1]ישיר!$I135</f>
        <v>234685</v>
      </c>
      <c r="I131" s="2">
        <f>-1*[1]ישיר!$J135</f>
        <v>-10354</v>
      </c>
      <c r="J131" s="2">
        <f>-1*[1]ישיר!$AG135</f>
        <v>-219712</v>
      </c>
      <c r="K131" s="1">
        <f>-1*[1]ישיר!$AK135</f>
        <v>-4399</v>
      </c>
      <c r="L131" s="2">
        <f>-1*[1]ישיר!$Z135</f>
        <v>-115518</v>
      </c>
      <c r="M131" s="2">
        <f>[1]ישיר!$Y135</f>
        <v>500293</v>
      </c>
    </row>
    <row r="132" spans="1:13" x14ac:dyDescent="0.2">
      <c r="A132" s="26">
        <v>39022</v>
      </c>
      <c r="B132" s="2">
        <f>[1]ישיר!B136</f>
        <v>9310512</v>
      </c>
      <c r="C132" s="1">
        <f>-1*[1]ישיר!$C136</f>
        <v>-913137</v>
      </c>
      <c r="D132" s="3">
        <f>personal_labor_income_taxes!B132+C132</f>
        <v>8397375</v>
      </c>
      <c r="E132" s="2">
        <f>[1]ישיר!$F136</f>
        <v>5048403</v>
      </c>
      <c r="F132" s="2">
        <f>[1]ישיר!$V136</f>
        <v>3671237</v>
      </c>
      <c r="G132" s="2">
        <f>[1]ישיר!$H136</f>
        <v>583950</v>
      </c>
      <c r="H132" s="2">
        <f>[1]ישיר!$I136</f>
        <v>332808</v>
      </c>
      <c r="I132" s="2">
        <f>-1*[1]ישיר!$J136</f>
        <v>-4078</v>
      </c>
      <c r="J132" s="2">
        <f>-1*[1]ישיר!$AG136</f>
        <v>-316346</v>
      </c>
      <c r="K132" s="1">
        <f>-1*[1]ישיר!$AK136</f>
        <v>-38385</v>
      </c>
      <c r="L132" s="2">
        <f>-1*[1]ישיר!$Z136</f>
        <v>-107731</v>
      </c>
      <c r="M132" s="2">
        <f>[1]ישיר!$Y136</f>
        <v>494068</v>
      </c>
    </row>
    <row r="133" spans="1:13" x14ac:dyDescent="0.2">
      <c r="A133" s="26">
        <v>39052</v>
      </c>
      <c r="B133" s="2">
        <f>[1]ישיר!B137</f>
        <v>7699522</v>
      </c>
      <c r="C133" s="1">
        <f>-1*[1]ישיר!$C137</f>
        <v>-786155</v>
      </c>
      <c r="D133" s="3">
        <f>personal_labor_income_taxes!B133+C133</f>
        <v>6913367</v>
      </c>
      <c r="E133" s="2">
        <f>[1]ישיר!$F137</f>
        <v>5103046</v>
      </c>
      <c r="F133" s="2">
        <f>[1]ישיר!$V137</f>
        <v>3480959</v>
      </c>
      <c r="G133" s="2">
        <f>[1]ישיר!$H137</f>
        <v>294037</v>
      </c>
      <c r="H133" s="2">
        <f>[1]ישיר!$I137</f>
        <v>302824</v>
      </c>
      <c r="I133" s="2">
        <f>-1*[1]ישיר!$J137</f>
        <v>-4187</v>
      </c>
      <c r="J133" s="2">
        <f>-1*[1]ישיר!$AG137</f>
        <v>-258768</v>
      </c>
      <c r="K133" s="1">
        <f>-1*[1]ישיר!$AK137</f>
        <v>-20271</v>
      </c>
      <c r="L133" s="2">
        <f>-1*[1]ישיר!$Z137</f>
        <v>-116653</v>
      </c>
      <c r="M133" s="2">
        <f>[1]ישיר!$Y137</f>
        <v>481500</v>
      </c>
    </row>
    <row r="134" spans="1:13" x14ac:dyDescent="0.2">
      <c r="A134" s="26">
        <v>39083</v>
      </c>
      <c r="B134" s="2">
        <f>[1]ישיר!B138</f>
        <v>11552158</v>
      </c>
      <c r="C134" s="1">
        <f>-1*[1]ישיר!$C138</f>
        <v>-486978</v>
      </c>
      <c r="D134" s="4">
        <f>personal_labor_income_taxes!B134+C134</f>
        <v>11065180</v>
      </c>
      <c r="E134" s="2">
        <f>[1]ישיר!$F138</f>
        <v>6146139</v>
      </c>
      <c r="F134" s="2">
        <f>[1]ישיר!$V138</f>
        <v>4170065</v>
      </c>
      <c r="G134" s="2">
        <f>[1]ישיר!$H138</f>
        <v>57237</v>
      </c>
      <c r="H134" s="2">
        <f>[1]ישיר!$I138</f>
        <v>1064634</v>
      </c>
      <c r="I134" s="2">
        <f>-1*[1]ישיר!$J138</f>
        <v>-4850</v>
      </c>
      <c r="J134" s="2">
        <f>-1*[1]ישיר!$AG138</f>
        <v>-178332</v>
      </c>
      <c r="K134" s="1">
        <f>-1*[1]ישיר!$AK138</f>
        <v>-26896</v>
      </c>
      <c r="L134" s="2">
        <f>-1*[1]ישיר!$Z138</f>
        <v>-139248</v>
      </c>
      <c r="M134" s="2">
        <f>[1]ישיר!$Y138</f>
        <v>518817</v>
      </c>
    </row>
    <row r="135" spans="1:13" x14ac:dyDescent="0.2">
      <c r="A135" s="26">
        <v>39114</v>
      </c>
      <c r="B135" s="2">
        <f>[1]ישיר!B139</f>
        <v>9967401</v>
      </c>
      <c r="C135" s="1">
        <f>-1*[1]ישיר!$C139</f>
        <v>-474689</v>
      </c>
      <c r="D135" s="3">
        <f>personal_labor_income_taxes!B135+C135</f>
        <v>9492712</v>
      </c>
      <c r="E135" s="2">
        <f>[1]ישיר!$F139</f>
        <v>5311802</v>
      </c>
      <c r="F135" s="2">
        <f>[1]ישיר!$V139</f>
        <v>3704796</v>
      </c>
      <c r="G135" s="2">
        <f>[1]ישיר!$H139</f>
        <v>272703</v>
      </c>
      <c r="H135" s="2">
        <f>[1]ישיר!$I139</f>
        <v>469432</v>
      </c>
      <c r="I135" s="2">
        <f>-1*[1]ישיר!$J139</f>
        <v>-18749</v>
      </c>
      <c r="J135" s="2">
        <f>-1*[1]ישיר!$AG139</f>
        <v>-136588</v>
      </c>
      <c r="K135" s="1">
        <f>-1*[1]ישיר!$AK139</f>
        <v>-22109</v>
      </c>
      <c r="L135" s="2">
        <f>-1*[1]ישיר!$Z139</f>
        <v>-126642</v>
      </c>
      <c r="M135" s="2">
        <f>[1]ישיר!$Y139</f>
        <v>533335</v>
      </c>
    </row>
    <row r="136" spans="1:13" x14ac:dyDescent="0.2">
      <c r="A136" s="26">
        <v>39142</v>
      </c>
      <c r="B136" s="2">
        <f>[1]ישיר!B140</f>
        <v>10053636</v>
      </c>
      <c r="C136" s="1">
        <f>-1*[1]ישיר!$C140</f>
        <v>-598297</v>
      </c>
      <c r="D136" s="3">
        <f>personal_labor_income_taxes!B136+C136</f>
        <v>9455339</v>
      </c>
      <c r="E136" s="2">
        <f>[1]ישיר!$F140</f>
        <v>5853630</v>
      </c>
      <c r="F136" s="2">
        <f>[1]ישיר!$V140</f>
        <v>3950664</v>
      </c>
      <c r="G136" s="2">
        <f>[1]ישיר!$H140</f>
        <v>522189</v>
      </c>
      <c r="H136" s="2">
        <f>[1]ישיר!$I140</f>
        <v>352259</v>
      </c>
      <c r="I136" s="2">
        <f>-1*[1]ישיר!$J140</f>
        <v>-4091</v>
      </c>
      <c r="J136" s="2">
        <f>-1*[1]ישיר!$AG140</f>
        <v>-112211</v>
      </c>
      <c r="K136" s="1">
        <f>-1*[1]ישיר!$AK140</f>
        <v>-15959</v>
      </c>
      <c r="L136" s="2">
        <f>-1*[1]ישיר!$Z140</f>
        <v>-120150</v>
      </c>
      <c r="M136" s="2">
        <f>[1]ישיר!$Y140</f>
        <v>505942</v>
      </c>
    </row>
    <row r="137" spans="1:13" x14ac:dyDescent="0.2">
      <c r="A137" s="26">
        <v>39173</v>
      </c>
      <c r="B137" s="2">
        <f>[1]ישיר!B141</f>
        <v>9426544</v>
      </c>
      <c r="C137" s="1">
        <f>-1*[1]ישיר!$C141</f>
        <v>-354498</v>
      </c>
      <c r="D137" s="3">
        <f>personal_labor_income_taxes!B137+C137</f>
        <v>9072046</v>
      </c>
      <c r="E137" s="2">
        <f>[1]ישיר!$F141</f>
        <v>5396155</v>
      </c>
      <c r="F137" s="2">
        <f>[1]ישיר!$V141</f>
        <v>3815491</v>
      </c>
      <c r="G137" s="2">
        <f>[1]ישיר!$H141</f>
        <v>296918</v>
      </c>
      <c r="H137" s="2">
        <f>[1]ישיר!$I141</f>
        <v>560975</v>
      </c>
      <c r="I137" s="2">
        <f>-1*[1]ישיר!$J141</f>
        <v>-8438</v>
      </c>
      <c r="J137" s="2">
        <f>-1*[1]ישיר!$AG141</f>
        <v>-82467</v>
      </c>
      <c r="K137" s="1">
        <f>-1*[1]ישיר!$AK141</f>
        <v>-15670</v>
      </c>
      <c r="L137" s="2">
        <f>-1*[1]ישיר!$Z141</f>
        <v>-139495</v>
      </c>
      <c r="M137" s="2">
        <f>[1]ישיר!$Y141</f>
        <v>492981</v>
      </c>
    </row>
    <row r="138" spans="1:13" x14ac:dyDescent="0.2">
      <c r="A138" s="26">
        <v>39203</v>
      </c>
      <c r="B138" s="2">
        <f>[1]ישיר!B142</f>
        <v>9725028</v>
      </c>
      <c r="C138" s="1">
        <f>-1*[1]ישיר!$C142</f>
        <v>-1184177</v>
      </c>
      <c r="D138" s="3">
        <f>personal_labor_income_taxes!B138+C138</f>
        <v>8540851</v>
      </c>
      <c r="E138" s="2">
        <f>[1]ישיר!$F142</f>
        <v>5770406</v>
      </c>
      <c r="F138" s="2">
        <f>[1]ישיר!$V142</f>
        <v>4011726</v>
      </c>
      <c r="G138" s="2">
        <f>[1]ישיר!$H142</f>
        <v>611423</v>
      </c>
      <c r="H138" s="2">
        <f>[1]ישיר!$I142</f>
        <v>375077</v>
      </c>
      <c r="I138" s="2">
        <f>-1*[1]ישיר!$J142</f>
        <v>-8229</v>
      </c>
      <c r="J138" s="2">
        <f>-1*[1]ישיר!$AG142</f>
        <v>-193098</v>
      </c>
      <c r="K138" s="1">
        <f>-1*[1]ישיר!$AK142</f>
        <v>-13534</v>
      </c>
      <c r="L138" s="2">
        <f>-1*[1]ישיר!$Z142</f>
        <v>-197505</v>
      </c>
      <c r="M138" s="2">
        <f>[1]ישיר!$Y142</f>
        <v>497259</v>
      </c>
    </row>
    <row r="139" spans="1:13" x14ac:dyDescent="0.2">
      <c r="A139" s="26">
        <v>39234</v>
      </c>
      <c r="B139" s="2">
        <f>[1]ישיר!B143</f>
        <v>8915420</v>
      </c>
      <c r="C139" s="1">
        <f>-1*[1]ישיר!$C143</f>
        <v>-562570</v>
      </c>
      <c r="D139" s="3">
        <f>personal_labor_income_taxes!B139+C139</f>
        <v>8352850</v>
      </c>
      <c r="E139" s="2">
        <f>[1]ישיר!$F143</f>
        <v>5157414</v>
      </c>
      <c r="F139" s="2">
        <f>[1]ישיר!$V143</f>
        <v>3398017</v>
      </c>
      <c r="G139" s="2">
        <f>[1]ישיר!$H143</f>
        <v>361126</v>
      </c>
      <c r="H139" s="2">
        <f>[1]ישיר!$I143</f>
        <v>362770</v>
      </c>
      <c r="I139" s="2">
        <f>-1*[1]ישיר!$J143</f>
        <v>-5852</v>
      </c>
      <c r="J139" s="2">
        <f>-1*[1]ישיר!$AG143</f>
        <v>-315392</v>
      </c>
      <c r="K139" s="1">
        <f>-1*[1]ישיר!$AK143</f>
        <v>-25311</v>
      </c>
      <c r="L139" s="2">
        <f>-1*[1]ישיר!$Z143</f>
        <v>-165607</v>
      </c>
      <c r="M139" s="2">
        <f>[1]ישיר!$Y143</f>
        <v>516112</v>
      </c>
    </row>
    <row r="140" spans="1:13" x14ac:dyDescent="0.2">
      <c r="A140" s="26">
        <v>39264</v>
      </c>
      <c r="B140" s="2">
        <f>[1]ישיר!B144</f>
        <v>10387408</v>
      </c>
      <c r="C140" s="1">
        <f>-1*[1]ישיר!$C144</f>
        <v>-675879</v>
      </c>
      <c r="D140" s="3">
        <f>personal_labor_income_taxes!B140+C140</f>
        <v>9711529</v>
      </c>
      <c r="E140" s="2">
        <f>[1]ישיר!$F144</f>
        <v>6119776</v>
      </c>
      <c r="F140" s="2">
        <f>[1]ישיר!$V144</f>
        <v>4223792</v>
      </c>
      <c r="G140" s="2">
        <f>[1]ישיר!$H144</f>
        <v>685363</v>
      </c>
      <c r="H140" s="2">
        <f>[1]ישיר!$I144</f>
        <v>366808</v>
      </c>
      <c r="I140" s="2">
        <f>-1*[1]ישיר!$J144</f>
        <v>-20513</v>
      </c>
      <c r="J140" s="2">
        <f>-1*[1]ישיר!$AG144</f>
        <v>-359730</v>
      </c>
      <c r="K140" s="1">
        <f>-1*[1]ישיר!$AK144</f>
        <v>-28193</v>
      </c>
      <c r="L140" s="2">
        <f>-1*[1]ישיר!$Z144</f>
        <v>-136859</v>
      </c>
      <c r="M140" s="2">
        <f>[1]ישיר!$Y144</f>
        <v>653845</v>
      </c>
    </row>
    <row r="141" spans="1:13" x14ac:dyDescent="0.2">
      <c r="A141" s="26">
        <v>39295</v>
      </c>
      <c r="B141" s="2">
        <f>[1]ישיר!B145</f>
        <v>9557876</v>
      </c>
      <c r="C141" s="1">
        <f>-1*[1]ישיר!$C145</f>
        <v>-697745</v>
      </c>
      <c r="D141" s="3">
        <f>personal_labor_income_taxes!B141+C141</f>
        <v>8860131</v>
      </c>
      <c r="E141" s="2">
        <f>[1]ישיר!$F145</f>
        <v>5381309</v>
      </c>
      <c r="F141" s="2">
        <f>[1]ישיר!$V145</f>
        <v>3741974</v>
      </c>
      <c r="G141" s="2">
        <f>[1]ישיר!$H145</f>
        <v>340249</v>
      </c>
      <c r="H141" s="2">
        <f>[1]ישיר!$I145</f>
        <v>383956</v>
      </c>
      <c r="I141" s="2">
        <f>-1*[1]ישיר!$J145</f>
        <v>-4109</v>
      </c>
      <c r="J141" s="2">
        <f>-1*[1]ישיר!$AG145</f>
        <v>-369158</v>
      </c>
      <c r="K141" s="1">
        <f>-1*[1]ישיר!$AK145</f>
        <v>-11511</v>
      </c>
      <c r="L141" s="2">
        <f>-1*[1]ישיר!$Z145</f>
        <v>-126304</v>
      </c>
      <c r="M141" s="2">
        <f>[1]ישיר!$Y145</f>
        <v>520870</v>
      </c>
    </row>
    <row r="142" spans="1:13" x14ac:dyDescent="0.2">
      <c r="A142" s="26">
        <v>39326</v>
      </c>
      <c r="B142" s="2">
        <f>[1]ישיר!B146</f>
        <v>9404483</v>
      </c>
      <c r="C142" s="1">
        <f>-1*[1]ישיר!$C146</f>
        <v>-477885</v>
      </c>
      <c r="D142" s="3">
        <f>personal_labor_income_taxes!B142+C142</f>
        <v>8926598</v>
      </c>
      <c r="E142" s="2">
        <f>[1]ישיר!$F146</f>
        <v>5658160</v>
      </c>
      <c r="F142" s="2">
        <f>[1]ישיר!$V146</f>
        <v>3998879</v>
      </c>
      <c r="G142" s="2">
        <f>[1]ישיר!$H146</f>
        <v>625739</v>
      </c>
      <c r="H142" s="2">
        <f>[1]ישיר!$I146</f>
        <v>304418</v>
      </c>
      <c r="I142" s="2">
        <f>-1*[1]ישיר!$J146</f>
        <v>-3367</v>
      </c>
      <c r="J142" s="2">
        <f>-1*[1]ישיר!$AG146</f>
        <v>-262279</v>
      </c>
      <c r="K142" s="1">
        <f>-1*[1]ישיר!$AK146</f>
        <v>-7407</v>
      </c>
      <c r="L142" s="2">
        <f>-1*[1]ישיר!$Z146</f>
        <v>-128662</v>
      </c>
      <c r="M142" s="2">
        <f>[1]ישיר!$Y146</f>
        <v>531838</v>
      </c>
    </row>
    <row r="143" spans="1:13" x14ac:dyDescent="0.2">
      <c r="A143" s="26">
        <v>39356</v>
      </c>
      <c r="B143" s="2">
        <f>[1]ישיר!B147</f>
        <v>8571853</v>
      </c>
      <c r="C143" s="1">
        <f>-1*[1]ישיר!$C147</f>
        <v>-575552</v>
      </c>
      <c r="D143" s="3">
        <f>personal_labor_income_taxes!B143+C143</f>
        <v>7996301</v>
      </c>
      <c r="E143" s="2">
        <f>[1]ישיר!$F147</f>
        <v>5066021</v>
      </c>
      <c r="F143" s="2">
        <f>[1]ישיר!$V147</f>
        <v>3606457</v>
      </c>
      <c r="G143" s="2">
        <f>[1]ישיר!$H147</f>
        <v>316427</v>
      </c>
      <c r="H143" s="2">
        <f>[1]ישיר!$I147</f>
        <v>312217</v>
      </c>
      <c r="I143" s="2">
        <f>-1*[1]ישיר!$J147</f>
        <v>-5119</v>
      </c>
      <c r="J143" s="2">
        <f>-1*[1]ישיר!$AG147</f>
        <v>-285016</v>
      </c>
      <c r="K143" s="1">
        <f>-1*[1]ישיר!$AK147</f>
        <v>-10740</v>
      </c>
      <c r="L143" s="2">
        <f>-1*[1]ישיר!$Z147</f>
        <v>-112055</v>
      </c>
      <c r="M143" s="2">
        <f>[1]ישיר!$Y147</f>
        <v>468848</v>
      </c>
    </row>
    <row r="144" spans="1:13" x14ac:dyDescent="0.2">
      <c r="A144" s="26">
        <v>39387</v>
      </c>
      <c r="B144" s="2">
        <f>[1]ישיר!B148</f>
        <v>9135984</v>
      </c>
      <c r="C144" s="1">
        <f>-1*[1]ישיר!$C148</f>
        <v>-858368</v>
      </c>
      <c r="D144" s="3">
        <f>personal_labor_income_taxes!B144+C144</f>
        <v>8277616</v>
      </c>
      <c r="E144" s="2">
        <f>[1]ישיר!$F148</f>
        <v>5458589</v>
      </c>
      <c r="F144" s="2">
        <f>[1]ישיר!$V148</f>
        <v>3842489</v>
      </c>
      <c r="G144" s="2">
        <f>[1]ישיר!$H148</f>
        <v>635617</v>
      </c>
      <c r="H144" s="2">
        <f>[1]ישיר!$I148</f>
        <v>362809</v>
      </c>
      <c r="I144" s="2">
        <f>-1*[1]ישיר!$J148</f>
        <v>-35604</v>
      </c>
      <c r="J144" s="2">
        <f>-1*[1]ישיר!$AG148</f>
        <v>-314461</v>
      </c>
      <c r="K144" s="1">
        <f>-1*[1]ישיר!$AK148</f>
        <v>-8125</v>
      </c>
      <c r="L144" s="2">
        <f>-1*[1]ישיר!$Z148</f>
        <v>-131908</v>
      </c>
      <c r="M144" s="2">
        <f>[1]ישיר!$Y148</f>
        <v>534158</v>
      </c>
    </row>
    <row r="145" spans="1:13" x14ac:dyDescent="0.2">
      <c r="A145" s="26">
        <v>39417</v>
      </c>
      <c r="B145" s="2">
        <f>[1]ישיר!B149</f>
        <v>8030055</v>
      </c>
      <c r="C145" s="1">
        <f>-1*[1]ישיר!$C149</f>
        <v>-911595</v>
      </c>
      <c r="D145" s="3">
        <f>personal_labor_income_taxes!B145+C145</f>
        <v>7118460</v>
      </c>
      <c r="E145" s="2">
        <f>[1]ישיר!$F149</f>
        <v>5200742</v>
      </c>
      <c r="F145" s="2">
        <f>[1]ישיר!$V149</f>
        <v>3493887</v>
      </c>
      <c r="G145" s="2">
        <f>[1]ישיר!$H149</f>
        <v>318843</v>
      </c>
      <c r="H145" s="2">
        <f>[1]ישיר!$I149</f>
        <v>305216</v>
      </c>
      <c r="I145" s="2">
        <f>-1*[1]ישיר!$J149</f>
        <v>-2934</v>
      </c>
      <c r="J145" s="2">
        <f>-1*[1]ישיר!$AG149</f>
        <v>-291616</v>
      </c>
      <c r="K145" s="1">
        <f>-1*[1]ישיר!$AK149</f>
        <v>-9494</v>
      </c>
      <c r="L145" s="2">
        <f>-1*[1]ישיר!$Z149</f>
        <v>-131726</v>
      </c>
      <c r="M145" s="2">
        <f>[1]ישיר!$Y149</f>
        <v>503103</v>
      </c>
    </row>
    <row r="146" spans="1:13" x14ac:dyDescent="0.2">
      <c r="A146" s="26">
        <v>39448</v>
      </c>
      <c r="B146" s="2">
        <f>[1]ישיר!B150</f>
        <v>10485385</v>
      </c>
      <c r="C146" s="1">
        <f>-1*[1]ישיר!$C150</f>
        <v>-647836</v>
      </c>
      <c r="D146" s="3">
        <f>personal_labor_income_taxes!B146+C146</f>
        <v>9837549</v>
      </c>
      <c r="E146" s="2">
        <f>[1]ישיר!$F150</f>
        <v>6332167</v>
      </c>
      <c r="F146" s="2">
        <f>[1]ישיר!$V150</f>
        <v>4294473</v>
      </c>
      <c r="G146" s="2">
        <f>[1]ישיר!$H150</f>
        <v>7419</v>
      </c>
      <c r="H146" s="2">
        <f>[1]ישיר!$I150</f>
        <v>1089761</v>
      </c>
      <c r="I146" s="2">
        <f>-1*[1]ישיר!$J150</f>
        <v>-5025</v>
      </c>
      <c r="J146" s="2">
        <f>-1*[1]ישיר!$AG150</f>
        <v>-226326</v>
      </c>
      <c r="K146" s="1">
        <f>-1*[1]ישיר!$AK150</f>
        <v>-11669</v>
      </c>
      <c r="L146" s="2">
        <f>-1*[1]ישיר!$Z150</f>
        <v>-130958</v>
      </c>
      <c r="M146" s="2">
        <f>[1]ישיר!$Y150</f>
        <v>576658</v>
      </c>
    </row>
    <row r="147" spans="1:13" x14ac:dyDescent="0.2">
      <c r="A147" s="26">
        <v>39479</v>
      </c>
      <c r="B147" s="2">
        <f>[1]ישיר!B151</f>
        <v>9668888</v>
      </c>
      <c r="C147" s="1">
        <f>-1*[1]ישיר!$C151</f>
        <v>-488989</v>
      </c>
      <c r="D147" s="3">
        <f>personal_labor_income_taxes!B147+C147</f>
        <v>9179899</v>
      </c>
      <c r="E147" s="2">
        <f>[1]ישיר!$F151</f>
        <v>5432435</v>
      </c>
      <c r="F147" s="2">
        <f>[1]ישיר!$V151</f>
        <v>3886889</v>
      </c>
      <c r="G147" s="2">
        <f>[1]ישיר!$H151</f>
        <v>285990</v>
      </c>
      <c r="H147" s="2">
        <f>[1]ישיר!$I151</f>
        <v>432481</v>
      </c>
      <c r="I147" s="2">
        <f>-1*[1]ישיר!$J151</f>
        <v>-4483</v>
      </c>
      <c r="J147" s="2">
        <f>-1*[1]ישיר!$AG151</f>
        <v>-168096</v>
      </c>
      <c r="K147" s="1">
        <f>-1*[1]ישיר!$AK151</f>
        <v>-10079</v>
      </c>
      <c r="L147" s="2">
        <f>-1*[1]ישיר!$Z151</f>
        <v>-131532</v>
      </c>
      <c r="M147" s="2">
        <f>[1]ישיר!$Y151</f>
        <v>567962</v>
      </c>
    </row>
    <row r="148" spans="1:13" x14ac:dyDescent="0.2">
      <c r="A148" s="26">
        <v>39508</v>
      </c>
      <c r="B148" s="2">
        <f>[1]ישיר!B152</f>
        <v>8860863</v>
      </c>
      <c r="C148" s="1">
        <f>-1*[1]ישיר!$C152</f>
        <v>-509456</v>
      </c>
      <c r="D148" s="3">
        <f>personal_labor_income_taxes!B148+C148</f>
        <v>8351407</v>
      </c>
      <c r="E148" s="2">
        <f>[1]ישיר!$F152</f>
        <v>5126682</v>
      </c>
      <c r="F148" s="2">
        <f>[1]ישיר!$V152</f>
        <v>3668748</v>
      </c>
      <c r="G148" s="2">
        <f>[1]ישיר!$H152</f>
        <v>563276</v>
      </c>
      <c r="H148" s="2">
        <f>[1]ישיר!$I152</f>
        <v>297532</v>
      </c>
      <c r="I148" s="2">
        <f>-1*[1]ישיר!$J152</f>
        <v>-6579</v>
      </c>
      <c r="J148" s="2">
        <f>-1*[1]ישיר!$AG152</f>
        <v>-142763</v>
      </c>
      <c r="K148" s="1">
        <f>-1*[1]ישיר!$AK152</f>
        <v>-8014</v>
      </c>
      <c r="L148" s="2">
        <f>-1*[1]ישיר!$Z152</f>
        <v>-132953</v>
      </c>
      <c r="M148" s="2">
        <f>[1]ישיר!$Y152</f>
        <v>526296</v>
      </c>
    </row>
    <row r="149" spans="1:13" x14ac:dyDescent="0.2">
      <c r="A149" s="26">
        <v>39539</v>
      </c>
      <c r="B149" s="2">
        <f>[1]ישיר!B153</f>
        <v>8974366</v>
      </c>
      <c r="C149" s="1">
        <f>-1*[1]ישיר!$C153</f>
        <v>-375132</v>
      </c>
      <c r="D149" s="3">
        <f>personal_labor_income_taxes!B149+C149</f>
        <v>8599234</v>
      </c>
      <c r="E149" s="2">
        <f>[1]ישיר!$F153</f>
        <v>5219790</v>
      </c>
      <c r="F149" s="2">
        <f>[1]ישיר!$V153</f>
        <v>3753802</v>
      </c>
      <c r="G149" s="2">
        <f>[1]ישיר!$H153</f>
        <v>397923</v>
      </c>
      <c r="H149" s="2">
        <f>[1]ישיר!$I153</f>
        <v>307527</v>
      </c>
      <c r="I149" s="2">
        <f>-1*[1]ישיר!$J153</f>
        <v>-12588</v>
      </c>
      <c r="J149" s="2">
        <f>-1*[1]ישיר!$AG153</f>
        <v>-98251</v>
      </c>
      <c r="K149" s="1">
        <f>-1*[1]ישיר!$AK153</f>
        <v>-3218</v>
      </c>
      <c r="L149" s="2">
        <f>-1*[1]ישיר!$Z153</f>
        <v>-102145</v>
      </c>
      <c r="M149" s="2">
        <f>[1]ישיר!$Y153</f>
        <v>584965</v>
      </c>
    </row>
    <row r="150" spans="1:13" x14ac:dyDescent="0.2">
      <c r="A150" s="26">
        <v>39569</v>
      </c>
      <c r="B150" s="2">
        <f>[1]ישיר!B154</f>
        <v>9472075</v>
      </c>
      <c r="C150" s="1">
        <f>-1*[1]ישיר!$C154</f>
        <v>-673039</v>
      </c>
      <c r="D150" s="3">
        <f>personal_labor_income_taxes!B150+C150</f>
        <v>8799036</v>
      </c>
      <c r="E150" s="2">
        <f>[1]ישיר!$F154</f>
        <v>5610529</v>
      </c>
      <c r="F150" s="2">
        <f>[1]ישיר!$V154</f>
        <v>3967036</v>
      </c>
      <c r="G150" s="2">
        <f>[1]ישיר!$H154</f>
        <v>646686</v>
      </c>
      <c r="H150" s="2">
        <f>[1]ישיר!$I154</f>
        <v>294277</v>
      </c>
      <c r="I150" s="2">
        <f>-1*[1]ישיר!$J154</f>
        <v>-7695</v>
      </c>
      <c r="J150" s="2">
        <f>-1*[1]ישיר!$AG154</f>
        <v>-213048</v>
      </c>
      <c r="K150" s="1">
        <f>-1*[1]ישיר!$AK154</f>
        <v>-16936</v>
      </c>
      <c r="L150" s="2">
        <f>-1*[1]ישיר!$Z154</f>
        <v>-144750</v>
      </c>
      <c r="M150" s="2">
        <f>[1]ישיר!$Y154</f>
        <v>563691</v>
      </c>
    </row>
    <row r="151" spans="1:13" x14ac:dyDescent="0.2">
      <c r="A151" s="26">
        <v>39600</v>
      </c>
      <c r="B151" s="2">
        <f>[1]ישיר!B155</f>
        <v>8337462</v>
      </c>
      <c r="C151" s="1">
        <f>-1*[1]ישיר!$C155</f>
        <v>-1203877</v>
      </c>
      <c r="D151" s="3">
        <f>personal_labor_income_taxes!B151+C151</f>
        <v>7133585</v>
      </c>
      <c r="E151" s="2">
        <f>[1]ישיר!$F155</f>
        <v>4893460</v>
      </c>
      <c r="F151" s="2">
        <f>[1]ישיר!$V155</f>
        <v>3272601</v>
      </c>
      <c r="G151" s="2">
        <f>[1]ישיר!$H155</f>
        <v>334251</v>
      </c>
      <c r="H151" s="2">
        <f>[1]ישיר!$I155</f>
        <v>316341</v>
      </c>
      <c r="I151" s="2">
        <f>-1*[1]ישיר!$J155</f>
        <v>-5150</v>
      </c>
      <c r="J151" s="2">
        <f>-1*[1]ישיר!$AG155</f>
        <v>-307621</v>
      </c>
      <c r="K151" s="1">
        <f>-1*[1]ישיר!$AK155</f>
        <v>-10098</v>
      </c>
      <c r="L151" s="2">
        <f>-1*[1]ישיר!$Z155</f>
        <v>-240637</v>
      </c>
      <c r="M151" s="2">
        <f>[1]ישיר!$Y155</f>
        <v>604874</v>
      </c>
    </row>
    <row r="152" spans="1:13" x14ac:dyDescent="0.2">
      <c r="A152" s="26">
        <v>39630</v>
      </c>
      <c r="B152" s="2">
        <f>[1]ישיר!B156</f>
        <v>9572181</v>
      </c>
      <c r="C152" s="1">
        <f>-1*[1]ישיר!$C156</f>
        <v>-841590</v>
      </c>
      <c r="D152" s="3">
        <f>personal_labor_income_taxes!B152+C152</f>
        <v>8730591</v>
      </c>
      <c r="E152" s="2">
        <f>[1]ישיר!$F156</f>
        <v>5660396</v>
      </c>
      <c r="F152" s="2">
        <f>[1]ישיר!$V156</f>
        <v>3943370</v>
      </c>
      <c r="G152" s="2">
        <f>[1]ישיר!$H156</f>
        <v>666867</v>
      </c>
      <c r="H152" s="2">
        <f>[1]ישיר!$I156</f>
        <v>386858</v>
      </c>
      <c r="I152" s="2">
        <f>-1*[1]ישיר!$J156</f>
        <v>-4452</v>
      </c>
      <c r="J152" s="2">
        <f>-1*[1]ישיר!$AG156</f>
        <v>-382776</v>
      </c>
      <c r="K152" s="1">
        <f>-1*[1]ישיר!$AK156</f>
        <v>-18583</v>
      </c>
      <c r="L152" s="2">
        <f>-1*[1]ישיר!$Z156</f>
        <v>-151953</v>
      </c>
      <c r="M152" s="2">
        <f>[1]ישיר!$Y156</f>
        <v>763104</v>
      </c>
    </row>
    <row r="153" spans="1:13" x14ac:dyDescent="0.2">
      <c r="A153" s="26">
        <v>39661</v>
      </c>
      <c r="B153" s="2">
        <f>[1]ישיר!B157</f>
        <v>8564149</v>
      </c>
      <c r="C153" s="1">
        <f>-1*[1]ישיר!$C157</f>
        <v>-1057643</v>
      </c>
      <c r="D153" s="3">
        <f>personal_labor_income_taxes!B153+C153</f>
        <v>7506506</v>
      </c>
      <c r="E153" s="2">
        <f>[1]ישיר!$F157</f>
        <v>4942316</v>
      </c>
      <c r="F153" s="2">
        <f>[1]ישיר!$V157</f>
        <v>3409247</v>
      </c>
      <c r="G153" s="2">
        <f>[1]ישיר!$H157</f>
        <v>365265</v>
      </c>
      <c r="H153" s="2">
        <f>[1]ישיר!$I157</f>
        <v>258032</v>
      </c>
      <c r="I153" s="2">
        <f>-1*[1]ישיר!$J157</f>
        <v>-3792</v>
      </c>
      <c r="J153" s="2">
        <f>-1*[1]ישיר!$AG157</f>
        <v>-336978</v>
      </c>
      <c r="K153" s="1">
        <f>-1*[1]ישיר!$AK157</f>
        <v>-28812</v>
      </c>
      <c r="L153" s="2">
        <f>-1*[1]ישיר!$Z157</f>
        <v>-181567</v>
      </c>
      <c r="M153" s="2">
        <f>[1]ישיר!$Y157</f>
        <v>606823</v>
      </c>
    </row>
    <row r="154" spans="1:13" x14ac:dyDescent="0.2">
      <c r="A154" s="26">
        <v>39692</v>
      </c>
      <c r="B154" s="2">
        <f>[1]ישיר!B158</f>
        <v>8750071</v>
      </c>
      <c r="C154" s="1">
        <f>-1*[1]ישיר!$C158</f>
        <v>-959320</v>
      </c>
      <c r="D154" s="3">
        <f>personal_labor_income_taxes!B154+C154</f>
        <v>7790751</v>
      </c>
      <c r="E154" s="2">
        <f>[1]ישיר!$F158</f>
        <v>5022530</v>
      </c>
      <c r="F154" s="2">
        <f>[1]ישיר!$V158</f>
        <v>3600979</v>
      </c>
      <c r="G154" s="2">
        <f>[1]ישיר!$H158</f>
        <v>654204</v>
      </c>
      <c r="H154" s="2">
        <f>[1]ישיר!$I158</f>
        <v>306801</v>
      </c>
      <c r="I154" s="2">
        <f>-1*[1]ישיר!$J158</f>
        <v>-2814</v>
      </c>
      <c r="J154" s="2">
        <f>-1*[1]ישיר!$AG158</f>
        <v>-332808</v>
      </c>
      <c r="K154" s="1">
        <f>-1*[1]ישיר!$AK158</f>
        <v>-13779</v>
      </c>
      <c r="L154" s="2">
        <f>-1*[1]ישיר!$Z158</f>
        <v>-158901</v>
      </c>
      <c r="M154" s="2">
        <f>[1]ישיר!$Y158</f>
        <v>587389</v>
      </c>
    </row>
    <row r="155" spans="1:13" x14ac:dyDescent="0.2">
      <c r="A155" s="26">
        <v>39722</v>
      </c>
      <c r="B155" s="2">
        <f>[1]ישיר!B159</f>
        <v>7647964</v>
      </c>
      <c r="C155" s="1">
        <f>-1*[1]ישיר!$C159</f>
        <v>-483273</v>
      </c>
      <c r="D155" s="3">
        <f>personal_labor_income_taxes!B155+C155</f>
        <v>7164691</v>
      </c>
      <c r="E155" s="2">
        <f>[1]ישיר!$F159</f>
        <v>4759743</v>
      </c>
      <c r="F155" s="2">
        <f>[1]ישיר!$V159</f>
        <v>3281993</v>
      </c>
      <c r="G155" s="2">
        <f>[1]ישיר!$H159</f>
        <v>327367</v>
      </c>
      <c r="H155" s="2">
        <f>[1]ישיר!$I159</f>
        <v>313794</v>
      </c>
      <c r="I155" s="2">
        <f>-1*[1]ישיר!$J159</f>
        <v>-4912</v>
      </c>
      <c r="J155" s="2">
        <f>-1*[1]ישיר!$AG159</f>
        <v>-199851</v>
      </c>
      <c r="K155" s="1">
        <f>-1*[1]ישיר!$AK159</f>
        <v>-8539</v>
      </c>
      <c r="L155" s="2">
        <f>-1*[1]ישיר!$Z159</f>
        <v>-116742</v>
      </c>
      <c r="M155" s="2">
        <f>[1]ישיר!$Y159</f>
        <v>605663</v>
      </c>
    </row>
    <row r="156" spans="1:13" x14ac:dyDescent="0.2">
      <c r="A156" s="26">
        <v>39753</v>
      </c>
      <c r="B156" s="2">
        <f>[1]ישיר!B160</f>
        <v>7895058</v>
      </c>
      <c r="C156" s="1">
        <f>-1*[1]ישיר!$C160</f>
        <v>-754467</v>
      </c>
      <c r="D156" s="3">
        <f>personal_labor_income_taxes!B156+C156</f>
        <v>7140591</v>
      </c>
      <c r="E156" s="2">
        <f>[1]ישיר!$F160</f>
        <v>4789129</v>
      </c>
      <c r="F156" s="2">
        <f>[1]ישיר!$V160</f>
        <v>3364404</v>
      </c>
      <c r="G156" s="2">
        <f>[1]ישיר!$H160</f>
        <v>619203</v>
      </c>
      <c r="H156" s="2">
        <f>[1]ישיר!$I160</f>
        <v>257871</v>
      </c>
      <c r="I156" s="2">
        <f>-1*[1]ישיר!$J160</f>
        <v>-4693</v>
      </c>
      <c r="J156" s="2">
        <f>-1*[1]ישיר!$AG160</f>
        <v>-268175</v>
      </c>
      <c r="K156" s="1">
        <f>-1*[1]ישיר!$AK160</f>
        <v>-13885</v>
      </c>
      <c r="L156" s="2">
        <f>-1*[1]ישיר!$Z160</f>
        <v>-115999</v>
      </c>
      <c r="M156" s="2">
        <f>[1]ישיר!$Y160</f>
        <v>588504</v>
      </c>
    </row>
    <row r="157" spans="1:13" x14ac:dyDescent="0.2">
      <c r="A157" s="26">
        <v>39783</v>
      </c>
      <c r="B157" s="2">
        <f>[1]ישיר!B161</f>
        <v>7360515</v>
      </c>
      <c r="C157" s="1">
        <f>-1*[1]ישיר!$C161</f>
        <v>-1107150</v>
      </c>
      <c r="D157" s="3">
        <f>personal_labor_income_taxes!B157+C157</f>
        <v>6253365</v>
      </c>
      <c r="E157" s="2">
        <f>[1]ישיר!$F161</f>
        <v>4793666</v>
      </c>
      <c r="F157" s="2">
        <f>[1]ישיר!$V161</f>
        <v>3270662</v>
      </c>
      <c r="G157" s="2">
        <f>[1]ישיר!$H161</f>
        <v>316837</v>
      </c>
      <c r="H157" s="2">
        <f>[1]ישיר!$I161</f>
        <v>284690</v>
      </c>
      <c r="I157" s="2">
        <f>-1*[1]ישיר!$J161</f>
        <v>-5043</v>
      </c>
      <c r="J157" s="2">
        <f>-1*[1]ישיר!$AG161</f>
        <v>-302586</v>
      </c>
      <c r="K157" s="1">
        <f>-1*[1]ישיר!$AK161</f>
        <v>-15491</v>
      </c>
      <c r="L157" s="2">
        <f>-1*[1]ישיר!$Z161</f>
        <v>-163990</v>
      </c>
      <c r="M157" s="2">
        <f>[1]ישיר!$Y161</f>
        <v>611374</v>
      </c>
    </row>
    <row r="158" spans="1:13" x14ac:dyDescent="0.2">
      <c r="A158" s="26">
        <v>39814</v>
      </c>
      <c r="B158" s="2">
        <f>[1]ישיר!B162</f>
        <v>9125935</v>
      </c>
      <c r="C158" s="1">
        <f>-1*[1]ישיר!$C162</f>
        <v>-881277</v>
      </c>
      <c r="D158" s="3">
        <f>personal_labor_income_taxes!B158+C158</f>
        <v>8244658</v>
      </c>
      <c r="E158" s="2">
        <f>[1]ישיר!$F162</f>
        <v>5738637</v>
      </c>
      <c r="F158" s="2">
        <f>[1]ישיר!$V162</f>
        <v>3749652</v>
      </c>
      <c r="G158" s="2">
        <f>[1]ישיר!$H162</f>
        <v>15160</v>
      </c>
      <c r="H158" s="2">
        <f>[1]ישיר!$I162</f>
        <v>983799</v>
      </c>
      <c r="I158" s="2">
        <f>-1*[1]ישיר!$J162</f>
        <v>-5078</v>
      </c>
      <c r="J158" s="2">
        <f>-1*[1]ישיר!$AG162</f>
        <v>-249574</v>
      </c>
      <c r="K158" s="1">
        <f>-1*[1]ישיר!$AK162</f>
        <v>-23614</v>
      </c>
      <c r="L158" s="2">
        <f>-1*[1]ישיר!$Z162</f>
        <v>-183735</v>
      </c>
      <c r="M158" s="2">
        <f>[1]ישיר!$Y162</f>
        <v>637637</v>
      </c>
    </row>
    <row r="159" spans="1:13" x14ac:dyDescent="0.2">
      <c r="A159" s="26">
        <v>39845</v>
      </c>
      <c r="B159" s="2">
        <f>[1]ישיר!B163</f>
        <v>7712503</v>
      </c>
      <c r="C159" s="1">
        <f>-1*[1]ישיר!$C163</f>
        <v>-745328</v>
      </c>
      <c r="D159" s="3">
        <f>personal_labor_income_taxes!B159+C159</f>
        <v>6967175</v>
      </c>
      <c r="E159" s="2">
        <f>[1]ישיר!$F163</f>
        <v>4633146</v>
      </c>
      <c r="F159" s="2">
        <f>[1]ישיר!$V163</f>
        <v>3218025</v>
      </c>
      <c r="G159" s="2">
        <f>[1]ישיר!$H163</f>
        <v>291921</v>
      </c>
      <c r="H159" s="2">
        <f>[1]ישיר!$I163</f>
        <v>374749</v>
      </c>
      <c r="I159" s="2">
        <f>-1*[1]ישיר!$J163</f>
        <v>-10436</v>
      </c>
      <c r="J159" s="2">
        <f>-1*[1]ישיר!$AG163</f>
        <v>-162084</v>
      </c>
      <c r="K159" s="1">
        <f>-1*[1]ישיר!$AK163</f>
        <v>-14085</v>
      </c>
      <c r="L159" s="2">
        <f>-1*[1]ישיר!$Z163</f>
        <v>-178123</v>
      </c>
      <c r="M159" s="2">
        <f>[1]ישיר!$Y163</f>
        <v>614101</v>
      </c>
    </row>
    <row r="160" spans="1:13" x14ac:dyDescent="0.2">
      <c r="A160" s="26">
        <v>39873</v>
      </c>
      <c r="B160" s="2">
        <f>[1]ישיר!B164</f>
        <v>8343421</v>
      </c>
      <c r="C160" s="1">
        <f>-1*[1]ישיר!$C164</f>
        <v>-1305566</v>
      </c>
      <c r="D160" s="3">
        <f>personal_labor_income_taxes!B160+C160</f>
        <v>7037855</v>
      </c>
      <c r="E160" s="2">
        <f>[1]ישיר!$F164</f>
        <v>4934233</v>
      </c>
      <c r="F160" s="2">
        <f>[1]ישיר!$V164</f>
        <v>3426301</v>
      </c>
      <c r="G160" s="2">
        <f>[1]ישיר!$H164</f>
        <v>568296</v>
      </c>
      <c r="H160" s="2">
        <f>[1]ישיר!$I164</f>
        <v>400922</v>
      </c>
      <c r="I160" s="2">
        <f>-1*[1]ישיר!$J164</f>
        <v>-4518</v>
      </c>
      <c r="J160" s="2">
        <f>-1*[1]ישיר!$AG164</f>
        <v>-190947</v>
      </c>
      <c r="K160" s="1">
        <f>-1*[1]ישיר!$AK164</f>
        <v>-28757</v>
      </c>
      <c r="L160" s="2">
        <f>-1*[1]ישיר!$Z164</f>
        <v>-178412</v>
      </c>
      <c r="M160" s="2">
        <f>[1]ישיר!$Y164</f>
        <v>601504</v>
      </c>
    </row>
    <row r="161" spans="1:13" x14ac:dyDescent="0.2">
      <c r="A161" s="26">
        <v>39904</v>
      </c>
      <c r="B161" s="2">
        <f>[1]ישיר!B165</f>
        <v>9231359</v>
      </c>
      <c r="C161" s="1">
        <f>-1*[1]ישיר!$C165</f>
        <v>-1249765</v>
      </c>
      <c r="D161" s="3">
        <f>personal_labor_income_taxes!B161+C161</f>
        <v>7981594</v>
      </c>
      <c r="E161" s="2">
        <f>[1]ישיר!$F165</f>
        <v>4713253</v>
      </c>
      <c r="F161" s="2">
        <f>[1]ישיר!$V165</f>
        <v>3264263</v>
      </c>
      <c r="G161" s="2">
        <f>[1]ישיר!$H165</f>
        <v>312299</v>
      </c>
      <c r="H161" s="2">
        <f>[1]ישיר!$I165</f>
        <v>334625</v>
      </c>
      <c r="I161" s="2">
        <f>-1*[1]ישיר!$J165</f>
        <v>-3576</v>
      </c>
      <c r="J161" s="2">
        <f>-1*[1]ישיר!$AG165</f>
        <v>-119415</v>
      </c>
      <c r="K161" s="1">
        <f>-1*[1]ישיר!$AK165</f>
        <v>-14368</v>
      </c>
      <c r="L161" s="2">
        <f>-1*[1]ישיר!$Z165</f>
        <v>-178253</v>
      </c>
      <c r="M161" s="2">
        <f>[1]ישיר!$Y165</f>
        <v>577089</v>
      </c>
    </row>
    <row r="162" spans="1:13" x14ac:dyDescent="0.2">
      <c r="A162" s="26">
        <v>39934</v>
      </c>
      <c r="B162" s="2">
        <f>[1]ישיר!B166</f>
        <v>8148763</v>
      </c>
      <c r="C162" s="1">
        <f>-1*[1]ישיר!$C166</f>
        <v>-920017</v>
      </c>
      <c r="D162" s="3">
        <f>personal_labor_income_taxes!B162+C162</f>
        <v>7228746</v>
      </c>
      <c r="E162" s="2">
        <f>[1]ישיר!$F166</f>
        <v>4879328</v>
      </c>
      <c r="F162" s="2">
        <f>[1]ישיר!$V166</f>
        <v>3285497</v>
      </c>
      <c r="G162" s="2">
        <f>[1]ישיר!$H166</f>
        <v>599409</v>
      </c>
      <c r="H162" s="2">
        <f>[1]ישיר!$I166</f>
        <v>305725</v>
      </c>
      <c r="I162" s="2">
        <f>-1*[1]ישיר!$J166</f>
        <v>-4494</v>
      </c>
      <c r="J162" s="2">
        <f>-1*[1]ישיר!$AG166</f>
        <v>-245722</v>
      </c>
      <c r="K162" s="1">
        <f>-1*[1]ישיר!$AK166</f>
        <v>-21059</v>
      </c>
      <c r="L162" s="2">
        <f>-1*[1]ישיר!$Z166</f>
        <v>-197710</v>
      </c>
      <c r="M162" s="2">
        <f>[1]ישיר!$Y166</f>
        <v>586623</v>
      </c>
    </row>
    <row r="163" spans="1:13" x14ac:dyDescent="0.2">
      <c r="A163" s="26">
        <v>39965</v>
      </c>
      <c r="B163" s="2">
        <f>[1]ישיר!B167</f>
        <v>7351808</v>
      </c>
      <c r="C163" s="1">
        <f>-1*[1]ישיר!$C167</f>
        <v>-1210339</v>
      </c>
      <c r="D163" s="3">
        <f>personal_labor_income_taxes!B163+C163</f>
        <v>6141469</v>
      </c>
      <c r="E163" s="2">
        <f>[1]ישיר!$F167</f>
        <v>4364429</v>
      </c>
      <c r="F163" s="2">
        <f>[1]ישיר!$V167</f>
        <v>2750861</v>
      </c>
      <c r="G163" s="2">
        <f>[1]ישיר!$H167</f>
        <v>342412</v>
      </c>
      <c r="H163" s="2">
        <f>[1]ישיר!$I167</f>
        <v>281587</v>
      </c>
      <c r="I163" s="2">
        <f>-1*[1]ישיר!$J167</f>
        <v>-4677</v>
      </c>
      <c r="J163" s="2">
        <f>-1*[1]ישיר!$AG167</f>
        <v>-424027</v>
      </c>
      <c r="K163" s="1">
        <f>-1*[1]ישיר!$AK167</f>
        <v>-25418</v>
      </c>
      <c r="L163" s="2">
        <f>-1*[1]ישיר!$Z167</f>
        <v>-190159</v>
      </c>
      <c r="M163" s="2">
        <f>[1]ישיר!$Y167</f>
        <v>585077</v>
      </c>
    </row>
    <row r="164" spans="1:13" x14ac:dyDescent="0.2">
      <c r="A164" s="26">
        <v>39995</v>
      </c>
      <c r="B164" s="2">
        <f>[1]ישיר!B168</f>
        <v>9062942</v>
      </c>
      <c r="C164" s="1">
        <f>-1*[1]ישיר!$C168</f>
        <v>-1402803</v>
      </c>
      <c r="D164" s="3">
        <f>personal_labor_income_taxes!B164+C164</f>
        <v>7660139</v>
      </c>
      <c r="E164" s="2">
        <f>[1]ישיר!$F168</f>
        <v>5385536</v>
      </c>
      <c r="F164" s="2">
        <f>[1]ישיר!$V168</f>
        <v>3589561</v>
      </c>
      <c r="G164" s="2">
        <f>[1]ישיר!$H168</f>
        <v>670241</v>
      </c>
      <c r="H164" s="2">
        <f>[1]ישיר!$I168</f>
        <v>292399</v>
      </c>
      <c r="I164" s="2">
        <f>-1*[1]ישיר!$J168</f>
        <v>-5842</v>
      </c>
      <c r="J164" s="2">
        <f>-1*[1]ישיר!$AG168</f>
        <v>-509637</v>
      </c>
      <c r="K164" s="1">
        <f>-1*[1]ישיר!$AK168</f>
        <v>-19220</v>
      </c>
      <c r="L164" s="2">
        <f>-1*[1]ישיר!$Z168</f>
        <v>-169128</v>
      </c>
      <c r="M164" s="2">
        <f>[1]ישיר!$Y168</f>
        <v>802022</v>
      </c>
    </row>
    <row r="165" spans="1:13" x14ac:dyDescent="0.2">
      <c r="A165" s="26">
        <v>40026</v>
      </c>
      <c r="B165" s="2">
        <f>[1]ישיר!B169</f>
        <v>8008355</v>
      </c>
      <c r="C165" s="1">
        <f>-1*[1]ישיר!$C169</f>
        <v>-1219217</v>
      </c>
      <c r="D165" s="3">
        <f>personal_labor_income_taxes!B165+C165</f>
        <v>6789138</v>
      </c>
      <c r="E165" s="2">
        <f>[1]ישיר!$F169</f>
        <v>4831337</v>
      </c>
      <c r="F165" s="2">
        <f>[1]ישיר!$V169</f>
        <v>3191775</v>
      </c>
      <c r="G165" s="2">
        <f>[1]ישיר!$H169</f>
        <v>328211</v>
      </c>
      <c r="H165" s="2">
        <f>[1]ישיר!$I169</f>
        <v>305368</v>
      </c>
      <c r="I165" s="2">
        <f>-1*[1]ישיר!$J169</f>
        <v>-3157</v>
      </c>
      <c r="J165" s="2">
        <f>-1*[1]ישיר!$AG169</f>
        <v>-418538</v>
      </c>
      <c r="K165" s="1">
        <f>-1*[1]ישיר!$AK169</f>
        <v>-15353</v>
      </c>
      <c r="L165" s="2">
        <f>-1*[1]ישיר!$Z169</f>
        <v>-196307</v>
      </c>
      <c r="M165" s="2">
        <f>[1]ישיר!$Y169</f>
        <v>630349</v>
      </c>
    </row>
    <row r="166" spans="1:13" x14ac:dyDescent="0.2">
      <c r="A166" s="26">
        <v>40057</v>
      </c>
      <c r="B166" s="2">
        <f>[1]ישיר!B170</f>
        <v>8253583</v>
      </c>
      <c r="C166" s="1">
        <f>-1*[1]ישיר!$C170</f>
        <v>-717436</v>
      </c>
      <c r="D166" s="3">
        <f>personal_labor_income_taxes!B166+C166</f>
        <v>7536147</v>
      </c>
      <c r="E166" s="2">
        <f>[1]ישיר!$F170</f>
        <v>4697359</v>
      </c>
      <c r="F166" s="2">
        <f>[1]ישיר!$V170</f>
        <v>3211937</v>
      </c>
      <c r="G166" s="2">
        <f>[1]ישיר!$H170</f>
        <v>649361</v>
      </c>
      <c r="H166" s="2">
        <f>[1]ישיר!$I170</f>
        <v>252254</v>
      </c>
      <c r="I166" s="2">
        <f>-1*[1]ישיר!$J170</f>
        <v>-4644</v>
      </c>
      <c r="J166" s="2">
        <f>-1*[1]ישיר!$AG170</f>
        <v>-341528</v>
      </c>
      <c r="K166" s="1">
        <f>-1*[1]ישיר!$AK170</f>
        <v>-10688</v>
      </c>
      <c r="L166" s="2">
        <f>-1*[1]ישיר!$Z170</f>
        <v>-193347</v>
      </c>
      <c r="M166" s="2">
        <f>[1]ישיר!$Y170</f>
        <v>574258</v>
      </c>
    </row>
    <row r="167" spans="1:13" x14ac:dyDescent="0.2">
      <c r="A167" s="26">
        <v>40087</v>
      </c>
      <c r="B167" s="2">
        <f>[1]ישיר!B171</f>
        <v>7922307</v>
      </c>
      <c r="C167" s="1">
        <f>-1*[1]ישיר!$C171</f>
        <v>-947286</v>
      </c>
      <c r="D167" s="3">
        <f>personal_labor_income_taxes!B167+C167</f>
        <v>6975021</v>
      </c>
      <c r="E167" s="2">
        <f>[1]ישיר!$F171</f>
        <v>4599736</v>
      </c>
      <c r="F167" s="2">
        <f>[1]ישיר!$V171</f>
        <v>3094799</v>
      </c>
      <c r="G167" s="2">
        <f>[1]ישיר!$H171</f>
        <v>324889</v>
      </c>
      <c r="H167" s="2">
        <f>[1]ישיר!$I171</f>
        <v>280676</v>
      </c>
      <c r="I167" s="2">
        <f>-1*[1]ישיר!$J171</f>
        <v>-4004</v>
      </c>
      <c r="J167" s="2">
        <f>-1*[1]ישיר!$AG171</f>
        <v>-299354</v>
      </c>
      <c r="K167" s="1">
        <f>-1*[1]ישיר!$AK171</f>
        <v>-13696</v>
      </c>
      <c r="L167" s="2">
        <f>-1*[1]ישיר!$Z171</f>
        <v>-135752</v>
      </c>
      <c r="M167" s="2">
        <f>[1]ישיר!$Y171</f>
        <v>628951</v>
      </c>
    </row>
    <row r="168" spans="1:13" x14ac:dyDescent="0.2">
      <c r="A168" s="26">
        <v>40118</v>
      </c>
      <c r="B168" s="2">
        <f>[1]ישיר!B172</f>
        <v>8749486</v>
      </c>
      <c r="C168" s="1">
        <f>-1*[1]ישיר!$C172</f>
        <v>-888192</v>
      </c>
      <c r="D168" s="3">
        <f>personal_labor_income_taxes!B168+C168</f>
        <v>7861294</v>
      </c>
      <c r="E168" s="2">
        <f>[1]ישיר!$F172</f>
        <v>4734799</v>
      </c>
      <c r="F168" s="2">
        <f>[1]ישיר!$V172</f>
        <v>3131363</v>
      </c>
      <c r="G168" s="2">
        <f>[1]ישיר!$H172</f>
        <v>604462</v>
      </c>
      <c r="H168" s="2">
        <f>[1]ישיר!$I172</f>
        <v>261968</v>
      </c>
      <c r="I168" s="2">
        <f>-1*[1]ישיר!$J172</f>
        <v>-4816</v>
      </c>
      <c r="J168" s="2">
        <f>-1*[1]ישיר!$AG172</f>
        <v>-323047</v>
      </c>
      <c r="K168" s="1">
        <f>-1*[1]ישיר!$AK172</f>
        <v>-25861</v>
      </c>
      <c r="L168" s="2">
        <f>-1*[1]ישיר!$Z172</f>
        <v>-174834</v>
      </c>
      <c r="M168" s="2">
        <f>[1]ישיר!$Y172</f>
        <v>581539</v>
      </c>
    </row>
    <row r="169" spans="1:13" x14ac:dyDescent="0.2">
      <c r="A169" s="26">
        <v>40148</v>
      </c>
      <c r="B169" s="2">
        <f>[1]ישיר!B173</f>
        <v>7924255</v>
      </c>
      <c r="C169" s="1">
        <f>-1*[1]ישיר!$C173</f>
        <v>-1279316</v>
      </c>
      <c r="D169" s="3">
        <f>personal_labor_income_taxes!B169+C169</f>
        <v>6644939</v>
      </c>
      <c r="E169" s="2">
        <f>[1]ישיר!$F173</f>
        <v>4782134</v>
      </c>
      <c r="F169" s="2">
        <f>[1]ישיר!$V173</f>
        <v>3154124</v>
      </c>
      <c r="G169" s="2">
        <f>[1]ישיר!$H173</f>
        <v>335345</v>
      </c>
      <c r="H169" s="2">
        <f>[1]ישיר!$I173</f>
        <v>334356</v>
      </c>
      <c r="I169" s="2">
        <f>-1*[1]ישיר!$J173</f>
        <v>-4031</v>
      </c>
      <c r="J169" s="2">
        <f>-1*[1]ישיר!$AG173</f>
        <v>-374481</v>
      </c>
      <c r="K169" s="1">
        <f>-1*[1]ישיר!$AK173</f>
        <v>-11808</v>
      </c>
      <c r="L169" s="2">
        <f>-1*[1]ישיר!$Z173</f>
        <v>-185036</v>
      </c>
      <c r="M169" s="2">
        <f>[1]ישיר!$Y173</f>
        <v>599481</v>
      </c>
    </row>
    <row r="170" spans="1:13" x14ac:dyDescent="0.2">
      <c r="A170" s="26">
        <v>40179</v>
      </c>
      <c r="B170" s="2">
        <f>[1]ישיר!B174</f>
        <v>9751750</v>
      </c>
      <c r="C170" s="1">
        <f>-1*[1]ישיר!$C174</f>
        <v>-894879</v>
      </c>
      <c r="D170" s="3">
        <f>personal_labor_income_taxes!B170+C170</f>
        <v>8856871</v>
      </c>
      <c r="E170" s="2">
        <f>[1]ישיר!$F174</f>
        <v>6165942</v>
      </c>
      <c r="F170" s="2">
        <f>[1]ישיר!$V174</f>
        <v>3716847</v>
      </c>
      <c r="G170" s="2">
        <f>[1]ישיר!$H174</f>
        <v>8112</v>
      </c>
      <c r="H170" s="2">
        <f>[1]ישיר!$I174</f>
        <v>1032911</v>
      </c>
      <c r="I170" s="2">
        <f>-1*[1]ישיר!$J174</f>
        <v>-5392</v>
      </c>
      <c r="J170" s="2">
        <f>-1*[1]ישיר!$AG174</f>
        <v>-284065</v>
      </c>
      <c r="K170" s="1">
        <f>-1*[1]ישיר!$AK174</f>
        <v>-17770</v>
      </c>
      <c r="L170" s="2">
        <f>-1*[1]ישיר!$Z174</f>
        <v>-218743</v>
      </c>
      <c r="M170" s="2">
        <f>[1]ישיר!$Y174</f>
        <v>617130</v>
      </c>
    </row>
    <row r="171" spans="1:13" x14ac:dyDescent="0.2">
      <c r="A171" s="26">
        <v>40210</v>
      </c>
      <c r="B171" s="2">
        <f>[1]ישיר!B175</f>
        <v>8729828</v>
      </c>
      <c r="C171" s="1">
        <f>-1*[1]ישיר!$C175</f>
        <v>-989155</v>
      </c>
      <c r="D171" s="3">
        <f>personal_labor_income_taxes!B171+C171</f>
        <v>7740673</v>
      </c>
      <c r="E171" s="2">
        <f>[1]ישיר!$F175</f>
        <v>5024194</v>
      </c>
      <c r="F171" s="2">
        <f>[1]ישיר!$V175</f>
        <v>3390815</v>
      </c>
      <c r="G171" s="2">
        <f>[1]ישיר!$H175</f>
        <v>254389</v>
      </c>
      <c r="H171" s="2">
        <f>[1]ישיר!$I175</f>
        <v>378554</v>
      </c>
      <c r="I171" s="2">
        <f>-1*[1]ישיר!$J175</f>
        <v>-2939</v>
      </c>
      <c r="J171" s="2">
        <f>-1*[1]ישיר!$AG175</f>
        <v>-228942</v>
      </c>
      <c r="K171" s="1">
        <f>-1*[1]ישיר!$AK175</f>
        <v>-12393</v>
      </c>
      <c r="L171" s="2">
        <f>-1*[1]ישיר!$Z175</f>
        <v>-199497</v>
      </c>
      <c r="M171" s="2">
        <f>[1]ישיר!$Y175</f>
        <v>689510</v>
      </c>
    </row>
    <row r="172" spans="1:13" x14ac:dyDescent="0.2">
      <c r="A172" s="26">
        <v>40238</v>
      </c>
      <c r="B172" s="2">
        <f>[1]ישיר!B176</f>
        <v>8996361</v>
      </c>
      <c r="C172" s="1">
        <f>-1*[1]ישיר!$C176</f>
        <v>-1149691</v>
      </c>
      <c r="D172" s="3">
        <f>personal_labor_income_taxes!B172+C172</f>
        <v>7846670</v>
      </c>
      <c r="E172" s="2">
        <f>[1]ישיר!$F176</f>
        <v>4955318</v>
      </c>
      <c r="F172" s="2">
        <f>[1]ישיר!$V176</f>
        <v>3416691</v>
      </c>
      <c r="G172" s="2">
        <f>[1]ישיר!$H176</f>
        <v>555262</v>
      </c>
      <c r="H172" s="2">
        <f>[1]ישיר!$I176</f>
        <v>337452</v>
      </c>
      <c r="I172" s="2">
        <f>-1*[1]ישיר!$J176</f>
        <v>-3394</v>
      </c>
      <c r="J172" s="2">
        <f>-1*[1]ישיר!$AG176</f>
        <v>-229776</v>
      </c>
      <c r="K172" s="1">
        <f>-1*[1]ישיר!$AK176</f>
        <v>-26609</v>
      </c>
      <c r="L172" s="2">
        <f>-1*[1]ישיר!$Z176</f>
        <v>-173786</v>
      </c>
      <c r="M172" s="2">
        <f>[1]ישיר!$Y176</f>
        <v>599312</v>
      </c>
    </row>
    <row r="173" spans="1:13" x14ac:dyDescent="0.2">
      <c r="A173" s="26">
        <v>40269</v>
      </c>
      <c r="B173" s="2">
        <f>[1]ישיר!B177</f>
        <v>8985935</v>
      </c>
      <c r="C173" s="1">
        <f>-1*[1]ישיר!$C177</f>
        <v>-1088886</v>
      </c>
      <c r="D173" s="3">
        <f>personal_labor_income_taxes!B173+C173</f>
        <v>7897049</v>
      </c>
      <c r="E173" s="2">
        <f>[1]ישיר!$F177</f>
        <v>5318572</v>
      </c>
      <c r="F173" s="2">
        <f>[1]ישיר!$V177</f>
        <v>3520485</v>
      </c>
      <c r="G173" s="2">
        <f>[1]ישיר!$H177</f>
        <v>312885</v>
      </c>
      <c r="H173" s="2">
        <f>[1]ישיר!$I177</f>
        <v>273557</v>
      </c>
      <c r="I173" s="2">
        <f>-1*[1]ישיר!$J177</f>
        <v>-5934</v>
      </c>
      <c r="J173" s="2">
        <f>-1*[1]ישיר!$AG177</f>
        <v>-176826</v>
      </c>
      <c r="K173" s="1">
        <f>-1*[1]ישיר!$AK177</f>
        <v>-18261</v>
      </c>
      <c r="L173" s="2">
        <f>-1*[1]ישיר!$Z177</f>
        <v>-188826</v>
      </c>
      <c r="M173" s="2">
        <f>[1]ישיר!$Y177</f>
        <v>610942</v>
      </c>
    </row>
    <row r="174" spans="1:13" x14ac:dyDescent="0.2">
      <c r="A174" s="26">
        <v>40299</v>
      </c>
      <c r="B174" s="2">
        <f>[1]ישיר!B178</f>
        <v>9179759</v>
      </c>
      <c r="C174" s="1">
        <f>-1*[1]ישיר!$C178</f>
        <v>-570758</v>
      </c>
      <c r="D174" s="3">
        <f>personal_labor_income_taxes!B174+C174</f>
        <v>8609001</v>
      </c>
      <c r="E174" s="2">
        <f>[1]ישיר!$F178</f>
        <v>5401976</v>
      </c>
      <c r="F174" s="2">
        <f>[1]ישיר!$V178</f>
        <v>3473675</v>
      </c>
      <c r="G174" s="2">
        <f>[1]ישיר!$H178</f>
        <v>607881</v>
      </c>
      <c r="H174" s="2">
        <f>[1]ישיר!$I178</f>
        <v>272464</v>
      </c>
      <c r="I174" s="2">
        <f>-1*[1]ישיר!$J178</f>
        <v>-4098</v>
      </c>
      <c r="J174" s="2">
        <f>-1*[1]ישיר!$AG178</f>
        <v>-233132</v>
      </c>
      <c r="K174" s="1">
        <f>-1*[1]ישיר!$AK178</f>
        <v>-22571</v>
      </c>
      <c r="L174" s="2">
        <f>-1*[1]ישיר!$Z178</f>
        <v>-214115</v>
      </c>
      <c r="M174" s="2">
        <f>[1]ישיר!$Y178</f>
        <v>603482</v>
      </c>
    </row>
    <row r="175" spans="1:13" x14ac:dyDescent="0.2">
      <c r="A175" s="26">
        <v>40330</v>
      </c>
      <c r="B175" s="2">
        <f>[1]ישיר!B179</f>
        <v>8217466</v>
      </c>
      <c r="C175" s="1">
        <f>-1*[1]ישיר!$C179</f>
        <v>-1694405</v>
      </c>
      <c r="D175" s="3">
        <f>personal_labor_income_taxes!B175+C175</f>
        <v>6523061</v>
      </c>
      <c r="E175" s="2">
        <f>[1]ישיר!$F179</f>
        <v>4819579</v>
      </c>
      <c r="F175" s="2">
        <f>[1]ישיר!$V179</f>
        <v>2944625</v>
      </c>
      <c r="G175" s="2">
        <f>[1]ישיר!$H179</f>
        <v>302819</v>
      </c>
      <c r="H175" s="2">
        <f>[1]ישיר!$I179</f>
        <v>287624</v>
      </c>
      <c r="I175" s="2">
        <f>-1*[1]ישיר!$J179</f>
        <v>-9411</v>
      </c>
      <c r="J175" s="2">
        <f>-1*[1]ישיר!$AG179</f>
        <v>-442180</v>
      </c>
      <c r="K175" s="1">
        <f>-1*[1]ישיר!$AK179</f>
        <v>-14805</v>
      </c>
      <c r="L175" s="2">
        <f>-1*[1]ישיר!$Z179</f>
        <v>-249853</v>
      </c>
      <c r="M175" s="2">
        <f>[1]ישיר!$Y179</f>
        <v>605444</v>
      </c>
    </row>
    <row r="176" spans="1:13" x14ac:dyDescent="0.2">
      <c r="A176" s="26">
        <v>40360</v>
      </c>
      <c r="B176" s="2">
        <f>[1]ישיר!B180</f>
        <v>10380438</v>
      </c>
      <c r="C176" s="1">
        <f>-1*[1]ישיר!$C180</f>
        <v>-1395916</v>
      </c>
      <c r="D176" s="3">
        <f>personal_labor_income_taxes!B176+C176</f>
        <v>8984522</v>
      </c>
      <c r="E176" s="2">
        <f>[1]ישיר!$F180</f>
        <v>5974415</v>
      </c>
      <c r="F176" s="2">
        <f>[1]ישיר!$V180</f>
        <v>3716939</v>
      </c>
      <c r="G176" s="2">
        <f>[1]ישיר!$H180</f>
        <v>631801</v>
      </c>
      <c r="H176" s="2">
        <f>[1]ישיר!$I180</f>
        <v>324704</v>
      </c>
      <c r="I176" s="2">
        <f>-1*[1]ישיר!$J180</f>
        <v>-2547</v>
      </c>
      <c r="J176" s="2">
        <f>-1*[1]ישיר!$AG180</f>
        <v>-496183</v>
      </c>
      <c r="K176" s="1">
        <f>-1*[1]ישיר!$AK180</f>
        <v>-29364</v>
      </c>
      <c r="L176" s="2">
        <f>-1*[1]ישיר!$Z180</f>
        <v>-176949</v>
      </c>
      <c r="M176" s="2">
        <f>[1]ישיר!$Y180</f>
        <v>881016</v>
      </c>
    </row>
    <row r="177" spans="1:13" x14ac:dyDescent="0.2">
      <c r="A177" s="26">
        <v>40391</v>
      </c>
      <c r="B177" s="2">
        <f>[1]ישיר!B181</f>
        <v>8658466</v>
      </c>
      <c r="C177" s="1">
        <f>-1*[1]ישיר!$C181</f>
        <v>-1411209</v>
      </c>
      <c r="D177" s="3">
        <f>personal_labor_income_taxes!B177+C177</f>
        <v>7247257</v>
      </c>
      <c r="E177" s="2">
        <f>[1]ישיר!$F181</f>
        <v>5008877</v>
      </c>
      <c r="F177" s="2">
        <f>[1]ישיר!$V181</f>
        <v>3279767</v>
      </c>
      <c r="G177" s="2">
        <f>[1]ישיר!$H181</f>
        <v>326990</v>
      </c>
      <c r="H177" s="2">
        <f>[1]ישיר!$I181</f>
        <v>308526</v>
      </c>
      <c r="I177" s="2">
        <f>-1*[1]ישיר!$J181</f>
        <v>-3728</v>
      </c>
      <c r="J177" s="2">
        <f>-1*[1]ישיר!$AG181</f>
        <v>-584111</v>
      </c>
      <c r="K177" s="1">
        <f>-1*[1]ישיר!$AK181</f>
        <v>-21500</v>
      </c>
      <c r="L177" s="2">
        <f>-1*[1]ישיר!$Z181</f>
        <v>-213454</v>
      </c>
      <c r="M177" s="2">
        <f>[1]ישיר!$Y181</f>
        <v>675060</v>
      </c>
    </row>
    <row r="178" spans="1:13" x14ac:dyDescent="0.2">
      <c r="A178" s="26">
        <v>40422</v>
      </c>
      <c r="B178" s="2">
        <f>[1]ישיר!B182</f>
        <v>8798589</v>
      </c>
      <c r="C178" s="1">
        <f>-1*[1]ישיר!$C182</f>
        <v>-844395</v>
      </c>
      <c r="D178" s="3">
        <f>personal_labor_income_taxes!B178+C178</f>
        <v>7954194</v>
      </c>
      <c r="E178" s="2">
        <f>[1]ישיר!$F182</f>
        <v>5163016</v>
      </c>
      <c r="F178" s="2">
        <f>[1]ישיר!$V182</f>
        <v>3413930</v>
      </c>
      <c r="G178" s="2">
        <f>[1]ישיר!$H182</f>
        <v>636272</v>
      </c>
      <c r="H178" s="2">
        <f>[1]ישיר!$I182</f>
        <v>206764</v>
      </c>
      <c r="I178" s="2">
        <f>-1*[1]ישיר!$J182</f>
        <v>-6197</v>
      </c>
      <c r="J178" s="2">
        <f>-1*[1]ישיר!$AG182</f>
        <v>-327780</v>
      </c>
      <c r="K178" s="1">
        <f>-1*[1]ישיר!$AK182</f>
        <v>-19333</v>
      </c>
      <c r="L178" s="2">
        <f>-1*[1]ישיר!$Z182</f>
        <v>-151687</v>
      </c>
      <c r="M178" s="2">
        <f>[1]ישיר!$Y182</f>
        <v>639454</v>
      </c>
    </row>
    <row r="179" spans="1:13" x14ac:dyDescent="0.2">
      <c r="A179" s="26">
        <v>40452</v>
      </c>
      <c r="B179" s="2">
        <f>[1]ישיר!B183</f>
        <v>8728346</v>
      </c>
      <c r="C179" s="1">
        <f>-1*[1]ישיר!$C183</f>
        <v>-763664</v>
      </c>
      <c r="D179" s="3">
        <f>personal_labor_income_taxes!B179+C179</f>
        <v>7964682</v>
      </c>
      <c r="E179" s="2">
        <f>[1]ישיר!$F183</f>
        <v>5261402</v>
      </c>
      <c r="F179" s="2">
        <f>[1]ישיר!$V183</f>
        <v>3201133</v>
      </c>
      <c r="G179" s="2">
        <f>[1]ישיר!$H183</f>
        <v>290208</v>
      </c>
      <c r="H179" s="2">
        <f>[1]ישיר!$I183</f>
        <v>247531</v>
      </c>
      <c r="I179" s="2">
        <f>-1*[1]ישיר!$J183</f>
        <v>-4508</v>
      </c>
      <c r="J179" s="2">
        <f>-1*[1]ישיר!$AG183</f>
        <v>-376358</v>
      </c>
      <c r="K179" s="1">
        <f>-1*[1]ישיר!$AK183</f>
        <v>-28562</v>
      </c>
      <c r="L179" s="2">
        <f>-1*[1]ישיר!$Z183</f>
        <v>-210853</v>
      </c>
      <c r="M179" s="2">
        <f>[1]ישיר!$Y183</f>
        <v>626583</v>
      </c>
    </row>
    <row r="180" spans="1:13" x14ac:dyDescent="0.2">
      <c r="A180" s="26">
        <v>40483</v>
      </c>
      <c r="B180" s="2">
        <f>[1]ישיר!B184</f>
        <v>9025711</v>
      </c>
      <c r="C180" s="1">
        <f>-1*[1]ישיר!$C184</f>
        <v>-796941</v>
      </c>
      <c r="D180" s="3">
        <f>personal_labor_income_taxes!B180+C180</f>
        <v>8228770</v>
      </c>
      <c r="E180" s="2">
        <f>[1]ישיר!$F184</f>
        <v>5075628</v>
      </c>
      <c r="F180" s="2">
        <f>[1]ישיר!$V184</f>
        <v>3294222</v>
      </c>
      <c r="G180" s="2">
        <f>[1]ישיר!$H184</f>
        <v>620730</v>
      </c>
      <c r="H180" s="2">
        <f>[1]ישיר!$I184</f>
        <v>314348</v>
      </c>
      <c r="I180" s="2">
        <f>-1*[1]ישיר!$J184</f>
        <v>-2765</v>
      </c>
      <c r="J180" s="2">
        <f>-1*[1]ישיר!$AG184</f>
        <v>-365090</v>
      </c>
      <c r="K180" s="1">
        <f>-1*[1]ישיר!$AK184</f>
        <v>-17706</v>
      </c>
      <c r="L180" s="2">
        <f>-1*[1]ישיר!$Z184</f>
        <v>-173905</v>
      </c>
      <c r="M180" s="2">
        <f>[1]ישיר!$Y184</f>
        <v>608343</v>
      </c>
    </row>
    <row r="181" spans="1:13" x14ac:dyDescent="0.2">
      <c r="A181" s="26">
        <v>40513</v>
      </c>
      <c r="B181" s="2">
        <f>[1]ישיר!B185</f>
        <v>8645658</v>
      </c>
      <c r="C181" s="1">
        <f>-1*[1]ישיר!$C185</f>
        <v>-1564596</v>
      </c>
      <c r="D181" s="3">
        <f>personal_labor_income_taxes!B181+C181</f>
        <v>7081062</v>
      </c>
      <c r="E181" s="2">
        <f>[1]ישיר!$F185</f>
        <v>5113932</v>
      </c>
      <c r="F181" s="2">
        <f>[1]ישיר!$V185</f>
        <v>3275888</v>
      </c>
      <c r="G181" s="2">
        <f>[1]ישיר!$H185</f>
        <v>312780</v>
      </c>
      <c r="H181" s="2">
        <f>[1]ישיר!$I185</f>
        <v>345241</v>
      </c>
      <c r="I181" s="2">
        <f>-1*[1]ישיר!$J185</f>
        <v>-2924</v>
      </c>
      <c r="J181" s="2">
        <f>-1*[1]ישיר!$AG185</f>
        <v>-470780</v>
      </c>
      <c r="K181" s="1">
        <f>-1*[1]ישיר!$AK185</f>
        <v>-30021</v>
      </c>
      <c r="L181" s="2">
        <f>-1*[1]ישיר!$Z185</f>
        <v>-188045</v>
      </c>
      <c r="M181" s="2">
        <f>[1]ישיר!$Y185</f>
        <v>673577</v>
      </c>
    </row>
    <row r="182" spans="1:13" x14ac:dyDescent="0.2">
      <c r="A182" s="26">
        <v>40544</v>
      </c>
      <c r="B182" s="2">
        <f>[1]ישיר!B186</f>
        <v>11081519</v>
      </c>
      <c r="C182" s="1">
        <f>-1*[1]ישיר!$C186</f>
        <v>-907470</v>
      </c>
      <c r="D182" s="3">
        <f>personal_labor_income_taxes!B182+C182</f>
        <v>10174049</v>
      </c>
      <c r="E182" s="2">
        <f>[1]ישיר!$F186</f>
        <v>6100981</v>
      </c>
      <c r="F182" s="2">
        <f>[1]ישיר!$V186</f>
        <v>3756090</v>
      </c>
      <c r="G182" s="2">
        <f>[1]ישיר!$H186</f>
        <v>12056</v>
      </c>
      <c r="H182" s="2">
        <f>[1]ישיר!$I186</f>
        <v>1190186</v>
      </c>
      <c r="I182" s="2">
        <f>-1*[1]ישיר!$J186</f>
        <v>-3226</v>
      </c>
      <c r="J182" s="2">
        <f>-1*[1]ישיר!$AG186</f>
        <v>-298187</v>
      </c>
      <c r="K182" s="1">
        <f>-1*[1]ישיר!$AK186</f>
        <v>-13151</v>
      </c>
      <c r="L182" s="2">
        <f>-1*[1]ישיר!$Z186</f>
        <v>-167158</v>
      </c>
      <c r="M182" s="2">
        <f>[1]ישיר!$Y186</f>
        <v>658666</v>
      </c>
    </row>
    <row r="183" spans="1:13" x14ac:dyDescent="0.2">
      <c r="A183" s="26">
        <v>40575</v>
      </c>
      <c r="B183" s="2">
        <f>[1]ישיר!B187</f>
        <v>10570334</v>
      </c>
      <c r="C183" s="1">
        <f>-1*[1]ישיר!$C187</f>
        <v>-1010470</v>
      </c>
      <c r="D183" s="3">
        <f>personal_labor_income_taxes!B183+C183</f>
        <v>9559864</v>
      </c>
      <c r="E183" s="2">
        <f>[1]ישיר!$F187</f>
        <v>5685608</v>
      </c>
      <c r="F183" s="2">
        <f>[1]ישיר!$V187</f>
        <v>3653799</v>
      </c>
      <c r="G183" s="2">
        <f>[1]ישיר!$H187</f>
        <v>251946</v>
      </c>
      <c r="H183" s="2">
        <f>[1]ישיר!$I187</f>
        <v>488099</v>
      </c>
      <c r="I183" s="2">
        <f>-1*[1]ישיר!$J187</f>
        <v>-3436</v>
      </c>
      <c r="J183" s="2">
        <f>-1*[1]ישיר!$AG187</f>
        <v>-273182</v>
      </c>
      <c r="K183" s="1">
        <f>-1*[1]ישיר!$AK187</f>
        <v>-16505</v>
      </c>
      <c r="L183" s="2">
        <f>-1*[1]ישיר!$Z187</f>
        <v>-191417</v>
      </c>
      <c r="M183" s="2">
        <f>[1]ישיר!$Y187</f>
        <v>720318</v>
      </c>
    </row>
    <row r="184" spans="1:13" x14ac:dyDescent="0.2">
      <c r="A184" s="26">
        <v>40603</v>
      </c>
      <c r="B184" s="2">
        <f>[1]ישיר!B188</f>
        <v>9596636</v>
      </c>
      <c r="C184" s="1">
        <f>-1*[1]ישיר!$C188</f>
        <v>-953906</v>
      </c>
      <c r="D184" s="3">
        <f>personal_labor_income_taxes!B184+C184</f>
        <v>8642730</v>
      </c>
      <c r="E184" s="2">
        <f>[1]ישיר!$F188</f>
        <v>5368046</v>
      </c>
      <c r="F184" s="2">
        <f>[1]ישיר!$V188</f>
        <v>3721206</v>
      </c>
      <c r="G184" s="2">
        <f>[1]ישיר!$H188</f>
        <v>555017</v>
      </c>
      <c r="H184" s="2">
        <f>[1]ישיר!$I188</f>
        <v>344126</v>
      </c>
      <c r="I184" s="2">
        <f>-1*[1]ישיר!$J188</f>
        <v>-2372</v>
      </c>
      <c r="J184" s="2">
        <f>-1*[1]ישיר!$AG188</f>
        <v>-211401</v>
      </c>
      <c r="K184" s="1">
        <f>-1*[1]ישיר!$AK188</f>
        <v>-18159</v>
      </c>
      <c r="L184" s="2">
        <f>-1*[1]ישיר!$Z188</f>
        <v>-189816</v>
      </c>
      <c r="M184" s="2">
        <f>[1]ישיר!$Y188</f>
        <v>594330</v>
      </c>
    </row>
    <row r="185" spans="1:13" x14ac:dyDescent="0.2">
      <c r="A185" s="26">
        <v>40634</v>
      </c>
      <c r="B185" s="2">
        <f>[1]ישיר!B189</f>
        <v>9496037</v>
      </c>
      <c r="C185" s="1">
        <f>-1*[1]ישיר!$C189</f>
        <v>-757256</v>
      </c>
      <c r="D185" s="3">
        <f>personal_labor_income_taxes!B185+C185</f>
        <v>8738781</v>
      </c>
      <c r="E185" s="2">
        <f>[1]ישיר!$F189</f>
        <v>5478975</v>
      </c>
      <c r="F185" s="2">
        <f>[1]ישיר!$V189</f>
        <v>3764368</v>
      </c>
      <c r="G185" s="2">
        <f>[1]ישיר!$H189</f>
        <v>291440</v>
      </c>
      <c r="H185" s="2">
        <f>[1]ישיר!$I189</f>
        <v>275978</v>
      </c>
      <c r="I185" s="2">
        <f>-1*[1]ישיר!$J189</f>
        <v>-2830</v>
      </c>
      <c r="J185" s="2">
        <f>-1*[1]ישיר!$AG189</f>
        <v>-150275</v>
      </c>
      <c r="K185" s="1">
        <f>-1*[1]ישיר!$AK189</f>
        <v>-15607</v>
      </c>
      <c r="L185" s="2">
        <f>-1*[1]ישיר!$Z189</f>
        <v>-231289</v>
      </c>
      <c r="M185" s="2">
        <f>[1]ישיר!$Y189</f>
        <v>627771</v>
      </c>
    </row>
    <row r="186" spans="1:13" x14ac:dyDescent="0.2">
      <c r="A186" s="26">
        <v>40664</v>
      </c>
      <c r="B186" s="2">
        <f>[1]ישיר!B190</f>
        <v>10195814</v>
      </c>
      <c r="C186" s="1">
        <f>-1*[1]ישיר!$C190</f>
        <v>-642718</v>
      </c>
      <c r="D186" s="3">
        <f>personal_labor_income_taxes!B186+C186</f>
        <v>9553096</v>
      </c>
      <c r="E186" s="2">
        <f>[1]ישיר!$F190</f>
        <v>5821885</v>
      </c>
      <c r="F186" s="2">
        <f>[1]ישיר!$V190</f>
        <v>3867948</v>
      </c>
      <c r="G186" s="2">
        <f>[1]ישיר!$H190</f>
        <v>633845</v>
      </c>
      <c r="H186" s="2">
        <f>[1]ישיר!$I190</f>
        <v>267264</v>
      </c>
      <c r="I186" s="2">
        <f>-1*[1]ישיר!$J190</f>
        <v>-4096</v>
      </c>
      <c r="J186" s="2">
        <f>-1*[1]ישיר!$AG190</f>
        <v>-248800</v>
      </c>
      <c r="K186" s="1">
        <f>-1*[1]ישיר!$AK190</f>
        <v>-21142</v>
      </c>
      <c r="L186" s="2">
        <f>-1*[1]ישיר!$Z190</f>
        <v>-244801</v>
      </c>
      <c r="M186" s="2">
        <f>[1]ישיר!$Y190</f>
        <v>686744</v>
      </c>
    </row>
    <row r="187" spans="1:13" x14ac:dyDescent="0.2">
      <c r="A187" s="26">
        <v>40695</v>
      </c>
      <c r="B187" s="2">
        <f>[1]ישיר!B191</f>
        <v>8910577</v>
      </c>
      <c r="C187" s="1">
        <f>-1*[1]ישיר!$C191</f>
        <v>-1149372</v>
      </c>
      <c r="D187" s="3">
        <f>personal_labor_income_taxes!B187+C187</f>
        <v>7761205</v>
      </c>
      <c r="E187" s="2">
        <f>[1]ישיר!$F191</f>
        <v>4873014</v>
      </c>
      <c r="F187" s="2">
        <f>[1]ישיר!$V191</f>
        <v>3079195</v>
      </c>
      <c r="G187" s="2">
        <f>[1]ישיר!$H191</f>
        <v>310090</v>
      </c>
      <c r="H187" s="2">
        <f>[1]ישיר!$I191</f>
        <v>256981</v>
      </c>
      <c r="I187" s="2">
        <f>-1*[1]ישיר!$J191</f>
        <v>-5896</v>
      </c>
      <c r="J187" s="2">
        <f>-1*[1]ישיר!$AG191</f>
        <v>-381663</v>
      </c>
      <c r="K187" s="1">
        <f>-1*[1]ישיר!$AK191</f>
        <v>-12490</v>
      </c>
      <c r="L187" s="2">
        <f>-1*[1]ישיר!$Z191</f>
        <v>-221644</v>
      </c>
      <c r="M187" s="2">
        <f>[1]ישיר!$Y191</f>
        <v>639322</v>
      </c>
    </row>
    <row r="188" spans="1:13" x14ac:dyDescent="0.2">
      <c r="A188" s="26">
        <v>40725</v>
      </c>
      <c r="B188" s="2">
        <f>[1]ישיר!B192</f>
        <v>10484049</v>
      </c>
      <c r="C188" s="1">
        <f>-1*[1]ישיר!$C192</f>
        <v>-878067</v>
      </c>
      <c r="D188" s="3">
        <f>personal_labor_income_taxes!B188+C188</f>
        <v>9605982</v>
      </c>
      <c r="E188" s="2">
        <f>[1]ישיר!$F192</f>
        <v>5981520</v>
      </c>
      <c r="F188" s="2">
        <f>[1]ישיר!$V192</f>
        <v>3922621</v>
      </c>
      <c r="G188" s="2">
        <f>[1]ישיר!$H192</f>
        <v>654927</v>
      </c>
      <c r="H188" s="2">
        <f>[1]ישיר!$I192</f>
        <v>618580</v>
      </c>
      <c r="I188" s="2">
        <f>-1*[1]ישיר!$J192</f>
        <v>-2299</v>
      </c>
      <c r="J188" s="2">
        <f>-1*[1]ישיר!$AG192</f>
        <v>-429440</v>
      </c>
      <c r="K188" s="1">
        <f>-1*[1]ישיר!$AK192</f>
        <v>-29081</v>
      </c>
      <c r="L188" s="2">
        <f>-1*[1]ישיר!$Z192</f>
        <v>-196457</v>
      </c>
      <c r="M188" s="2">
        <f>[1]ישיר!$Y192</f>
        <v>900466</v>
      </c>
    </row>
    <row r="189" spans="1:13" x14ac:dyDescent="0.2">
      <c r="A189" s="26">
        <v>40756</v>
      </c>
      <c r="B189" s="2">
        <f>[1]ישיר!B193</f>
        <v>9072867</v>
      </c>
      <c r="C189" s="1">
        <f>-1*[1]ישיר!$C193</f>
        <v>-983102</v>
      </c>
      <c r="D189" s="3">
        <f>personal_labor_income_taxes!B189+C189</f>
        <v>8089765</v>
      </c>
      <c r="E189" s="2">
        <f>[1]ישיר!$F193</f>
        <v>5230430</v>
      </c>
      <c r="F189" s="2">
        <f>[1]ישיר!$V193</f>
        <v>3428881</v>
      </c>
      <c r="G189" s="2">
        <f>[1]ישיר!$H193</f>
        <v>308828</v>
      </c>
      <c r="H189" s="2">
        <f>[1]ישיר!$I193</f>
        <v>318791</v>
      </c>
      <c r="I189" s="2">
        <f>-1*[1]ישיר!$J193</f>
        <v>-3594</v>
      </c>
      <c r="J189" s="2">
        <f>-1*[1]ישיר!$AG193</f>
        <v>-496121</v>
      </c>
      <c r="K189" s="1">
        <f>-1*[1]ישיר!$AK193</f>
        <v>-33274</v>
      </c>
      <c r="L189" s="2">
        <f>-1*[1]ישיר!$Z193</f>
        <v>-207704</v>
      </c>
      <c r="M189" s="2">
        <f>[1]ישיר!$Y193</f>
        <v>722887</v>
      </c>
    </row>
    <row r="190" spans="1:13" x14ac:dyDescent="0.2">
      <c r="A190" s="26">
        <v>40787</v>
      </c>
      <c r="B190" s="2">
        <f>[1]ישיר!B194</f>
        <v>9116972</v>
      </c>
      <c r="C190" s="1">
        <f>-1*[1]ישיר!$C194</f>
        <v>-1106130</v>
      </c>
      <c r="D190" s="3">
        <f>personal_labor_income_taxes!B190+C190</f>
        <v>8010842</v>
      </c>
      <c r="E190" s="2">
        <f>[1]ישיר!$F194</f>
        <v>5281592</v>
      </c>
      <c r="F190" s="2">
        <f>[1]ישיר!$V194</f>
        <v>3588178</v>
      </c>
      <c r="G190" s="2">
        <f>[1]ישיר!$H194</f>
        <v>652487</v>
      </c>
      <c r="H190" s="2">
        <f>[1]ישיר!$I194</f>
        <v>309659</v>
      </c>
      <c r="I190" s="2">
        <f>-1*[1]ישיר!$J194</f>
        <v>-36734</v>
      </c>
      <c r="J190" s="2">
        <f>-1*[1]ישיר!$AG194</f>
        <v>-416689</v>
      </c>
      <c r="K190" s="1">
        <f>-1*[1]ישיר!$AK194</f>
        <v>-24831</v>
      </c>
      <c r="L190" s="2">
        <f>-1*[1]ישיר!$Z194</f>
        <v>-133964</v>
      </c>
      <c r="M190" s="2">
        <f>[1]ישיר!$Y194</f>
        <v>719763</v>
      </c>
    </row>
    <row r="191" spans="1:13" x14ac:dyDescent="0.2">
      <c r="A191" s="26">
        <v>40817</v>
      </c>
      <c r="B191" s="2">
        <f>[1]ישיר!B195</f>
        <v>8433121</v>
      </c>
      <c r="C191" s="1">
        <f>-1*[1]ישיר!$C195</f>
        <v>-562162</v>
      </c>
      <c r="D191" s="3">
        <f>personal_labor_income_taxes!B191+C191</f>
        <v>7870959</v>
      </c>
      <c r="E191" s="2">
        <f>[1]ישיר!$F195</f>
        <v>5189043</v>
      </c>
      <c r="F191" s="2">
        <f>[1]ישיר!$V195</f>
        <v>3403513</v>
      </c>
      <c r="G191" s="2">
        <f>[1]ישיר!$H195</f>
        <v>284116</v>
      </c>
      <c r="H191" s="2">
        <f>[1]ישיר!$I195</f>
        <v>240777</v>
      </c>
      <c r="I191" s="2">
        <f>-1*[1]ישיר!$J195</f>
        <v>-5756</v>
      </c>
      <c r="J191" s="2">
        <f>-1*[1]ישיר!$AG195</f>
        <v>-256655</v>
      </c>
      <c r="K191" s="1">
        <f>-1*[1]ישיר!$AK195</f>
        <v>-34795</v>
      </c>
      <c r="L191" s="2">
        <f>-1*[1]ישיר!$Z195</f>
        <v>-180783</v>
      </c>
      <c r="M191" s="2">
        <f>[1]ישיר!$Y195</f>
        <v>696389</v>
      </c>
    </row>
    <row r="192" spans="1:13" x14ac:dyDescent="0.2">
      <c r="A192" s="26">
        <v>40848</v>
      </c>
      <c r="B192" s="2">
        <f>[1]ישיר!B196</f>
        <v>8786277</v>
      </c>
      <c r="C192" s="1">
        <f>-1*[1]ישיר!$C196</f>
        <v>-849847</v>
      </c>
      <c r="D192" s="3">
        <f>personal_labor_income_taxes!B192+C192</f>
        <v>7936430</v>
      </c>
      <c r="E192" s="2">
        <f>[1]ישיר!$F196</f>
        <v>5322241</v>
      </c>
      <c r="F192" s="2">
        <f>[1]ישיר!$V196</f>
        <v>3516380</v>
      </c>
      <c r="G192" s="2">
        <f>[1]ישיר!$H196</f>
        <v>609747</v>
      </c>
      <c r="H192" s="2">
        <f>[1]ישיר!$I196</f>
        <v>247114</v>
      </c>
      <c r="I192" s="2">
        <f>-1*[1]ישיר!$J196</f>
        <v>-2739</v>
      </c>
      <c r="J192" s="2">
        <f>-1*[1]ישיר!$AG196</f>
        <v>-344434</v>
      </c>
      <c r="K192" s="1">
        <f>-1*[1]ישיר!$AK196</f>
        <v>-30193</v>
      </c>
      <c r="L192" s="2">
        <f>-1*[1]ישיר!$Z196</f>
        <v>-207212</v>
      </c>
      <c r="M192" s="2">
        <f>[1]ישיר!$Y196</f>
        <v>657753</v>
      </c>
    </row>
    <row r="193" spans="1:13" x14ac:dyDescent="0.2">
      <c r="A193" s="26">
        <v>40878</v>
      </c>
      <c r="B193" s="2">
        <f>[1]ישיר!B197</f>
        <v>9455014</v>
      </c>
      <c r="C193" s="1">
        <f>-1*[1]ישיר!$C197</f>
        <v>-861345</v>
      </c>
      <c r="D193" s="3">
        <f>personal_labor_income_taxes!B193+C193</f>
        <v>8593669</v>
      </c>
      <c r="E193" s="2">
        <f>[1]ישיר!$F197</f>
        <v>5998500</v>
      </c>
      <c r="F193" s="2">
        <f>[1]ישיר!$V197</f>
        <v>3398378</v>
      </c>
      <c r="G193" s="2">
        <f>[1]ישיר!$H197</f>
        <v>351250</v>
      </c>
      <c r="H193" s="2">
        <f>[1]ישיר!$I197</f>
        <v>402928</v>
      </c>
      <c r="I193" s="2">
        <f>-1*[1]ישיר!$J197</f>
        <v>-10629</v>
      </c>
      <c r="J193" s="2">
        <f>-1*[1]ישיר!$AG197</f>
        <v>-385322</v>
      </c>
      <c r="K193" s="1">
        <f>-1*[1]ישיר!$AK197</f>
        <v>-19630</v>
      </c>
      <c r="L193" s="2">
        <f>-1*[1]ישיר!$Z197</f>
        <v>-188027</v>
      </c>
      <c r="M193" s="2">
        <f>[1]ישיר!$Y197</f>
        <v>705911</v>
      </c>
    </row>
    <row r="194" spans="1:13" x14ac:dyDescent="0.2">
      <c r="A194" s="26">
        <v>40909</v>
      </c>
      <c r="B194" s="2">
        <f>[1]ישיר!B198</f>
        <v>14887673</v>
      </c>
      <c r="C194" s="1">
        <f>-1*[1]ישיר!$C198</f>
        <v>-1602058</v>
      </c>
      <c r="D194" s="3">
        <f>personal_labor_income_taxes!B194+C194</f>
        <v>13285615</v>
      </c>
      <c r="E194" s="2">
        <f>[1]ישיר!$F198</f>
        <v>10108568</v>
      </c>
      <c r="F194" s="2">
        <f>[1]ישיר!$V198</f>
        <v>4088469</v>
      </c>
      <c r="G194" s="2">
        <f>[1]ישיר!$H198</f>
        <v>3660</v>
      </c>
      <c r="H194" s="2">
        <f>[1]ישיר!$I198</f>
        <v>1835012</v>
      </c>
      <c r="I194" s="2">
        <f>-1*[1]ישיר!$J198</f>
        <v>-6971</v>
      </c>
      <c r="J194" s="2">
        <f>-1*[1]ישיר!$AG198</f>
        <v>-369861</v>
      </c>
      <c r="K194" s="1">
        <f>-1*[1]ישיר!$AK198</f>
        <v>-66257</v>
      </c>
      <c r="L194" s="2">
        <f>-1*[1]ישיר!$Z198</f>
        <v>-152795</v>
      </c>
      <c r="M194" s="2">
        <f>[1]ישיר!$Y198</f>
        <v>746783</v>
      </c>
    </row>
    <row r="195" spans="1:13" x14ac:dyDescent="0.2">
      <c r="A195" s="26">
        <v>40940</v>
      </c>
      <c r="B195" s="2">
        <f>[1]ישיר!B199</f>
        <v>9651253</v>
      </c>
      <c r="C195" s="1">
        <f>-1*[1]ישיר!$C199</f>
        <v>-753100</v>
      </c>
      <c r="D195" s="3">
        <f>personal_labor_income_taxes!B195+C195</f>
        <v>8898153</v>
      </c>
      <c r="E195" s="2">
        <f>[1]ישיר!$F199</f>
        <v>5190778</v>
      </c>
      <c r="F195" s="2">
        <f>[1]ישיר!$V199</f>
        <v>3516844</v>
      </c>
      <c r="G195" s="2">
        <f>[1]ישיר!$H199</f>
        <v>249057</v>
      </c>
      <c r="H195" s="2">
        <f>[1]ישיר!$I199</f>
        <v>678554</v>
      </c>
      <c r="I195" s="2">
        <f>-1*[1]ישיר!$J199</f>
        <v>-12265</v>
      </c>
      <c r="J195" s="2">
        <f>-1*[1]ישיר!$AG199</f>
        <v>-237724</v>
      </c>
      <c r="K195" s="1">
        <f>-1*[1]ישיר!$AK199</f>
        <v>-36443</v>
      </c>
      <c r="L195" s="2">
        <f>-1*[1]ישיר!$Z199</f>
        <v>-192645</v>
      </c>
      <c r="M195" s="2">
        <f>[1]ישיר!$Y199</f>
        <v>744412</v>
      </c>
    </row>
    <row r="196" spans="1:13" x14ac:dyDescent="0.2">
      <c r="A196" s="26">
        <v>40969</v>
      </c>
      <c r="B196" s="2">
        <f>[1]ישיר!B200</f>
        <v>9450590</v>
      </c>
      <c r="C196" s="1">
        <f>-1*[1]ישיר!$C200</f>
        <v>-1003209</v>
      </c>
      <c r="D196" s="3">
        <f>personal_labor_income_taxes!B196+C196</f>
        <v>8447381</v>
      </c>
      <c r="E196" s="2">
        <f>[1]ישיר!$F200</f>
        <v>5371987</v>
      </c>
      <c r="F196" s="2">
        <f>[1]ישיר!$V200</f>
        <v>3680393</v>
      </c>
      <c r="G196" s="2">
        <f>[1]ישיר!$H200</f>
        <v>588124</v>
      </c>
      <c r="H196" s="2">
        <f>[1]ישיר!$I200</f>
        <v>380182</v>
      </c>
      <c r="I196" s="2">
        <f>-1*[1]ישיר!$J200</f>
        <v>-3421</v>
      </c>
      <c r="J196" s="2">
        <f>-1*[1]ישיר!$AG200</f>
        <v>-206882</v>
      </c>
      <c r="K196" s="1">
        <f>-1*[1]ישיר!$AK200</f>
        <v>-62656</v>
      </c>
      <c r="L196" s="2">
        <f>-1*[1]ישיר!$Z200</f>
        <v>-148327</v>
      </c>
      <c r="M196" s="2">
        <f>[1]ישיר!$Y200</f>
        <v>767267</v>
      </c>
    </row>
    <row r="197" spans="1:13" x14ac:dyDescent="0.2">
      <c r="A197" s="26">
        <v>41000</v>
      </c>
      <c r="B197" s="2">
        <f>[1]ישיר!B201</f>
        <v>9224445</v>
      </c>
      <c r="C197" s="1">
        <f>-1*[1]ישיר!$C201</f>
        <v>-599833</v>
      </c>
      <c r="D197" s="3">
        <f>personal_labor_income_taxes!B197+C197</f>
        <v>8624612</v>
      </c>
      <c r="E197" s="2">
        <f>[1]ישיר!$F201</f>
        <v>5592099</v>
      </c>
      <c r="F197" s="2">
        <f>[1]ישיר!$V201</f>
        <v>3798472</v>
      </c>
      <c r="G197" s="2">
        <f>[1]ישיר!$H201</f>
        <v>294070</v>
      </c>
      <c r="H197" s="2">
        <f>[1]ישיר!$I201</f>
        <v>232529</v>
      </c>
      <c r="I197" s="2">
        <f>-1*[1]ישיר!$J201</f>
        <v>-3811</v>
      </c>
      <c r="J197" s="2">
        <f>-1*[1]ישיר!$AG201</f>
        <v>-149650</v>
      </c>
      <c r="K197" s="1">
        <f>-1*[1]ישיר!$AK201</f>
        <v>-32942</v>
      </c>
      <c r="L197" s="2">
        <f>-1*[1]ישיר!$Z201</f>
        <v>-224347</v>
      </c>
      <c r="M197" s="2">
        <f>[1]ישיר!$Y201</f>
        <v>652157</v>
      </c>
    </row>
    <row r="198" spans="1:13" x14ac:dyDescent="0.2">
      <c r="A198" s="26">
        <v>41030</v>
      </c>
      <c r="B198" s="2">
        <f>[1]ישיר!B202</f>
        <v>9835545</v>
      </c>
      <c r="C198" s="1">
        <f>-1*[1]ישיר!$C202</f>
        <v>-951449</v>
      </c>
      <c r="D198" s="3">
        <f>personal_labor_income_taxes!B198+C198</f>
        <v>8884096</v>
      </c>
      <c r="E198" s="2">
        <f>[1]ישיר!$F202</f>
        <v>5650815</v>
      </c>
      <c r="F198" s="2">
        <f>[1]ישיר!$V202</f>
        <v>3701420</v>
      </c>
      <c r="G198" s="2">
        <f>[1]ישיר!$H202</f>
        <v>641392</v>
      </c>
      <c r="H198" s="2">
        <f>[1]ישיר!$I202</f>
        <v>297076</v>
      </c>
      <c r="I198" s="2">
        <f>-1*[1]ישיר!$J202</f>
        <v>-3592</v>
      </c>
      <c r="J198" s="2">
        <f>-1*[1]ישיר!$AG202</f>
        <v>-302643</v>
      </c>
      <c r="K198" s="1">
        <f>-1*[1]ישיר!$AK202</f>
        <v>-20392</v>
      </c>
      <c r="L198" s="2">
        <f>-1*[1]ישיר!$Z202</f>
        <v>-288728</v>
      </c>
      <c r="M198" s="2">
        <f>[1]ישיר!$Y202</f>
        <v>644862</v>
      </c>
    </row>
    <row r="199" spans="1:13" x14ac:dyDescent="0.2">
      <c r="A199" s="26">
        <v>41061</v>
      </c>
      <c r="B199" s="2">
        <f>[1]ישיר!B203</f>
        <v>9073046</v>
      </c>
      <c r="C199" s="1">
        <f>-1*[1]ישיר!$C203</f>
        <v>-932236</v>
      </c>
      <c r="D199" s="3">
        <f>personal_labor_income_taxes!B199+C199</f>
        <v>8140810</v>
      </c>
      <c r="E199" s="2">
        <f>[1]ישיר!$F203</f>
        <v>5001225</v>
      </c>
      <c r="F199" s="2">
        <f>[1]ישיר!$V203</f>
        <v>3140476</v>
      </c>
      <c r="G199" s="2">
        <f>[1]ישיר!$H203</f>
        <v>346348</v>
      </c>
      <c r="H199" s="2">
        <f>[1]ישיר!$I203</f>
        <v>420410</v>
      </c>
      <c r="I199" s="2">
        <f>-1*[1]ישיר!$J203</f>
        <v>-6266</v>
      </c>
      <c r="J199" s="2">
        <f>-1*[1]ישיר!$AG203</f>
        <v>-389416</v>
      </c>
      <c r="K199" s="1">
        <f>-1*[1]ישיר!$AK203</f>
        <v>-47594</v>
      </c>
      <c r="L199" s="2">
        <f>-1*[1]ישיר!$Z203</f>
        <v>-215735</v>
      </c>
      <c r="M199" s="2">
        <f>[1]ישיר!$Y203</f>
        <v>754186</v>
      </c>
    </row>
    <row r="200" spans="1:13" x14ac:dyDescent="0.2">
      <c r="A200" s="26">
        <v>41091</v>
      </c>
      <c r="B200" s="2">
        <f>[1]ישיר!B204</f>
        <v>10516232</v>
      </c>
      <c r="C200" s="1">
        <f>-1*[1]ישיר!$C204</f>
        <v>-1165090</v>
      </c>
      <c r="D200" s="3">
        <f>personal_labor_income_taxes!B200+C200</f>
        <v>9351142</v>
      </c>
      <c r="E200" s="2">
        <f>[1]ישיר!$F204</f>
        <v>6293356</v>
      </c>
      <c r="F200" s="2">
        <f>[1]ישיר!$V204</f>
        <v>4113351</v>
      </c>
      <c r="G200" s="2">
        <f>[1]ישיר!$H204</f>
        <v>669684</v>
      </c>
      <c r="H200" s="2">
        <f>[1]ישיר!$I204</f>
        <v>370197</v>
      </c>
      <c r="I200" s="2">
        <f>-1*[1]ישיר!$J204</f>
        <v>-3096</v>
      </c>
      <c r="J200" s="2">
        <f>-1*[1]ישיר!$AG204</f>
        <v>-518565</v>
      </c>
      <c r="K200" s="1">
        <f>-1*[1]ישיר!$AK204</f>
        <v>-43461</v>
      </c>
      <c r="L200" s="2">
        <f>-1*[1]ישיר!$Z204</f>
        <v>-197120</v>
      </c>
      <c r="M200" s="2">
        <f>[1]ישיר!$Y204</f>
        <v>883281</v>
      </c>
    </row>
    <row r="201" spans="1:13" x14ac:dyDescent="0.2">
      <c r="A201" s="26">
        <v>41122</v>
      </c>
      <c r="B201" s="2">
        <f>[1]ישיר!B205</f>
        <v>9144798</v>
      </c>
      <c r="C201" s="1">
        <f>-1*[1]ישיר!$C205</f>
        <v>-1161980</v>
      </c>
      <c r="D201" s="3">
        <f>personal_labor_income_taxes!B201+C201</f>
        <v>7982818</v>
      </c>
      <c r="E201" s="2">
        <f>[1]ישיר!$F205</f>
        <v>5218540</v>
      </c>
      <c r="F201" s="2">
        <f>[1]ישיר!$V205</f>
        <v>3489620</v>
      </c>
      <c r="G201" s="2">
        <f>[1]ישיר!$H205</f>
        <v>368617</v>
      </c>
      <c r="H201" s="2">
        <f>[1]ישיר!$I205</f>
        <v>365991</v>
      </c>
      <c r="I201" s="2">
        <f>-1*[1]ישיר!$J205</f>
        <v>-5315</v>
      </c>
      <c r="J201" s="2">
        <f>-1*[1]ישיר!$AG205</f>
        <v>-447081</v>
      </c>
      <c r="K201" s="1">
        <f>-1*[1]ישיר!$AK205</f>
        <v>-37677</v>
      </c>
      <c r="L201" s="2">
        <f>-1*[1]ישיר!$Z205</f>
        <v>-213768</v>
      </c>
      <c r="M201" s="2">
        <f>[1]ישיר!$Y205</f>
        <v>754115</v>
      </c>
    </row>
    <row r="202" spans="1:13" x14ac:dyDescent="0.2">
      <c r="A202" s="26">
        <v>41153</v>
      </c>
      <c r="B202" s="2">
        <f>[1]ישיר!B206</f>
        <v>9629078</v>
      </c>
      <c r="C202" s="1">
        <f>-1*[1]ישיר!$C206</f>
        <v>-818368</v>
      </c>
      <c r="D202" s="3">
        <f>personal_labor_income_taxes!B202+C202</f>
        <v>8810710</v>
      </c>
      <c r="E202" s="2">
        <f>[1]ישיר!$F206</f>
        <v>5418772</v>
      </c>
      <c r="F202" s="2">
        <f>[1]ישיר!$V206</f>
        <v>3759764</v>
      </c>
      <c r="G202" s="2">
        <f>[1]ישיר!$H206</f>
        <v>686797</v>
      </c>
      <c r="H202" s="2">
        <f>[1]ישיר!$I206</f>
        <v>249973</v>
      </c>
      <c r="I202" s="2">
        <f>-1*[1]ישיר!$J206</f>
        <v>-8214</v>
      </c>
      <c r="J202" s="2">
        <f>-1*[1]ישיר!$AG206</f>
        <v>-331250</v>
      </c>
      <c r="K202" s="1">
        <f>-1*[1]ישיר!$AK206</f>
        <v>-23002</v>
      </c>
      <c r="L202" s="2">
        <f>-1*[1]ישיר!$Z206</f>
        <v>-213118</v>
      </c>
      <c r="M202" s="2">
        <f>[1]ישיר!$Y206</f>
        <v>684920</v>
      </c>
    </row>
    <row r="203" spans="1:13" x14ac:dyDescent="0.2">
      <c r="A203" s="26">
        <v>41183</v>
      </c>
      <c r="B203" s="2">
        <f>[1]ישיר!B207</f>
        <v>8633715</v>
      </c>
      <c r="C203" s="1">
        <f>-1*[1]ישיר!$C207</f>
        <v>-781530</v>
      </c>
      <c r="D203" s="3">
        <f>personal_labor_income_taxes!B203+C203</f>
        <v>7852185</v>
      </c>
      <c r="E203" s="2">
        <f>[1]ישיר!$F207</f>
        <v>5275428</v>
      </c>
      <c r="F203" s="2">
        <f>[1]ישיר!$V207</f>
        <v>3413453</v>
      </c>
      <c r="G203" s="2">
        <f>[1]ישיר!$H207</f>
        <v>276899</v>
      </c>
      <c r="H203" s="2">
        <f>[1]ישיר!$I207</f>
        <v>220228</v>
      </c>
      <c r="I203" s="2">
        <f>-1*[1]ישיר!$J207</f>
        <v>-7702</v>
      </c>
      <c r="J203" s="2">
        <f>-1*[1]ישיר!$AG207</f>
        <v>-328839</v>
      </c>
      <c r="K203" s="1">
        <f>-1*[1]ישיר!$AK207</f>
        <v>-44284</v>
      </c>
      <c r="L203" s="2">
        <f>-1*[1]ישיר!$Z207</f>
        <v>-156824</v>
      </c>
      <c r="M203" s="2">
        <f>[1]ישיר!$Y207</f>
        <v>834758</v>
      </c>
    </row>
    <row r="204" spans="1:13" x14ac:dyDescent="0.2">
      <c r="A204" s="26">
        <v>41214</v>
      </c>
      <c r="B204" s="2">
        <f>[1]ישיר!B208</f>
        <v>9788762</v>
      </c>
      <c r="C204" s="1">
        <f>-1*[1]ישיר!$C208</f>
        <v>-893337</v>
      </c>
      <c r="D204" s="3">
        <f>personal_labor_income_taxes!B204+C204</f>
        <v>8895425</v>
      </c>
      <c r="E204" s="2">
        <f>[1]ישיר!$F208</f>
        <v>5962823</v>
      </c>
      <c r="F204" s="2">
        <f>[1]ישיר!$V208</f>
        <v>3996173</v>
      </c>
      <c r="G204" s="2">
        <f>[1]ישיר!$H208</f>
        <v>619707</v>
      </c>
      <c r="H204" s="2">
        <f>[1]ישיר!$I208</f>
        <v>296176</v>
      </c>
      <c r="I204" s="2">
        <f>-1*[1]ישיר!$J208</f>
        <v>-8988</v>
      </c>
      <c r="J204" s="2">
        <f>-1*[1]ישיר!$AG208</f>
        <v>-405062</v>
      </c>
      <c r="K204" s="1">
        <f>-1*[1]ישיר!$AK208</f>
        <v>-32734</v>
      </c>
      <c r="L204" s="2">
        <f>-1*[1]ישיר!$Z208</f>
        <v>-215476</v>
      </c>
      <c r="M204" s="2">
        <f>[1]ישיר!$Y208</f>
        <v>855231</v>
      </c>
    </row>
    <row r="205" spans="1:13" x14ac:dyDescent="0.2">
      <c r="A205" s="26">
        <v>41244</v>
      </c>
      <c r="B205" s="2">
        <f>[1]ישיר!B209</f>
        <v>10533277</v>
      </c>
      <c r="C205" s="1">
        <f>-1*[1]ישיר!$C209</f>
        <v>-773362</v>
      </c>
      <c r="D205" s="3">
        <f>personal_labor_income_taxes!B205+C205</f>
        <v>9759915</v>
      </c>
      <c r="E205" s="2">
        <f>[1]ישיר!$F209</f>
        <v>6939391</v>
      </c>
      <c r="F205" s="2">
        <f>[1]ישיר!$V209</f>
        <v>3541665</v>
      </c>
      <c r="G205" s="2">
        <f>[1]ישיר!$H209</f>
        <v>312176</v>
      </c>
      <c r="H205" s="2">
        <f>[1]ישיר!$I209</f>
        <v>453530</v>
      </c>
      <c r="I205" s="2">
        <f>-1*[1]ישיר!$J209</f>
        <v>-7630</v>
      </c>
      <c r="J205" s="2">
        <f>-1*[1]ישיר!$AG209</f>
        <v>-348807</v>
      </c>
      <c r="K205" s="1">
        <f>-1*[1]ישיר!$AK209</f>
        <v>-30963</v>
      </c>
      <c r="L205" s="2">
        <f>-1*[1]ישיר!$Z209</f>
        <v>-182636</v>
      </c>
      <c r="M205" s="2">
        <f>[1]ישיר!$Y209</f>
        <v>877309</v>
      </c>
    </row>
    <row r="206" spans="1:13" x14ac:dyDescent="0.2">
      <c r="A206" s="26">
        <v>41275</v>
      </c>
      <c r="B206" s="2">
        <f>[1]ישיר!B210</f>
        <v>12780638</v>
      </c>
      <c r="C206" s="1">
        <f>-1*[1]ישיר!$C210</f>
        <v>-1232545</v>
      </c>
      <c r="D206" s="3">
        <f>personal_labor_income_taxes!B206+C206</f>
        <v>11548093</v>
      </c>
      <c r="E206" s="2">
        <f>[1]ישיר!$F210</f>
        <v>7667358</v>
      </c>
      <c r="F206" s="2">
        <f>[1]ישיר!$V210</f>
        <v>4284954</v>
      </c>
      <c r="G206" s="2">
        <f>[1]ישיר!$H210</f>
        <v>23502</v>
      </c>
      <c r="H206" s="2">
        <f>[1]ישיר!$I210</f>
        <v>1448721</v>
      </c>
      <c r="I206" s="2">
        <f>-1*[1]ישיר!$J210</f>
        <v>-2897</v>
      </c>
      <c r="J206" s="2">
        <f>-1*[1]ישיר!$AG210</f>
        <v>-371251</v>
      </c>
      <c r="K206" s="1">
        <f>-1*[1]ישיר!$AK210</f>
        <v>-36852</v>
      </c>
      <c r="L206" s="2">
        <f>-1*[1]ישיר!$Z210</f>
        <v>-158137</v>
      </c>
      <c r="M206" s="2">
        <f>[1]ישיר!$Y210</f>
        <v>776615</v>
      </c>
    </row>
    <row r="207" spans="1:13" x14ac:dyDescent="0.2">
      <c r="A207" s="26">
        <v>41306</v>
      </c>
      <c r="B207" s="2">
        <f>[1]ישיר!B211</f>
        <v>10766988</v>
      </c>
      <c r="C207" s="1">
        <f>-1*[1]ישיר!$C211</f>
        <v>-2315584</v>
      </c>
      <c r="D207" s="3">
        <f>personal_labor_income_taxes!B207+C207</f>
        <v>8451404</v>
      </c>
      <c r="E207" s="2">
        <f>[1]ישיר!$F211</f>
        <v>5611730</v>
      </c>
      <c r="F207" s="2">
        <f>[1]ישיר!$V211</f>
        <v>3827265</v>
      </c>
      <c r="G207" s="2">
        <f>[1]ישיר!$H211</f>
        <v>265386</v>
      </c>
      <c r="H207" s="2">
        <f>[1]ישיר!$I211</f>
        <v>921024</v>
      </c>
      <c r="I207" s="2">
        <f>-1*[1]ישיר!$J211</f>
        <v>-6829</v>
      </c>
      <c r="J207" s="2">
        <f>-1*[1]ישיר!$AG211</f>
        <v>-361302</v>
      </c>
      <c r="K207" s="1">
        <f>-1*[1]ישיר!$AK211</f>
        <v>-36214</v>
      </c>
      <c r="L207" s="2">
        <f>-1*[1]ישיר!$Z211</f>
        <v>-209708</v>
      </c>
      <c r="M207" s="2">
        <f>[1]ישיר!$Y211</f>
        <v>806525</v>
      </c>
    </row>
    <row r="208" spans="1:13" x14ac:dyDescent="0.2">
      <c r="A208" s="26">
        <v>41334</v>
      </c>
      <c r="B208" s="2">
        <f>[1]ישיר!B212</f>
        <v>10190956</v>
      </c>
      <c r="C208" s="1">
        <f>-1*[1]ישיר!$C212</f>
        <v>-1501011</v>
      </c>
      <c r="D208" s="3">
        <f>personal_labor_income_taxes!B208+C208</f>
        <v>8689945</v>
      </c>
      <c r="E208" s="2">
        <f>[1]ישיר!$F212</f>
        <v>5890031</v>
      </c>
      <c r="F208" s="2">
        <f>[1]ישיר!$V212</f>
        <v>4034653</v>
      </c>
      <c r="G208" s="2">
        <f>[1]ישיר!$H212</f>
        <v>594938</v>
      </c>
      <c r="H208" s="2">
        <f>[1]ישיר!$I212</f>
        <v>340700</v>
      </c>
      <c r="I208" s="2">
        <f>-1*[1]ישיר!$J212</f>
        <v>-2638</v>
      </c>
      <c r="J208" s="2">
        <f>-1*[1]ישיר!$AG212</f>
        <v>-236854</v>
      </c>
      <c r="K208" s="1">
        <f>-1*[1]ישיר!$AK212</f>
        <v>-30067</v>
      </c>
      <c r="L208" s="2">
        <f>-1*[1]ישיר!$Z212</f>
        <v>-231240</v>
      </c>
      <c r="M208" s="2">
        <f>[1]ישיר!$Y212</f>
        <v>775729</v>
      </c>
    </row>
    <row r="209" spans="1:13" x14ac:dyDescent="0.2">
      <c r="A209" s="26">
        <v>41365</v>
      </c>
      <c r="B209" s="2">
        <f>[1]ישיר!B213</f>
        <v>10239020</v>
      </c>
      <c r="C209" s="1">
        <f>-1*[1]ישיר!$C213</f>
        <v>-869213</v>
      </c>
      <c r="D209" s="3">
        <f>personal_labor_income_taxes!B209+C209</f>
        <v>9369807</v>
      </c>
      <c r="E209" s="2">
        <f>[1]ישיר!$F213</f>
        <v>6099965</v>
      </c>
      <c r="F209" s="2">
        <f>[1]ישיר!$V213</f>
        <v>4156236</v>
      </c>
      <c r="G209" s="2">
        <f>[1]ישיר!$H213</f>
        <v>325195</v>
      </c>
      <c r="H209" s="2">
        <f>[1]ישיר!$I213</f>
        <v>276460</v>
      </c>
      <c r="I209" s="2">
        <f>-1*[1]ישיר!$J213</f>
        <v>-4230</v>
      </c>
      <c r="J209" s="2">
        <f>-1*[1]ישיר!$AG213</f>
        <v>-232153</v>
      </c>
      <c r="K209" s="1">
        <f>-1*[1]ישיר!$AK213</f>
        <v>-45853</v>
      </c>
      <c r="L209" s="2">
        <f>-1*[1]ישיר!$Z213</f>
        <v>-259114</v>
      </c>
      <c r="M209" s="2">
        <f>[1]ישיר!$Y213</f>
        <v>741378</v>
      </c>
    </row>
    <row r="210" spans="1:13" x14ac:dyDescent="0.2">
      <c r="A210" s="26">
        <v>41395</v>
      </c>
      <c r="B210" s="2">
        <f>[1]ישיר!B214</f>
        <v>12534384</v>
      </c>
      <c r="C210" s="1">
        <f>-1*[1]ישיר!$C214</f>
        <v>-950139</v>
      </c>
      <c r="D210" s="3">
        <f>personal_labor_income_taxes!B210+C210</f>
        <v>11584245</v>
      </c>
      <c r="E210" s="2">
        <f>[1]ישיר!$F214</f>
        <v>6346950</v>
      </c>
      <c r="F210" s="2">
        <f>[1]ישיר!$V214</f>
        <v>4046979</v>
      </c>
      <c r="G210" s="2">
        <f>[1]ישיר!$H214</f>
        <v>706090</v>
      </c>
      <c r="H210" s="2">
        <f>[1]ישיר!$I214</f>
        <v>281723</v>
      </c>
      <c r="I210" s="2">
        <f>-1*[1]ישיר!$J214</f>
        <v>-4919</v>
      </c>
      <c r="J210" s="2">
        <f>-1*[1]ישיר!$AG214</f>
        <v>-313842</v>
      </c>
      <c r="K210" s="1">
        <f>-1*[1]ישיר!$AK214</f>
        <v>-41472</v>
      </c>
      <c r="L210" s="2">
        <f>-1*[1]ישיר!$Z214</f>
        <v>-303127</v>
      </c>
      <c r="M210" s="2">
        <f>[1]ישיר!$Y214</f>
        <v>763551</v>
      </c>
    </row>
    <row r="211" spans="1:13" x14ac:dyDescent="0.2">
      <c r="A211" s="26">
        <v>41426</v>
      </c>
      <c r="B211" s="2">
        <f>[1]ישיר!B215</f>
        <v>10422017</v>
      </c>
      <c r="C211" s="1">
        <f>-1*[1]ישיר!$C215</f>
        <v>-830424</v>
      </c>
      <c r="D211" s="3">
        <f>personal_labor_income_taxes!B211+C211</f>
        <v>9591593</v>
      </c>
      <c r="E211" s="2">
        <f>[1]ישיר!$F215</f>
        <v>5435266</v>
      </c>
      <c r="F211" s="2">
        <f>[1]ישיר!$V215</f>
        <v>3398949</v>
      </c>
      <c r="G211" s="2">
        <f>[1]ישיר!$H215</f>
        <v>369095</v>
      </c>
      <c r="H211" s="2">
        <f>[1]ישיר!$I215</f>
        <v>327296</v>
      </c>
      <c r="I211" s="2">
        <f>-1*[1]ישיר!$J215</f>
        <v>-4557</v>
      </c>
      <c r="J211" s="2">
        <f>-1*[1]ישיר!$AG215</f>
        <v>-382682</v>
      </c>
      <c r="K211" s="1">
        <f>-1*[1]ישיר!$AK215</f>
        <v>-54846</v>
      </c>
      <c r="L211" s="2">
        <f>-1*[1]ישיר!$Z215</f>
        <v>-233802</v>
      </c>
      <c r="M211" s="2">
        <f>[1]ישיר!$Y215</f>
        <v>782079</v>
      </c>
    </row>
    <row r="212" spans="1:13" x14ac:dyDescent="0.2">
      <c r="A212" s="26">
        <v>41456</v>
      </c>
      <c r="B212" s="2">
        <f>[1]ישיר!B216</f>
        <v>12408797</v>
      </c>
      <c r="C212" s="1">
        <f>-1*[1]ישיר!$C216</f>
        <v>-1116458</v>
      </c>
      <c r="D212" s="3">
        <f>personal_labor_income_taxes!B212+C212</f>
        <v>11292339</v>
      </c>
      <c r="E212" s="2">
        <f>[1]ישיר!$F216</f>
        <v>6754941</v>
      </c>
      <c r="F212" s="2">
        <f>[1]ישיר!$V216</f>
        <v>4422278</v>
      </c>
      <c r="G212" s="2">
        <f>[1]ישיר!$H216</f>
        <v>753325</v>
      </c>
      <c r="H212" s="2">
        <f>[1]ישיר!$I216</f>
        <v>430261</v>
      </c>
      <c r="I212" s="2">
        <f>-1*[1]ישיר!$J216</f>
        <v>-3600</v>
      </c>
      <c r="J212" s="2">
        <f>-1*[1]ישיר!$AG216</f>
        <v>-520548</v>
      </c>
      <c r="K212" s="1">
        <f>-1*[1]ישיר!$AK216</f>
        <v>-46187</v>
      </c>
      <c r="L212" s="2">
        <f>-1*[1]ישיר!$Z216</f>
        <v>-213723</v>
      </c>
      <c r="M212" s="2">
        <f>[1]ישיר!$Y216</f>
        <v>999819</v>
      </c>
    </row>
    <row r="213" spans="1:13" x14ac:dyDescent="0.2">
      <c r="A213" s="26">
        <v>41487</v>
      </c>
      <c r="B213" s="2">
        <f>[1]ישיר!B217</f>
        <v>10510313</v>
      </c>
      <c r="C213" s="1">
        <f>-1*[1]ישיר!$C217</f>
        <v>-983556</v>
      </c>
      <c r="D213" s="3">
        <f>personal_labor_income_taxes!B213+C213</f>
        <v>9526757</v>
      </c>
      <c r="E213" s="2">
        <f>[1]ישיר!$F217</f>
        <v>5811424</v>
      </c>
      <c r="F213" s="2">
        <f>[1]ישיר!$V217</f>
        <v>3788496</v>
      </c>
      <c r="G213" s="2">
        <f>[1]ישיר!$H217</f>
        <v>368048</v>
      </c>
      <c r="H213" s="2">
        <f>[1]ישיר!$I217</f>
        <v>410126</v>
      </c>
      <c r="I213" s="2">
        <f>-1*[1]ישיר!$J217</f>
        <v>-4397</v>
      </c>
      <c r="J213" s="2">
        <f>-1*[1]ישיר!$AG217</f>
        <v>-475525</v>
      </c>
      <c r="K213" s="1">
        <f>-1*[1]ישיר!$AK217</f>
        <v>-44892</v>
      </c>
      <c r="L213" s="2">
        <f>-1*[1]ישיר!$Z217</f>
        <v>-244167</v>
      </c>
      <c r="M213" s="2">
        <f>[1]ישיר!$Y217</f>
        <v>853273</v>
      </c>
    </row>
    <row r="214" spans="1:13" x14ac:dyDescent="0.2">
      <c r="A214" s="26">
        <v>41518</v>
      </c>
      <c r="B214" s="2">
        <f>[1]ישיר!B218</f>
        <v>10248603</v>
      </c>
      <c r="C214" s="1">
        <f>-1*[1]ישיר!$C218</f>
        <v>-644403</v>
      </c>
      <c r="D214" s="3">
        <f>personal_labor_income_taxes!B214+C214</f>
        <v>9604200</v>
      </c>
      <c r="E214" s="2">
        <f>[1]ישיר!$F218</f>
        <v>5894322</v>
      </c>
      <c r="F214" s="2">
        <f>[1]ישיר!$V218</f>
        <v>4034062</v>
      </c>
      <c r="G214" s="2">
        <f>[1]ישיר!$H218</f>
        <v>742341</v>
      </c>
      <c r="H214" s="2">
        <f>[1]ישיר!$I218</f>
        <v>266077</v>
      </c>
      <c r="I214" s="2">
        <f>-1*[1]ישיר!$J218</f>
        <v>-2225</v>
      </c>
      <c r="J214" s="2">
        <f>-1*[1]ישיר!$AG218</f>
        <v>-306526</v>
      </c>
      <c r="K214" s="1">
        <f>-1*[1]ישיר!$AK218</f>
        <v>-17600</v>
      </c>
      <c r="L214" s="2">
        <f>-1*[1]ישיר!$Z218</f>
        <v>-238848</v>
      </c>
      <c r="M214" s="2">
        <f>[1]ישיר!$Y218</f>
        <v>728307</v>
      </c>
    </row>
    <row r="215" spans="1:13" x14ac:dyDescent="0.2">
      <c r="A215" s="26">
        <v>41548</v>
      </c>
      <c r="B215" s="2">
        <f>[1]ישיר!B219</f>
        <v>10620769</v>
      </c>
      <c r="C215" s="1">
        <f>-1*[1]ישיר!$C219</f>
        <v>-1094233</v>
      </c>
      <c r="D215" s="3">
        <f>personal_labor_income_taxes!B215+C215</f>
        <v>9526536</v>
      </c>
      <c r="E215" s="2">
        <f>[1]ישיר!$F219</f>
        <v>6070789</v>
      </c>
      <c r="F215" s="2">
        <f>[1]ישיר!$V219</f>
        <v>3812591</v>
      </c>
      <c r="G215" s="2">
        <f>[1]ישיר!$H219</f>
        <v>411280</v>
      </c>
      <c r="H215" s="2">
        <f>[1]ישיר!$I219</f>
        <v>350040</v>
      </c>
      <c r="I215" s="2">
        <f>-1*[1]ישיר!$J219</f>
        <v>-5379</v>
      </c>
      <c r="J215" s="2">
        <f>-1*[1]ישיר!$AG219</f>
        <v>-419078</v>
      </c>
      <c r="K215" s="1">
        <f>-1*[1]ישיר!$AK219</f>
        <v>-34575</v>
      </c>
      <c r="L215" s="2">
        <f>-1*[1]ישיר!$Z219</f>
        <v>-213793</v>
      </c>
      <c r="M215" s="2">
        <f>[1]ישיר!$Y219</f>
        <v>823247</v>
      </c>
    </row>
    <row r="216" spans="1:13" x14ac:dyDescent="0.2">
      <c r="A216" s="26">
        <v>41579</v>
      </c>
      <c r="B216" s="2">
        <f>[1]ישיר!B220</f>
        <v>11737474</v>
      </c>
      <c r="C216" s="1">
        <f>-1*[1]ישיר!$C220</f>
        <v>-1052717</v>
      </c>
      <c r="D216" s="3">
        <f>personal_labor_income_taxes!B216+C216</f>
        <v>10684757</v>
      </c>
      <c r="E216" s="2">
        <f>[1]ישיר!$F220</f>
        <v>5947946</v>
      </c>
      <c r="F216" s="2">
        <f>[1]ישיר!$V220</f>
        <v>3836426</v>
      </c>
      <c r="G216" s="2">
        <f>[1]ישיר!$H220</f>
        <v>702315</v>
      </c>
      <c r="H216" s="2">
        <f>[1]ישיר!$I220</f>
        <v>397241</v>
      </c>
      <c r="I216" s="2">
        <f>-1*[1]ישיר!$J220</f>
        <v>-2567</v>
      </c>
      <c r="J216" s="2">
        <f>-1*[1]ישיר!$AG220</f>
        <v>-395731</v>
      </c>
      <c r="K216" s="1">
        <f>-1*[1]ישיר!$AK220</f>
        <v>-35550</v>
      </c>
      <c r="L216" s="2">
        <f>-1*[1]ישיר!$Z220</f>
        <v>-209533</v>
      </c>
      <c r="M216" s="2">
        <f>[1]ישיר!$Y220</f>
        <v>776295</v>
      </c>
    </row>
    <row r="217" spans="1:13" x14ac:dyDescent="0.2">
      <c r="A217" s="26">
        <v>41609</v>
      </c>
      <c r="B217" s="2">
        <f>[1]ישיר!B221</f>
        <v>13328153</v>
      </c>
      <c r="C217" s="1">
        <f>-1*[1]ישיר!$C221</f>
        <v>-1424793</v>
      </c>
      <c r="D217" s="3">
        <f>personal_labor_income_taxes!B217+C217</f>
        <v>11903360</v>
      </c>
      <c r="E217" s="2">
        <f>[1]ישיר!$F221</f>
        <v>6525469</v>
      </c>
      <c r="F217" s="2">
        <f>[1]ישיר!$V221</f>
        <v>3544562</v>
      </c>
      <c r="G217" s="2">
        <f>[1]ישיר!$H221</f>
        <v>354480</v>
      </c>
      <c r="H217" s="2">
        <f>[1]ישיר!$I221</f>
        <v>430611</v>
      </c>
      <c r="I217" s="2">
        <f>-1*[1]ישיר!$J221</f>
        <v>-10094</v>
      </c>
      <c r="J217" s="2">
        <f>-1*[1]ישיר!$AG221</f>
        <v>-465358</v>
      </c>
      <c r="K217" s="1">
        <f>-1*[1]ישיר!$AK221</f>
        <v>-34549</v>
      </c>
      <c r="L217" s="2">
        <f>-1*[1]ישיר!$Z221</f>
        <v>-158979</v>
      </c>
      <c r="M217" s="2">
        <f>[1]ישיר!$Y221</f>
        <v>869171</v>
      </c>
    </row>
    <row r="218" spans="1:13" x14ac:dyDescent="0.2">
      <c r="A218" s="26">
        <v>41640</v>
      </c>
      <c r="B218" s="2">
        <f>[1]ישיר!B222</f>
        <v>14565299</v>
      </c>
      <c r="C218" s="1">
        <f>-1*[1]ישיר!$C222</f>
        <v>-1307566</v>
      </c>
      <c r="D218" s="3">
        <f>personal_labor_income_taxes!B218+C218</f>
        <v>13257733</v>
      </c>
      <c r="E218" s="2">
        <f>[1]ישיר!$F222</f>
        <v>7450926</v>
      </c>
      <c r="F218" s="2">
        <f>[1]ישיר!$V222</f>
        <v>4491713</v>
      </c>
      <c r="G218" s="2">
        <f>[1]ישיר!$H222</f>
        <v>14477</v>
      </c>
      <c r="H218" s="2">
        <f>[1]ישיר!$I222</f>
        <v>1650206</v>
      </c>
      <c r="I218" s="2">
        <f>-1*[1]ישיר!$J222</f>
        <v>-9994</v>
      </c>
      <c r="J218" s="2">
        <f>-1*[1]ישיר!$AG222</f>
        <v>-391512</v>
      </c>
      <c r="K218" s="1">
        <f>-1*[1]ישיר!$AK222</f>
        <v>-25303</v>
      </c>
      <c r="L218" s="2">
        <f>-1*[1]ישיר!$Z222</f>
        <v>-256538</v>
      </c>
      <c r="M218" s="2">
        <f>[1]ישיר!$Y222</f>
        <v>809745</v>
      </c>
    </row>
    <row r="219" spans="1:13" x14ac:dyDescent="0.2">
      <c r="A219" s="26">
        <v>41671</v>
      </c>
      <c r="B219" s="2">
        <f>[1]ישיר!B223</f>
        <v>10958757</v>
      </c>
      <c r="C219" s="1">
        <f>-1*[1]ישיר!$C223</f>
        <v>-890927</v>
      </c>
      <c r="D219" s="3">
        <f>personal_labor_income_taxes!B219+C219</f>
        <v>10067830</v>
      </c>
      <c r="E219" s="2">
        <f>[1]ישיר!$F223</f>
        <v>5869274</v>
      </c>
      <c r="F219" s="2">
        <f>[1]ישיר!$V223</f>
        <v>4073745</v>
      </c>
      <c r="G219" s="2">
        <f>[1]ישיר!$H223</f>
        <v>351854</v>
      </c>
      <c r="H219" s="2">
        <f>[1]ישיר!$I223</f>
        <v>500961</v>
      </c>
      <c r="I219" s="2">
        <f>-1*[1]ישיר!$J223</f>
        <v>-3690</v>
      </c>
      <c r="J219" s="2">
        <f>-1*[1]ישיר!$AG223</f>
        <v>-246699</v>
      </c>
      <c r="K219" s="1">
        <f>-1*[1]ישיר!$AK223</f>
        <v>-37261</v>
      </c>
      <c r="L219" s="2">
        <f>-1*[1]ישיר!$Z223</f>
        <v>-196131</v>
      </c>
      <c r="M219" s="2">
        <f>[1]ישיר!$Y223</f>
        <v>852878</v>
      </c>
    </row>
    <row r="220" spans="1:13" x14ac:dyDescent="0.2">
      <c r="A220" s="26">
        <v>41699</v>
      </c>
      <c r="B220" s="2">
        <f>[1]ישיר!B224</f>
        <v>11439950</v>
      </c>
      <c r="C220" s="1">
        <f>-1*[1]ישיר!$C224</f>
        <v>-1084576</v>
      </c>
      <c r="D220" s="3">
        <f>personal_labor_income_taxes!B220+C220</f>
        <v>10355374</v>
      </c>
      <c r="E220" s="2">
        <f>[1]ישיר!$F224</f>
        <v>6409073</v>
      </c>
      <c r="F220" s="2">
        <f>[1]ישיר!$V224</f>
        <v>4356326</v>
      </c>
      <c r="G220" s="2">
        <f>[1]ישיר!$H224</f>
        <v>650075</v>
      </c>
      <c r="H220" s="2">
        <f>[1]ישיר!$I224</f>
        <v>353145</v>
      </c>
      <c r="I220" s="2">
        <f>-1*[1]ישיר!$J224</f>
        <v>-3025</v>
      </c>
      <c r="J220" s="2">
        <f>-1*[1]ישיר!$AG224</f>
        <v>-222432</v>
      </c>
      <c r="K220" s="1">
        <f>-1*[1]ישיר!$AK224</f>
        <v>-50890</v>
      </c>
      <c r="L220" s="2">
        <f>-1*[1]ישיר!$Z224</f>
        <v>-245120</v>
      </c>
      <c r="M220" s="2">
        <f>[1]ישיר!$Y224</f>
        <v>843750</v>
      </c>
    </row>
    <row r="221" spans="1:13" x14ac:dyDescent="0.2">
      <c r="A221" s="26">
        <v>41730</v>
      </c>
      <c r="B221" s="2">
        <f>[1]ישיר!B225</f>
        <v>11442517</v>
      </c>
      <c r="C221" s="1">
        <f>-1*[1]ישיר!$C225</f>
        <v>-528390</v>
      </c>
      <c r="D221" s="3">
        <f>personal_labor_income_taxes!B221+C221</f>
        <v>10914127</v>
      </c>
      <c r="E221" s="2">
        <f>[1]ישיר!$F225</f>
        <v>6979841</v>
      </c>
      <c r="F221" s="2">
        <f>[1]ישיר!$V225</f>
        <v>4576057</v>
      </c>
      <c r="G221" s="2">
        <f>[1]ישיר!$H225</f>
        <v>332325</v>
      </c>
      <c r="H221" s="2">
        <f>[1]ישיר!$I225</f>
        <v>609078</v>
      </c>
      <c r="I221" s="2">
        <f>-1*[1]ישיר!$J225</f>
        <v>-2595</v>
      </c>
      <c r="J221" s="2">
        <f>-1*[1]ישיר!$AG225</f>
        <v>-164164</v>
      </c>
      <c r="K221" s="1">
        <f>-1*[1]ישיר!$AK225</f>
        <v>-23878</v>
      </c>
      <c r="L221" s="2">
        <f>-1*[1]ישיר!$Z225</f>
        <v>-251108</v>
      </c>
      <c r="M221" s="2">
        <f>[1]ישיר!$Y225</f>
        <v>806680</v>
      </c>
    </row>
    <row r="222" spans="1:13" x14ac:dyDescent="0.2">
      <c r="A222" s="26">
        <v>41760</v>
      </c>
      <c r="B222" s="2">
        <f>[1]ישיר!B226</f>
        <v>11425699</v>
      </c>
      <c r="C222" s="1">
        <f>-1*[1]ישיר!$C226</f>
        <v>-789001</v>
      </c>
      <c r="D222" s="3">
        <f>personal_labor_income_taxes!B222+C222</f>
        <v>10636698</v>
      </c>
      <c r="E222" s="2">
        <f>[1]ישיר!$F226</f>
        <v>6724066</v>
      </c>
      <c r="F222" s="2">
        <f>[1]ישיר!$V226</f>
        <v>4431034</v>
      </c>
      <c r="G222" s="2">
        <f>[1]ישיר!$H226</f>
        <v>697867</v>
      </c>
      <c r="H222" s="2">
        <f>[1]ישיר!$I226</f>
        <v>428994</v>
      </c>
      <c r="I222" s="2">
        <f>-1*[1]ישיר!$J226</f>
        <v>-3357</v>
      </c>
      <c r="J222" s="2">
        <f>-1*[1]ישיר!$AG226</f>
        <v>-274113</v>
      </c>
      <c r="K222" s="1">
        <f>-1*[1]ישיר!$AK226</f>
        <v>-47727</v>
      </c>
      <c r="L222" s="2">
        <f>-1*[1]ישיר!$Z226</f>
        <v>-271128</v>
      </c>
      <c r="M222" s="2">
        <f>[1]ישיר!$Y226</f>
        <v>862983</v>
      </c>
    </row>
    <row r="223" spans="1:13" x14ac:dyDescent="0.2">
      <c r="A223" s="26">
        <v>41791</v>
      </c>
      <c r="B223" s="2">
        <f>[1]ישיר!B227</f>
        <v>9789468</v>
      </c>
      <c r="C223" s="1">
        <f>-1*[1]ישיר!$C227</f>
        <v>-945067</v>
      </c>
      <c r="D223" s="3">
        <f>personal_labor_income_taxes!B223+C223</f>
        <v>8844401</v>
      </c>
      <c r="E223" s="2">
        <f>[1]ישיר!$F227</f>
        <v>5575220</v>
      </c>
      <c r="F223" s="2">
        <f>[1]ישיר!$V227</f>
        <v>3482004</v>
      </c>
      <c r="G223" s="2">
        <f>[1]ישיר!$H227</f>
        <v>353431</v>
      </c>
      <c r="H223" s="2">
        <f>[1]ישיר!$I227</f>
        <v>360874</v>
      </c>
      <c r="I223" s="2">
        <f>-1*[1]ישיר!$J227</f>
        <v>-5716</v>
      </c>
      <c r="J223" s="2">
        <f>-1*[1]ישיר!$AG227</f>
        <v>-323210</v>
      </c>
      <c r="K223" s="1">
        <f>-1*[1]ישיר!$AK227</f>
        <v>-34053</v>
      </c>
      <c r="L223" s="2">
        <f>-1*[1]ישיר!$Z227</f>
        <v>-220402</v>
      </c>
      <c r="M223" s="2">
        <f>[1]ישיר!$Y227</f>
        <v>872493</v>
      </c>
    </row>
    <row r="224" spans="1:13" x14ac:dyDescent="0.2">
      <c r="A224" s="26">
        <v>41821</v>
      </c>
      <c r="B224" s="2">
        <f>[1]ישיר!B228</f>
        <v>12804446</v>
      </c>
      <c r="C224" s="1">
        <f>-1*[1]ישיר!$C228</f>
        <v>-1041044</v>
      </c>
      <c r="D224" s="3">
        <f>personal_labor_income_taxes!B224+C224</f>
        <v>11763402</v>
      </c>
      <c r="E224" s="2">
        <f>[1]ישיר!$F228</f>
        <v>7208283</v>
      </c>
      <c r="F224" s="2">
        <f>[1]ישיר!$V228</f>
        <v>4722662</v>
      </c>
      <c r="G224" s="2">
        <f>[1]ישיר!$H228</f>
        <v>781960</v>
      </c>
      <c r="H224" s="2">
        <f>[1]ישיר!$I228</f>
        <v>506820</v>
      </c>
      <c r="I224" s="2">
        <f>-1*[1]ישיר!$J228</f>
        <v>-4422</v>
      </c>
      <c r="J224" s="2">
        <f>-1*[1]ישיר!$AG228</f>
        <v>-491913</v>
      </c>
      <c r="K224" s="1">
        <f>-1*[1]ישיר!$AK228</f>
        <v>-40183</v>
      </c>
      <c r="L224" s="2">
        <f>-1*[1]ישיר!$Z228</f>
        <v>-205650</v>
      </c>
      <c r="M224" s="2">
        <f>[1]ישיר!$Y228</f>
        <v>1091705</v>
      </c>
    </row>
    <row r="225" spans="1:13" x14ac:dyDescent="0.2">
      <c r="A225" s="26">
        <v>41852</v>
      </c>
      <c r="B225" s="2">
        <f>[1]ישיר!B229</f>
        <v>11821360</v>
      </c>
      <c r="C225" s="1">
        <f>-1*[1]ישיר!$C229</f>
        <v>-885909</v>
      </c>
      <c r="D225" s="3">
        <f>personal_labor_income_taxes!B225+C225</f>
        <v>10935451</v>
      </c>
      <c r="E225" s="2">
        <f>[1]ישיר!$F229</f>
        <v>6339927</v>
      </c>
      <c r="F225" s="2">
        <f>[1]ישיר!$V229</f>
        <v>4169319</v>
      </c>
      <c r="G225" s="2">
        <f>[1]ישיר!$H229</f>
        <v>410879</v>
      </c>
      <c r="H225" s="2">
        <f>[1]ישיר!$I229</f>
        <v>771648</v>
      </c>
      <c r="I225" s="2">
        <f>-1*[1]ישיר!$J229</f>
        <v>-2537</v>
      </c>
      <c r="J225" s="2">
        <f>-1*[1]ישיר!$AG229</f>
        <v>-445616</v>
      </c>
      <c r="K225" s="1">
        <f>-1*[1]ישיר!$AK229</f>
        <v>-43085</v>
      </c>
      <c r="L225" s="2">
        <f>-1*[1]ישיר!$Z229</f>
        <v>-234162</v>
      </c>
      <c r="M225" s="2">
        <f>[1]ישיר!$Y229</f>
        <v>928921</v>
      </c>
    </row>
    <row r="226" spans="1:13" x14ac:dyDescent="0.2">
      <c r="A226" s="26">
        <v>41883</v>
      </c>
      <c r="B226" s="2">
        <f>[1]ישיר!B230</f>
        <v>11048809</v>
      </c>
      <c r="C226" s="1">
        <f>-1*[1]ישיר!$C230</f>
        <v>-1553908</v>
      </c>
      <c r="D226" s="3">
        <f>personal_labor_income_taxes!B226+C226</f>
        <v>9494901</v>
      </c>
      <c r="E226" s="2">
        <f>[1]ישיר!$F230</f>
        <v>6371127</v>
      </c>
      <c r="F226" s="2">
        <f>[1]ישיר!$V230</f>
        <v>4372315</v>
      </c>
      <c r="G226" s="2">
        <f>[1]ישיר!$H230</f>
        <v>743486</v>
      </c>
      <c r="H226" s="2">
        <f>[1]ישיר!$I230</f>
        <v>463913</v>
      </c>
      <c r="I226" s="2">
        <f>-1*[1]ישיר!$J230</f>
        <v>-4235</v>
      </c>
      <c r="J226" s="2">
        <f>-1*[1]ישיר!$AG230</f>
        <v>-391957</v>
      </c>
      <c r="K226" s="1">
        <f>-1*[1]ישיר!$AK230</f>
        <v>-44481</v>
      </c>
      <c r="L226" s="2">
        <f>-1*[1]ישיר!$Z230</f>
        <v>-130158</v>
      </c>
      <c r="M226" s="2">
        <f>[1]ישיר!$Y230</f>
        <v>880118</v>
      </c>
    </row>
    <row r="227" spans="1:13" x14ac:dyDescent="0.2">
      <c r="A227" s="26">
        <v>41913</v>
      </c>
      <c r="B227" s="2">
        <f>[1]ישיר!B231</f>
        <v>11193898</v>
      </c>
      <c r="C227" s="1">
        <f>-1*[1]ישיר!$C231</f>
        <v>-714457</v>
      </c>
      <c r="D227" s="3">
        <f>personal_labor_income_taxes!B227+C227</f>
        <v>10479441</v>
      </c>
      <c r="E227" s="2">
        <f>[1]ישיר!$F231</f>
        <v>6423958</v>
      </c>
      <c r="F227" s="2">
        <f>[1]ישיר!$V231</f>
        <v>4055109</v>
      </c>
      <c r="G227" s="2">
        <f>[1]ישיר!$H231</f>
        <v>389593</v>
      </c>
      <c r="H227" s="2">
        <f>[1]ישיר!$I231</f>
        <v>357046</v>
      </c>
      <c r="I227" s="2">
        <f>-1*[1]ישיר!$J231</f>
        <v>-4594</v>
      </c>
      <c r="J227" s="2">
        <f>-1*[1]ישיר!$AG231</f>
        <v>-306454</v>
      </c>
      <c r="K227" s="1">
        <f>-1*[1]ישיר!$AK231</f>
        <v>-29131</v>
      </c>
      <c r="L227" s="2">
        <f>-1*[1]ישיר!$Z231</f>
        <v>-92802</v>
      </c>
      <c r="M227" s="2">
        <f>[1]ישיר!$Y231</f>
        <v>995845</v>
      </c>
    </row>
    <row r="228" spans="1:13" x14ac:dyDescent="0.2">
      <c r="A228" s="26">
        <v>41944</v>
      </c>
      <c r="B228" s="2">
        <f>[1]ישיר!B232</f>
        <v>10535184</v>
      </c>
      <c r="C228" s="1">
        <f>-1*[1]ישיר!$C232</f>
        <v>-776973</v>
      </c>
      <c r="D228" s="3">
        <f>personal_labor_income_taxes!B228+C228</f>
        <v>9758211</v>
      </c>
      <c r="E228" s="2">
        <f>[1]ישיר!$F232</f>
        <v>6147497</v>
      </c>
      <c r="F228" s="2">
        <f>[1]ישיר!$V232</f>
        <v>4114287</v>
      </c>
      <c r="G228" s="2">
        <f>[1]ישיר!$H232</f>
        <v>721455</v>
      </c>
      <c r="H228" s="2">
        <f>[1]ישיר!$I232</f>
        <v>410961</v>
      </c>
      <c r="I228" s="2">
        <f>-1*[1]ישיר!$J232</f>
        <v>-3332</v>
      </c>
      <c r="J228" s="2">
        <f>-1*[1]ישיר!$AG232</f>
        <v>-341505</v>
      </c>
      <c r="K228" s="1">
        <f>-1*[1]ישיר!$AK232</f>
        <v>-34267</v>
      </c>
      <c r="L228" s="2">
        <f>-1*[1]ישיר!$Z232</f>
        <v>-174663</v>
      </c>
      <c r="M228" s="2">
        <f>[1]ישיר!$Y232</f>
        <v>855689</v>
      </c>
    </row>
    <row r="229" spans="1:13" x14ac:dyDescent="0.2">
      <c r="A229" s="26">
        <v>41974</v>
      </c>
      <c r="B229" s="2">
        <f>[1]ישיר!B233</f>
        <v>10643643</v>
      </c>
      <c r="C229" s="1">
        <f>-1*[1]ישיר!$C233</f>
        <v>-931632</v>
      </c>
      <c r="D229" s="3">
        <f>personal_labor_income_taxes!B229+C229</f>
        <v>9712011</v>
      </c>
      <c r="E229" s="2">
        <f>[1]ישיר!$F233</f>
        <v>6007294</v>
      </c>
      <c r="F229" s="2">
        <f>[1]ישיר!$V233</f>
        <v>3782731</v>
      </c>
      <c r="G229" s="2">
        <f>[1]ישיר!$H233</f>
        <v>406350</v>
      </c>
      <c r="H229" s="2">
        <f>[1]ישיר!$I233</f>
        <v>504860</v>
      </c>
      <c r="I229" s="2">
        <f>-1*[1]ישיר!$J233</f>
        <v>-7810</v>
      </c>
      <c r="J229" s="2">
        <f>-1*[1]ישיר!$AG233</f>
        <v>-363274</v>
      </c>
      <c r="K229" s="1">
        <f>-1*[1]ישיר!$AK233</f>
        <v>-40240</v>
      </c>
      <c r="L229" s="2">
        <f>-1*[1]ישיר!$Z233</f>
        <v>-150541</v>
      </c>
      <c r="M229" s="2">
        <f>[1]ישיר!$Y233</f>
        <v>943117</v>
      </c>
    </row>
    <row r="230" spans="1:13" x14ac:dyDescent="0.2">
      <c r="A230" s="26">
        <v>42005</v>
      </c>
      <c r="B230" s="2">
        <f>[1]ישיר!B234</f>
        <v>15264074</v>
      </c>
      <c r="C230" s="1">
        <f>-1*[1]ישיר!$C234</f>
        <v>-960324</v>
      </c>
      <c r="D230" s="3">
        <f>personal_labor_income_taxes!B230+C230</f>
        <v>14303750</v>
      </c>
      <c r="E230" s="2">
        <f>[1]ישיר!$F234</f>
        <v>8880657</v>
      </c>
      <c r="F230" s="2">
        <f>[1]ישיר!$V234</f>
        <v>4732366</v>
      </c>
      <c r="G230" s="2">
        <f>[1]ישיר!$H234</f>
        <v>18325</v>
      </c>
      <c r="H230" s="2">
        <f>[1]ישיר!$I234</f>
        <v>1912002</v>
      </c>
      <c r="I230" s="2">
        <f>-1*[1]ישיר!$J234</f>
        <v>-5003</v>
      </c>
      <c r="J230" s="2">
        <f>-1*[1]ישיר!$AG234</f>
        <v>-351894</v>
      </c>
      <c r="K230" s="1">
        <f>-1*[1]ישיר!$AK234</f>
        <v>-48200</v>
      </c>
      <c r="L230" s="2">
        <f>-1*[1]ישיר!$Z234</f>
        <v>-244013</v>
      </c>
      <c r="M230" s="2">
        <f>[1]ישיר!$Y234</f>
        <v>748071</v>
      </c>
    </row>
    <row r="231" spans="1:13" x14ac:dyDescent="0.2">
      <c r="A231" s="26">
        <v>42036</v>
      </c>
      <c r="B231" s="2">
        <f>[1]ישיר!B235</f>
        <v>11787192</v>
      </c>
      <c r="C231" s="1">
        <f>-1*[1]ישיר!$C235</f>
        <v>-1185301</v>
      </c>
      <c r="D231" s="3">
        <f>personal_labor_income_taxes!B231+C231</f>
        <v>10601891</v>
      </c>
      <c r="E231" s="2">
        <f>[1]ישיר!$F235</f>
        <v>6679813</v>
      </c>
      <c r="F231" s="2">
        <f>[1]ישיר!$V235</f>
        <v>4540028</v>
      </c>
      <c r="G231" s="2">
        <f>[1]ישיר!$H235</f>
        <v>328108</v>
      </c>
      <c r="H231" s="2">
        <f>[1]ישיר!$I235</f>
        <v>759537</v>
      </c>
      <c r="I231" s="2">
        <f>-1*[1]ישיר!$J235</f>
        <v>-7628</v>
      </c>
      <c r="J231" s="2">
        <f>-1*[1]ישיר!$AG235</f>
        <v>-301066</v>
      </c>
      <c r="K231" s="1">
        <f>-1*[1]ישיר!$AK235</f>
        <v>-38875</v>
      </c>
      <c r="L231" s="2">
        <f>-1*[1]ישיר!$Z235</f>
        <v>-302944</v>
      </c>
      <c r="M231" s="2">
        <f>[1]ישיר!$Y235</f>
        <v>839997</v>
      </c>
    </row>
    <row r="232" spans="1:13" x14ac:dyDescent="0.2">
      <c r="A232" s="26">
        <v>42064</v>
      </c>
      <c r="B232" s="2">
        <f>[1]ישיר!B236</f>
        <v>12694244</v>
      </c>
      <c r="C232" s="1">
        <f>-1*[1]ישיר!$C236</f>
        <v>-1169718</v>
      </c>
      <c r="D232" s="3">
        <f>personal_labor_income_taxes!B232+C232</f>
        <v>11524526</v>
      </c>
      <c r="E232" s="2">
        <f>[1]ישיר!$F236</f>
        <v>7064444</v>
      </c>
      <c r="F232" s="2">
        <f>[1]ישיר!$V236</f>
        <v>4650554</v>
      </c>
      <c r="G232" s="2">
        <f>[1]ישיר!$H236</f>
        <v>721772</v>
      </c>
      <c r="H232" s="2">
        <f>[1]ישיר!$I236</f>
        <v>767184</v>
      </c>
      <c r="I232" s="2">
        <f>-1*[1]ישיר!$J236</f>
        <v>-2823</v>
      </c>
      <c r="J232" s="2">
        <f>-1*[1]ישיר!$AG236</f>
        <v>-260777</v>
      </c>
      <c r="K232" s="1">
        <f>-1*[1]ישיר!$AK236</f>
        <v>-41259</v>
      </c>
      <c r="L232" s="2">
        <f>-1*[1]ישיר!$Z236</f>
        <v>-260340</v>
      </c>
      <c r="M232" s="2">
        <f>[1]ישיר!$Y236</f>
        <v>876094</v>
      </c>
    </row>
    <row r="233" spans="1:13" x14ac:dyDescent="0.2">
      <c r="A233" s="26">
        <v>42095</v>
      </c>
      <c r="B233" s="2">
        <f>[1]ישיר!B237</f>
        <v>12560875</v>
      </c>
      <c r="C233" s="1">
        <f>-1*[1]ישיר!$C237</f>
        <v>-845151</v>
      </c>
      <c r="D233" s="3">
        <f>personal_labor_income_taxes!B233+C233</f>
        <v>11715724</v>
      </c>
      <c r="E233" s="2">
        <f>[1]ישיר!$F237</f>
        <v>7390896</v>
      </c>
      <c r="F233" s="2">
        <f>[1]ישיר!$V237</f>
        <v>5030574</v>
      </c>
      <c r="G233" s="2">
        <f>[1]ישיר!$H237</f>
        <v>378859</v>
      </c>
      <c r="H233" s="2">
        <f>[1]ישיר!$I237</f>
        <v>764077</v>
      </c>
      <c r="I233" s="2">
        <f>-1*[1]ישיר!$J237</f>
        <v>-3218</v>
      </c>
      <c r="J233" s="2">
        <f>-1*[1]ישיר!$AG237</f>
        <v>-186061</v>
      </c>
      <c r="K233" s="1">
        <f>-1*[1]ישיר!$AK237</f>
        <v>-38170</v>
      </c>
      <c r="L233" s="2">
        <f>-1*[1]ישיר!$Z237</f>
        <v>-169349</v>
      </c>
      <c r="M233" s="2">
        <f>[1]ישיר!$Y237</f>
        <v>832719</v>
      </c>
    </row>
    <row r="234" spans="1:13" x14ac:dyDescent="0.2">
      <c r="A234" s="26">
        <v>42125</v>
      </c>
      <c r="B234" s="2">
        <f>[1]ישיר!B238</f>
        <v>12752035</v>
      </c>
      <c r="C234" s="1">
        <f>-1*[1]ישיר!$C238</f>
        <v>-1355156</v>
      </c>
      <c r="D234" s="3">
        <f>personal_labor_income_taxes!B234+C234</f>
        <v>11396879</v>
      </c>
      <c r="E234" s="2">
        <f>[1]ישיר!$F238</f>
        <v>7509281</v>
      </c>
      <c r="F234" s="2">
        <f>[1]ישיר!$V238</f>
        <v>4602379</v>
      </c>
      <c r="G234" s="2">
        <f>[1]ישיר!$H238</f>
        <v>771113</v>
      </c>
      <c r="H234" s="2">
        <f>[1]ישיר!$I238</f>
        <v>504964</v>
      </c>
      <c r="I234" s="2">
        <f>-1*[1]ישיר!$J238</f>
        <v>-5124</v>
      </c>
      <c r="J234" s="2">
        <f>-1*[1]ישיר!$AG238</f>
        <v>-282793</v>
      </c>
      <c r="K234" s="1">
        <f>-1*[1]ישיר!$AK238</f>
        <v>-30460</v>
      </c>
      <c r="L234" s="2">
        <f>-1*[1]ישיר!$Z238</f>
        <v>-301976</v>
      </c>
      <c r="M234" s="2">
        <f>[1]ישיר!$Y238</f>
        <v>846863</v>
      </c>
    </row>
    <row r="235" spans="1:13" x14ac:dyDescent="0.2">
      <c r="A235" s="26">
        <v>42156</v>
      </c>
      <c r="B235" s="2">
        <f>[1]ישיר!B239</f>
        <v>11344684</v>
      </c>
      <c r="C235" s="1">
        <f>-1*[1]ישיר!$C239</f>
        <v>-1157097</v>
      </c>
      <c r="D235" s="3">
        <f>personal_labor_income_taxes!B235+C235</f>
        <v>10187587</v>
      </c>
      <c r="E235" s="2">
        <f>[1]ישיר!$F239</f>
        <v>6369008</v>
      </c>
      <c r="F235" s="2">
        <f>[1]ישיר!$V239</f>
        <v>3899739</v>
      </c>
      <c r="G235" s="2">
        <f>[1]ישיר!$H239</f>
        <v>403660</v>
      </c>
      <c r="H235" s="2">
        <f>[1]ישיר!$I239</f>
        <v>655693</v>
      </c>
      <c r="I235" s="2">
        <f>-1*[1]ישיר!$J239</f>
        <v>-2290</v>
      </c>
      <c r="J235" s="2">
        <f>-1*[1]ישיר!$AG239</f>
        <v>-423367</v>
      </c>
      <c r="K235" s="1">
        <f>-1*[1]ישיר!$AK239</f>
        <v>-43690</v>
      </c>
      <c r="L235" s="2">
        <f>-1*[1]ישיר!$Z239</f>
        <v>-247197</v>
      </c>
      <c r="M235" s="2">
        <f>[1]ישיר!$Y239</f>
        <v>848597</v>
      </c>
    </row>
    <row r="236" spans="1:13" x14ac:dyDescent="0.2">
      <c r="A236" s="26">
        <v>42186</v>
      </c>
      <c r="B236" s="2">
        <f>[1]ישיר!B240</f>
        <v>14691803</v>
      </c>
      <c r="C236" s="1">
        <f>-1*[1]ישיר!$C240</f>
        <v>-1080240</v>
      </c>
      <c r="D236" s="3">
        <f>personal_labor_income_taxes!B236+C236</f>
        <v>13611563</v>
      </c>
      <c r="E236" s="2">
        <f>[1]ישיר!$F240</f>
        <v>7949203</v>
      </c>
      <c r="F236" s="2">
        <f>[1]ישיר!$V240</f>
        <v>5245974</v>
      </c>
      <c r="G236" s="2">
        <f>[1]ישיר!$H240</f>
        <v>834748</v>
      </c>
      <c r="H236" s="2">
        <f>[1]ישיר!$I240</f>
        <v>627500</v>
      </c>
      <c r="I236" s="2">
        <f>-1*[1]ישיר!$J240</f>
        <v>-16484</v>
      </c>
      <c r="J236" s="2">
        <f>-1*[1]ישיר!$AG240</f>
        <v>-497130</v>
      </c>
      <c r="K236" s="1">
        <f>-1*[1]ישיר!$AK240</f>
        <v>-36968</v>
      </c>
      <c r="L236" s="2">
        <f>-1*[1]ישיר!$Z240</f>
        <v>-268340</v>
      </c>
      <c r="M236" s="2">
        <f>[1]ישיר!$Y240</f>
        <v>986759</v>
      </c>
    </row>
    <row r="237" spans="1:13" x14ac:dyDescent="0.2">
      <c r="A237" s="26">
        <v>42217</v>
      </c>
      <c r="B237" s="2">
        <f>[1]ישיר!B241</f>
        <v>12964579</v>
      </c>
      <c r="C237" s="1">
        <f>-1*[1]ישיר!$C241</f>
        <v>-1044148</v>
      </c>
      <c r="D237" s="3">
        <f>personal_labor_income_taxes!B237+C237</f>
        <v>11920431</v>
      </c>
      <c r="E237" s="2">
        <f>[1]ישיר!$F241</f>
        <v>6607397</v>
      </c>
      <c r="F237" s="2">
        <f>[1]ישיר!$V241</f>
        <v>4336110</v>
      </c>
      <c r="G237" s="2">
        <f>[1]ישיר!$H241</f>
        <v>431200</v>
      </c>
      <c r="H237" s="2">
        <f>[1]ישיר!$I241</f>
        <v>645768</v>
      </c>
      <c r="I237" s="2">
        <f>-1*[1]ישיר!$J241</f>
        <v>-3653</v>
      </c>
      <c r="J237" s="2">
        <f>-1*[1]ישיר!$AG241</f>
        <v>-463200</v>
      </c>
      <c r="K237" s="1">
        <f>-1*[1]ישיר!$AK241</f>
        <v>-39875</v>
      </c>
      <c r="L237" s="2">
        <f>-1*[1]ישיר!$Z241</f>
        <v>-193926</v>
      </c>
      <c r="M237" s="2">
        <f>[1]ישיר!$Y241</f>
        <v>993694</v>
      </c>
    </row>
    <row r="238" spans="1:13" x14ac:dyDescent="0.2">
      <c r="A238" s="26">
        <v>42248</v>
      </c>
      <c r="B238" s="2">
        <f>[1]ישיר!B242</f>
        <v>12310594</v>
      </c>
      <c r="C238" s="1">
        <f>-1*[1]ישיר!$C242</f>
        <v>-637302</v>
      </c>
      <c r="D238" s="3">
        <f>personal_labor_income_taxes!B238+C238</f>
        <v>11673292</v>
      </c>
      <c r="E238" s="2">
        <f>[1]ישיר!$F242</f>
        <v>6830933</v>
      </c>
      <c r="F238" s="2">
        <f>[1]ישיר!$V242</f>
        <v>4668336</v>
      </c>
      <c r="G238" s="2">
        <f>[1]ישיר!$H242</f>
        <v>779206</v>
      </c>
      <c r="H238" s="2">
        <f>[1]ישיר!$I242</f>
        <v>988551</v>
      </c>
      <c r="I238" s="2">
        <f>-1*[1]ישיר!$J242</f>
        <v>-4698</v>
      </c>
      <c r="J238" s="2">
        <f>-1*[1]ישיר!$AG242</f>
        <v>-293043</v>
      </c>
      <c r="K238" s="1">
        <f>-1*[1]ישיר!$AK242</f>
        <v>-24438</v>
      </c>
      <c r="L238" s="2">
        <f>-1*[1]ישיר!$Z242</f>
        <v>-241537</v>
      </c>
      <c r="M238" s="2">
        <f>[1]ישיר!$Y242</f>
        <v>858440</v>
      </c>
    </row>
    <row r="239" spans="1:13" x14ac:dyDescent="0.2">
      <c r="A239" s="26">
        <v>42278</v>
      </c>
      <c r="B239" s="2">
        <f>[1]ישיר!B243</f>
        <v>11157030</v>
      </c>
      <c r="C239" s="1">
        <f>-1*[1]ישיר!$C243</f>
        <v>-806426</v>
      </c>
      <c r="D239" s="3">
        <f>personal_labor_income_taxes!B239+C239</f>
        <v>10350604</v>
      </c>
      <c r="E239" s="2">
        <f>[1]ישיר!$F243</f>
        <v>6346727</v>
      </c>
      <c r="F239" s="2">
        <f>[1]ישיר!$V243</f>
        <v>4262960</v>
      </c>
      <c r="G239" s="2">
        <f>[1]ישיר!$H243</f>
        <v>399685</v>
      </c>
      <c r="H239" s="2">
        <f>[1]ישיר!$I243</f>
        <v>536395</v>
      </c>
      <c r="I239" s="2">
        <f>-1*[1]ישיר!$J243</f>
        <v>-6160</v>
      </c>
      <c r="J239" s="2">
        <f>-1*[1]ישיר!$AG243</f>
        <v>-371743</v>
      </c>
      <c r="K239" s="1">
        <f>-1*[1]ישיר!$AK243</f>
        <v>-27919</v>
      </c>
      <c r="L239" s="2">
        <f>-1*[1]ישיר!$Z243</f>
        <v>-233468</v>
      </c>
      <c r="M239" s="2">
        <f>[1]ישיר!$Y243</f>
        <v>832564</v>
      </c>
    </row>
    <row r="240" spans="1:13" x14ac:dyDescent="0.2">
      <c r="A240" s="26">
        <v>42309</v>
      </c>
      <c r="B240" s="2">
        <f>[1]ישיר!B244</f>
        <v>12206694</v>
      </c>
      <c r="C240" s="1">
        <f>-1*[1]ישיר!$C244</f>
        <v>-906447</v>
      </c>
      <c r="D240" s="3">
        <f>personal_labor_income_taxes!B240+C240</f>
        <v>11300247</v>
      </c>
      <c r="E240" s="2">
        <f>[1]ישיר!$F244</f>
        <v>6705998</v>
      </c>
      <c r="F240" s="2">
        <f>[1]ישיר!$V244</f>
        <v>4587577</v>
      </c>
      <c r="G240" s="2">
        <f>[1]ישיר!$H244</f>
        <v>782642</v>
      </c>
      <c r="H240" s="2">
        <f>[1]ישיר!$I244</f>
        <v>679265</v>
      </c>
      <c r="I240" s="2">
        <f>-1*[1]ישיר!$J244</f>
        <v>-11119</v>
      </c>
      <c r="J240" s="2">
        <f>-1*[1]ישיר!$AG244</f>
        <v>-381950</v>
      </c>
      <c r="K240" s="1">
        <f>-1*[1]ישיר!$AK244</f>
        <v>-51209</v>
      </c>
      <c r="L240" s="2">
        <f>-1*[1]ישיר!$Z244</f>
        <v>-220502</v>
      </c>
      <c r="M240" s="2">
        <f>[1]ישיר!$Y244</f>
        <v>867455</v>
      </c>
    </row>
    <row r="241" spans="1:13" x14ac:dyDescent="0.2">
      <c r="A241" s="26">
        <v>42339</v>
      </c>
      <c r="B241" s="2">
        <f>[1]ישיר!B245</f>
        <v>11508453</v>
      </c>
      <c r="C241" s="1">
        <f>-1*[1]ישיר!$C245</f>
        <v>-1492936</v>
      </c>
      <c r="D241" s="3">
        <f>personal_labor_income_taxes!B241+C241</f>
        <v>10015517</v>
      </c>
      <c r="E241" s="2">
        <f>[1]ישיר!$F245</f>
        <v>6481282</v>
      </c>
      <c r="F241" s="2">
        <f>[1]ישיר!$V245</f>
        <v>4209530</v>
      </c>
      <c r="G241" s="2">
        <f>[1]ישיר!$H245</f>
        <v>449182</v>
      </c>
      <c r="H241" s="2">
        <f>[1]ישיר!$I245</f>
        <v>705428</v>
      </c>
      <c r="I241" s="2">
        <f>-1*[1]ישיר!$J245</f>
        <v>-3627</v>
      </c>
      <c r="J241" s="2">
        <f>-1*[1]ישיר!$AG245</f>
        <v>-466429</v>
      </c>
      <c r="K241" s="1">
        <f>-1*[1]ישיר!$AK245</f>
        <v>-116226</v>
      </c>
      <c r="L241" s="2">
        <f>-1*[1]ישיר!$Z245</f>
        <v>-216958</v>
      </c>
      <c r="M241" s="2">
        <f>[1]ישיר!$Y245</f>
        <v>904938</v>
      </c>
    </row>
    <row r="242" spans="1:13" x14ac:dyDescent="0.2">
      <c r="A242" s="26">
        <v>42370</v>
      </c>
      <c r="B242" s="2">
        <f>[1]ישיר!B246</f>
        <v>15641270</v>
      </c>
      <c r="C242" s="1">
        <f>-1*[1]ישיר!$C246</f>
        <v>-1119242</v>
      </c>
      <c r="D242" s="3">
        <f>personal_labor_income_taxes!B242+C242</f>
        <v>14522028</v>
      </c>
      <c r="E242" s="2">
        <f>[1]ישיר!$F246</f>
        <v>8365438</v>
      </c>
      <c r="F242" s="2">
        <f>[1]ישיר!$V246</f>
        <v>4928598</v>
      </c>
      <c r="G242" s="2">
        <f>[1]ישיר!$H246</f>
        <v>11332</v>
      </c>
      <c r="H242" s="2">
        <f>[1]ישיר!$I246</f>
        <v>2254746</v>
      </c>
      <c r="I242" s="2">
        <f>-1*[1]ישיר!$J246</f>
        <v>-4187</v>
      </c>
      <c r="J242" s="2">
        <f>-1*[1]ישיר!$AG246</f>
        <v>-383425</v>
      </c>
      <c r="K242" s="1">
        <f>-1*[1]ישיר!$AK246</f>
        <v>-45662</v>
      </c>
      <c r="L242" s="2">
        <f>-1*[1]ישיר!$Z246</f>
        <v>-214267</v>
      </c>
      <c r="M242" s="2">
        <f>[1]ישיר!$Y246</f>
        <v>888641</v>
      </c>
    </row>
    <row r="243" spans="1:13" x14ac:dyDescent="0.2">
      <c r="A243" s="26">
        <v>42401</v>
      </c>
      <c r="B243" s="2">
        <f>[1]ישיר!B247</f>
        <v>12433769</v>
      </c>
      <c r="C243" s="1">
        <f>-1*[1]ישיר!$C247</f>
        <v>-933760</v>
      </c>
      <c r="D243" s="3">
        <f>personal_labor_income_taxes!B243+C243</f>
        <v>11500009</v>
      </c>
      <c r="E243" s="2">
        <f>[1]ישיר!$F247</f>
        <v>6651454</v>
      </c>
      <c r="F243" s="2">
        <f>[1]ישיר!$V247</f>
        <v>4677233</v>
      </c>
      <c r="G243" s="2">
        <f>[1]ישיר!$H247</f>
        <v>355412</v>
      </c>
      <c r="H243" s="2">
        <f>[1]ישיר!$I247</f>
        <v>820705</v>
      </c>
      <c r="I243" s="2">
        <f>-1*[1]ישיר!$J247</f>
        <v>-3802</v>
      </c>
      <c r="J243" s="2">
        <f>-1*[1]ישיר!$AG247</f>
        <v>-304314</v>
      </c>
      <c r="K243" s="1">
        <f>-1*[1]ישיר!$AK247</f>
        <v>-44009</v>
      </c>
      <c r="L243" s="2">
        <f>-1*[1]ישיר!$Z247</f>
        <v>-222097</v>
      </c>
      <c r="M243" s="2">
        <f>[1]ישיר!$Y247</f>
        <v>893472</v>
      </c>
    </row>
    <row r="244" spans="1:13" x14ac:dyDescent="0.2">
      <c r="A244" s="26">
        <v>42430</v>
      </c>
      <c r="B244" s="2">
        <f>[1]ישיר!B248</f>
        <v>13005613</v>
      </c>
      <c r="C244" s="1">
        <f>-1*[1]ישיר!$C248</f>
        <v>-1174956</v>
      </c>
      <c r="D244" s="3">
        <f>personal_labor_income_taxes!B244+C244</f>
        <v>11830657</v>
      </c>
      <c r="E244" s="2">
        <f>[1]ישיר!$F248</f>
        <v>6967673</v>
      </c>
      <c r="F244" s="2">
        <f>[1]ישיר!$V248</f>
        <v>4965952</v>
      </c>
      <c r="G244" s="2">
        <f>[1]ישיר!$H248</f>
        <v>807501</v>
      </c>
      <c r="H244" s="2">
        <f>[1]ישיר!$I248</f>
        <v>829892</v>
      </c>
      <c r="I244" s="2">
        <f>-1*[1]ישיר!$J248</f>
        <v>-4762</v>
      </c>
      <c r="J244" s="2">
        <f>-1*[1]ישיר!$AG248</f>
        <v>-257589</v>
      </c>
      <c r="K244" s="1">
        <f>-1*[1]ישיר!$AK248</f>
        <v>-36806</v>
      </c>
      <c r="L244" s="2">
        <f>-1*[1]ישיר!$Z248</f>
        <v>-227731</v>
      </c>
      <c r="M244" s="2">
        <f>[1]ישיר!$Y248</f>
        <v>910140</v>
      </c>
    </row>
    <row r="245" spans="1:13" x14ac:dyDescent="0.2">
      <c r="A245" s="26">
        <v>42461</v>
      </c>
      <c r="B245" s="2">
        <f>[1]ישיר!B249</f>
        <v>12629535</v>
      </c>
      <c r="C245" s="1">
        <f>-1*[1]ישיר!$C249</f>
        <v>-718164</v>
      </c>
      <c r="D245" s="3">
        <f>personal_labor_income_taxes!B245+C245</f>
        <v>11911371</v>
      </c>
      <c r="E245" s="2">
        <f>[1]ישיר!$F249</f>
        <v>7601077</v>
      </c>
      <c r="F245" s="2">
        <f>[1]ישיר!$V249</f>
        <v>5282475</v>
      </c>
      <c r="G245" s="2">
        <f>[1]ישיר!$H249</f>
        <v>407756</v>
      </c>
      <c r="H245" s="2">
        <f>[1]ישיר!$I249</f>
        <v>539374</v>
      </c>
      <c r="I245" s="2">
        <f>-1*[1]ישיר!$J249</f>
        <v>-8487</v>
      </c>
      <c r="J245" s="2">
        <f>-1*[1]ישיר!$AG249</f>
        <v>-203277</v>
      </c>
      <c r="K245" s="1">
        <f>-1*[1]ישיר!$AK249</f>
        <v>-39837</v>
      </c>
      <c r="L245" s="2">
        <f>-1*[1]ישיר!$Z249</f>
        <v>-227645</v>
      </c>
      <c r="M245" s="2">
        <f>[1]ישיר!$Y249</f>
        <v>823505</v>
      </c>
    </row>
    <row r="246" spans="1:13" x14ac:dyDescent="0.2">
      <c r="A246" s="26">
        <v>42491</v>
      </c>
      <c r="B246" s="2">
        <f>[1]ישיר!B250</f>
        <v>14779668</v>
      </c>
      <c r="C246" s="1">
        <f>-1*[1]ישיר!$C250</f>
        <v>-2077894</v>
      </c>
      <c r="D246" s="3">
        <f>personal_labor_income_taxes!B246+C246</f>
        <v>12701774</v>
      </c>
      <c r="E246" s="2">
        <f>[1]ישיר!$F250</f>
        <v>7879949</v>
      </c>
      <c r="F246" s="2">
        <f>[1]ישיר!$V250</f>
        <v>5336984</v>
      </c>
      <c r="G246" s="2">
        <f>[1]ישיר!$H250</f>
        <v>849720</v>
      </c>
      <c r="H246" s="2">
        <f>[1]ישיר!$I250</f>
        <v>663869</v>
      </c>
      <c r="I246" s="2">
        <f>-1*[1]ישיר!$J250</f>
        <v>-8480</v>
      </c>
      <c r="J246" s="2">
        <f>-1*[1]ישיר!$AG250</f>
        <v>-228843</v>
      </c>
      <c r="K246" s="1">
        <f>-1*[1]ישיר!$AK250</f>
        <v>-2770</v>
      </c>
      <c r="L246" s="2">
        <f>-1*[1]ישיר!$Z250</f>
        <v>-252185</v>
      </c>
      <c r="M246" s="2">
        <f>[1]ישיר!$Y250</f>
        <v>889581</v>
      </c>
    </row>
    <row r="247" spans="1:13" x14ac:dyDescent="0.2">
      <c r="A247" s="26">
        <v>42522</v>
      </c>
      <c r="B247" s="2">
        <f>[1]ישיר!B251</f>
        <v>12131578</v>
      </c>
      <c r="C247" s="1">
        <f>-1*[1]ישיר!$C251</f>
        <v>-773789</v>
      </c>
      <c r="D247" s="3">
        <f>personal_labor_income_taxes!B247+C247</f>
        <v>11357789</v>
      </c>
      <c r="E247" s="2">
        <f>[1]ישיר!$F251</f>
        <v>6480698</v>
      </c>
      <c r="F247" s="2">
        <f>[1]ישיר!$V251</f>
        <v>4144601</v>
      </c>
      <c r="G247" s="2">
        <f>[1]ישיר!$H251</f>
        <v>462927</v>
      </c>
      <c r="H247" s="2">
        <f>[1]ישיר!$I251</f>
        <v>868906</v>
      </c>
      <c r="I247" s="2">
        <f>-1*[1]ישיר!$J251</f>
        <v>-5140</v>
      </c>
      <c r="J247" s="2">
        <f>-1*[1]ישיר!$AG251</f>
        <v>-350781</v>
      </c>
      <c r="K247" s="1">
        <f>-1*[1]ישיר!$AK251</f>
        <v>-21419</v>
      </c>
      <c r="L247" s="2">
        <f>-1*[1]ישיר!$Z251</f>
        <v>-212288</v>
      </c>
      <c r="M247" s="2">
        <f>[1]ישיר!$Y251</f>
        <v>872913</v>
      </c>
    </row>
    <row r="248" spans="1:13" x14ac:dyDescent="0.2">
      <c r="A248" s="26">
        <v>42552</v>
      </c>
      <c r="B248" s="2">
        <f>[1]ישיר!B252</f>
        <v>14610753</v>
      </c>
      <c r="C248" s="1">
        <f>-1*[1]ישיר!$C252</f>
        <v>-1107934</v>
      </c>
      <c r="D248" s="3">
        <f>personal_labor_income_taxes!B248+C248</f>
        <v>13502819</v>
      </c>
      <c r="E248" s="2">
        <f>[1]ישיר!$F252</f>
        <v>8201997</v>
      </c>
      <c r="F248" s="2">
        <f>[1]ישיר!$V252</f>
        <v>5538666</v>
      </c>
      <c r="G248" s="2">
        <f>[1]ישיר!$H252</f>
        <v>884834</v>
      </c>
      <c r="H248" s="2">
        <f>[1]ישיר!$I252</f>
        <v>763439</v>
      </c>
      <c r="I248" s="2">
        <f>-1*[1]ישיר!$J252</f>
        <v>-2806</v>
      </c>
      <c r="J248" s="2">
        <f>-1*[1]ישיר!$AG252</f>
        <v>-429506</v>
      </c>
      <c r="K248" s="1">
        <f>-1*[1]ישיר!$AK252</f>
        <v>-145630</v>
      </c>
      <c r="L248" s="2">
        <f>-1*[1]ישיר!$Z252</f>
        <v>-211932</v>
      </c>
      <c r="M248" s="2">
        <f>[1]ישיר!$Y252</f>
        <v>1155630</v>
      </c>
    </row>
    <row r="249" spans="1:13" x14ac:dyDescent="0.2">
      <c r="A249" s="26">
        <v>42583</v>
      </c>
      <c r="B249" s="2">
        <f>[1]ישיר!B253</f>
        <v>12263087</v>
      </c>
      <c r="C249" s="1">
        <f>-1*[1]ישיר!$C253</f>
        <v>-1010096</v>
      </c>
      <c r="D249" s="3">
        <f>personal_labor_income_taxes!B249+C249</f>
        <v>11252991</v>
      </c>
      <c r="E249" s="2">
        <f>[1]ישיר!$F253</f>
        <v>6767948</v>
      </c>
      <c r="F249" s="2">
        <f>[1]ישיר!$V253</f>
        <v>4621247</v>
      </c>
      <c r="G249" s="2">
        <f>[1]ישיר!$H253</f>
        <v>471239</v>
      </c>
      <c r="H249" s="2">
        <f>[1]ישיר!$I253</f>
        <v>584373</v>
      </c>
      <c r="I249" s="2">
        <f>-1*[1]ישיר!$J253</f>
        <v>-4990</v>
      </c>
      <c r="J249" s="2">
        <f>-1*[1]ישיר!$AG253</f>
        <v>-510896</v>
      </c>
      <c r="K249" s="1">
        <f>-1*[1]ישיר!$AK253</f>
        <v>-72756</v>
      </c>
      <c r="L249" s="2">
        <f>-1*[1]ישיר!$Z253</f>
        <v>-276417</v>
      </c>
      <c r="M249" s="2">
        <f>[1]ישיר!$Y253</f>
        <v>980609</v>
      </c>
    </row>
    <row r="250" spans="1:13" x14ac:dyDescent="0.2">
      <c r="A250" s="26">
        <v>42614</v>
      </c>
      <c r="B250" s="2">
        <f>[1]ישיר!B254</f>
        <v>13727726</v>
      </c>
      <c r="C250" s="1">
        <f>-1*[1]ישיר!$C254</f>
        <v>-1094222</v>
      </c>
      <c r="D250" s="3">
        <f>personal_labor_income_taxes!B250+C250</f>
        <v>12633504</v>
      </c>
      <c r="E250" s="2">
        <f>[1]ישיר!$F254</f>
        <v>7450806</v>
      </c>
      <c r="F250" s="2">
        <f>[1]ישיר!$V254</f>
        <v>5060186</v>
      </c>
      <c r="G250" s="2">
        <f>[1]ישיר!$H254</f>
        <v>874030</v>
      </c>
      <c r="H250" s="2">
        <f>[1]ישיר!$I254</f>
        <v>800518</v>
      </c>
      <c r="I250" s="2">
        <f>-1*[1]ישיר!$J254</f>
        <v>-6498</v>
      </c>
      <c r="J250" s="2">
        <f>-1*[1]ישיר!$AG254</f>
        <v>-427928</v>
      </c>
      <c r="K250" s="1">
        <f>-1*[1]ישיר!$AK254</f>
        <v>-62805</v>
      </c>
      <c r="L250" s="2">
        <f>-1*[1]ישיר!$Z254</f>
        <v>-254840</v>
      </c>
      <c r="M250" s="2">
        <f>[1]ישיר!$Y254</f>
        <v>915264</v>
      </c>
    </row>
    <row r="251" spans="1:13" x14ac:dyDescent="0.2">
      <c r="A251" s="26">
        <v>42644</v>
      </c>
      <c r="B251" s="2">
        <f>[1]ישיר!B255</f>
        <v>7635207</v>
      </c>
      <c r="C251" s="1">
        <f>-1*[1]ישיר!$C255</f>
        <v>-548642</v>
      </c>
      <c r="D251" s="3">
        <f>personal_labor_income_taxes!B251+C251</f>
        <v>7086565</v>
      </c>
      <c r="E251" s="2">
        <f>[1]ישיר!$F255</f>
        <v>4260748</v>
      </c>
      <c r="F251" s="2">
        <f>[1]ישיר!$V255</f>
        <v>2847562</v>
      </c>
      <c r="G251" s="2">
        <f>[1]ישיר!$H255</f>
        <v>245404</v>
      </c>
      <c r="H251" s="2">
        <f>[1]ישיר!$I255</f>
        <v>423470</v>
      </c>
      <c r="I251" s="2">
        <f>-1*[1]ישיר!$J255</f>
        <v>-7483</v>
      </c>
      <c r="J251" s="2">
        <f>-1*[1]ישיר!$AG255</f>
        <v>-275888</v>
      </c>
      <c r="K251" s="1">
        <f>-1*[1]ישיר!$AK255</f>
        <v>-24823</v>
      </c>
      <c r="L251" s="2">
        <f>-1*[1]ישיר!$Z255</f>
        <v>-134367</v>
      </c>
      <c r="M251" s="2">
        <f>[1]ישיר!$Y255</f>
        <v>588924</v>
      </c>
    </row>
    <row r="252" spans="1:13" x14ac:dyDescent="0.2">
      <c r="A252" s="26">
        <v>42675</v>
      </c>
      <c r="B252" s="2">
        <f>[1]ישיר!B256</f>
        <v>16809663</v>
      </c>
      <c r="C252" s="1">
        <f>-1*[1]ישיר!$C256</f>
        <v>-938645</v>
      </c>
      <c r="D252" s="3">
        <f>personal_labor_income_taxes!B252+C252</f>
        <v>15871018</v>
      </c>
      <c r="E252" s="2">
        <f>[1]ישיר!$F256</f>
        <v>10044729</v>
      </c>
      <c r="F252" s="2">
        <f>[1]ישיר!$V256</f>
        <v>7055016</v>
      </c>
      <c r="G252" s="2">
        <f>[1]ישיר!$H256</f>
        <v>1010499</v>
      </c>
      <c r="H252" s="2">
        <f>[1]ישיר!$I256</f>
        <v>639121</v>
      </c>
      <c r="I252" s="2">
        <f>-1*[1]ישיר!$J256</f>
        <v>-14730</v>
      </c>
      <c r="J252" s="2">
        <f>-1*[1]ישיר!$AG256</f>
        <v>-437917</v>
      </c>
      <c r="K252" s="1">
        <f>-1*[1]ישיר!$AK256</f>
        <v>-26552</v>
      </c>
      <c r="L252" s="2">
        <f>-1*[1]ישיר!$Z256</f>
        <v>-306555</v>
      </c>
      <c r="M252" s="2">
        <f>[1]ישיר!$Y256</f>
        <v>1252380</v>
      </c>
    </row>
    <row r="253" spans="1:13" x14ac:dyDescent="0.2">
      <c r="A253" s="26">
        <v>42705</v>
      </c>
      <c r="B253" s="2">
        <f>[1]ישיר!B257</f>
        <v>12665958</v>
      </c>
      <c r="C253" s="1">
        <f>-1*[1]ישיר!$C257</f>
        <v>-1267889</v>
      </c>
      <c r="D253" s="3">
        <f>personal_labor_income_taxes!B253+C253</f>
        <v>11398069</v>
      </c>
      <c r="E253" s="2">
        <f>[1]ישיר!$F257</f>
        <v>6732159</v>
      </c>
      <c r="F253" s="2">
        <f>[1]ישיר!$V257</f>
        <v>4450769</v>
      </c>
      <c r="G253" s="2">
        <f>[1]ישיר!$H257</f>
        <v>525221</v>
      </c>
      <c r="H253" s="2">
        <f>[1]ישיר!$I257</f>
        <v>761648</v>
      </c>
      <c r="I253" s="2">
        <f>-1*[1]ישיר!$J257</f>
        <v>-16963</v>
      </c>
      <c r="J253" s="2">
        <f>-1*[1]ישיר!$AG257</f>
        <v>-463180</v>
      </c>
      <c r="K253" s="1">
        <f>-1*[1]ישיר!$AK257</f>
        <v>-40173</v>
      </c>
      <c r="L253" s="2">
        <f>-1*[1]ישיר!$Z257</f>
        <v>-226859</v>
      </c>
      <c r="M253" s="2">
        <f>[1]ישיר!$Y257</f>
        <v>831770</v>
      </c>
    </row>
    <row r="254" spans="1:13" x14ac:dyDescent="0.2">
      <c r="A254" s="26">
        <v>42736</v>
      </c>
      <c r="B254" s="2">
        <f>[1]ישיר!B258</f>
        <v>17626105</v>
      </c>
      <c r="C254" s="1">
        <f>-1*[1]ישיר!$C258</f>
        <v>-1008064</v>
      </c>
      <c r="D254" s="3">
        <f>personal_labor_income_taxes!B254+C254</f>
        <v>16618041</v>
      </c>
      <c r="E254" s="2">
        <f>[1]ישיר!$F258</f>
        <v>8377460</v>
      </c>
      <c r="F254" s="2">
        <f>[1]ישיר!$V258</f>
        <v>5460573</v>
      </c>
      <c r="G254" s="2">
        <f>[1]ישיר!$H258</f>
        <v>7319</v>
      </c>
      <c r="H254" s="2">
        <f>[1]ישיר!$I258</f>
        <v>2879287</v>
      </c>
      <c r="I254" s="2">
        <f>-1*[1]ישיר!$J258</f>
        <v>-16218</v>
      </c>
      <c r="J254" s="2">
        <f>-1*[1]ישיר!$AG258</f>
        <v>-411480</v>
      </c>
      <c r="K254" s="1">
        <f>-1*[1]ישיר!$AK258</f>
        <v>-37293</v>
      </c>
      <c r="L254" s="2">
        <f>-1*[1]ישיר!$Z258</f>
        <v>-328587</v>
      </c>
      <c r="M254" s="2">
        <f>[1]ישיר!$Y258</f>
        <v>831831</v>
      </c>
    </row>
    <row r="255" spans="1:13" x14ac:dyDescent="0.2">
      <c r="A255" s="26">
        <v>42767</v>
      </c>
      <c r="B255" s="2">
        <f>[1]ישיר!B259</f>
        <v>13834160</v>
      </c>
      <c r="C255" s="1">
        <f>-1*[1]ישיר!$C259</f>
        <v>-1054870</v>
      </c>
      <c r="D255" s="3">
        <f>personal_labor_income_taxes!B255+C255</f>
        <v>12779290</v>
      </c>
      <c r="E255" s="2">
        <f>[1]ישיר!$F259</f>
        <v>7528275</v>
      </c>
      <c r="F255" s="2">
        <f>[1]ישיר!$V259</f>
        <v>5013371</v>
      </c>
      <c r="G255" s="2">
        <f>[1]ישיר!$H259</f>
        <v>404122</v>
      </c>
      <c r="H255" s="2">
        <f>[1]ישיר!$I259</f>
        <v>994997</v>
      </c>
      <c r="I255" s="2">
        <f>-1*[1]ישיר!$J259</f>
        <v>-23443</v>
      </c>
      <c r="J255" s="2">
        <f>-1*[1]ישיר!$AG259</f>
        <v>-341073</v>
      </c>
      <c r="K255" s="1">
        <f>-1*[1]ישיר!$AK259</f>
        <v>-39472</v>
      </c>
      <c r="L255" s="2">
        <f>-1*[1]ישיר!$Z259</f>
        <v>-278827</v>
      </c>
      <c r="M255" s="2">
        <f>[1]ישיר!$Y259</f>
        <v>848955</v>
      </c>
    </row>
    <row r="256" spans="1:13" x14ac:dyDescent="0.2">
      <c r="A256" s="26">
        <v>42795</v>
      </c>
      <c r="B256" s="2">
        <f>[1]ישיר!B260</f>
        <v>14493734</v>
      </c>
      <c r="C256" s="1">
        <f>-1*[1]ישיר!$C260</f>
        <v>-1682904</v>
      </c>
      <c r="D256" s="3">
        <f>personal_labor_income_taxes!B256+C256</f>
        <v>12810830</v>
      </c>
      <c r="E256" s="2">
        <f>[1]ישיר!$F260</f>
        <v>7867188</v>
      </c>
      <c r="F256" s="2">
        <f>[1]ישיר!$V260</f>
        <v>5412649</v>
      </c>
      <c r="G256" s="2">
        <f>[1]ישיר!$H260</f>
        <v>858331</v>
      </c>
      <c r="H256" s="2">
        <f>[1]ישיר!$I260</f>
        <v>782484</v>
      </c>
      <c r="I256" s="2">
        <f>-1*[1]ישיר!$J260</f>
        <v>-3644</v>
      </c>
      <c r="J256" s="2">
        <f>-1*[1]ישיר!$AG260</f>
        <v>-282534</v>
      </c>
      <c r="K256" s="1">
        <f>-1*[1]ישיר!$AK260</f>
        <v>-57117</v>
      </c>
      <c r="L256" s="2">
        <f>-1*[1]ישיר!$Z260</f>
        <v>-211455</v>
      </c>
      <c r="M256" s="2">
        <f>[1]ישיר!$Y260</f>
        <v>979927</v>
      </c>
    </row>
    <row r="257" spans="1:13" x14ac:dyDescent="0.2">
      <c r="A257" s="26">
        <v>42826</v>
      </c>
      <c r="B257" s="2">
        <f>[1]ישיר!B261</f>
        <v>14065777</v>
      </c>
      <c r="C257" s="1">
        <f>-1*[1]ישיר!$C261</f>
        <v>-980497</v>
      </c>
      <c r="D257" s="3">
        <f>personal_labor_income_taxes!B257+C257</f>
        <v>13085280</v>
      </c>
      <c r="E257" s="2">
        <f>[1]ישיר!$F261</f>
        <v>8646415</v>
      </c>
      <c r="F257" s="2">
        <f>[1]ישיר!$V261</f>
        <v>5662805</v>
      </c>
      <c r="G257" s="2">
        <f>[1]ישיר!$H261</f>
        <v>430017</v>
      </c>
      <c r="H257" s="2">
        <f>[1]ישיר!$I261</f>
        <v>536378</v>
      </c>
      <c r="I257" s="2">
        <f>-1*[1]ישיר!$J261</f>
        <v>-3658</v>
      </c>
      <c r="J257" s="2">
        <f>-1*[1]ישיר!$AG261</f>
        <v>-175313</v>
      </c>
      <c r="K257" s="1">
        <f>-1*[1]ישיר!$AK261</f>
        <v>-40597</v>
      </c>
      <c r="L257" s="2">
        <f>-1*[1]ישיר!$Z261</f>
        <v>-320012</v>
      </c>
      <c r="M257" s="2">
        <f>[1]ישיר!$Y261</f>
        <v>840787</v>
      </c>
    </row>
    <row r="258" spans="1:13" x14ac:dyDescent="0.2">
      <c r="A258" s="26">
        <v>42856</v>
      </c>
      <c r="B258" s="2">
        <f>[1]ישיר!B262</f>
        <v>14437177</v>
      </c>
      <c r="C258" s="1">
        <f>-1*[1]ישיר!$C262</f>
        <v>-783438</v>
      </c>
      <c r="D258" s="3">
        <f>personal_labor_income_taxes!B258+C258</f>
        <v>13653739</v>
      </c>
      <c r="E258" s="2">
        <f>[1]ישיר!$F262</f>
        <v>8099009</v>
      </c>
      <c r="F258" s="2">
        <f>[1]ישיר!$V262</f>
        <v>5551857</v>
      </c>
      <c r="G258" s="2">
        <f>[1]ישיר!$H262</f>
        <v>869558</v>
      </c>
      <c r="H258" s="2">
        <f>[1]ישיר!$I262</f>
        <v>618600</v>
      </c>
      <c r="I258" s="2">
        <f>-1*[1]ישיר!$J262</f>
        <v>-13869</v>
      </c>
      <c r="J258" s="2">
        <f>-1*[1]ישיר!$AG262</f>
        <v>-261181</v>
      </c>
      <c r="K258" s="1">
        <f>-1*[1]ישיר!$AK262</f>
        <v>-37024</v>
      </c>
      <c r="L258" s="2">
        <f>-1*[1]ישיר!$Z262</f>
        <v>-300487</v>
      </c>
      <c r="M258" s="2">
        <f>[1]ישיר!$Y262</f>
        <v>844593</v>
      </c>
    </row>
    <row r="259" spans="1:13" x14ac:dyDescent="0.2">
      <c r="A259" s="26">
        <v>42887</v>
      </c>
      <c r="B259" s="2">
        <f>[1]ישיר!B263</f>
        <v>13646671</v>
      </c>
      <c r="C259" s="1">
        <f>-1*[1]ישיר!$C263</f>
        <v>-1011859</v>
      </c>
      <c r="D259" s="3">
        <f>personal_labor_income_taxes!B259+C259</f>
        <v>12634812</v>
      </c>
      <c r="E259" s="2">
        <f>[1]ישיר!$F263</f>
        <v>7441231</v>
      </c>
      <c r="F259" s="2">
        <f>[1]ישיר!$V263</f>
        <v>4469777</v>
      </c>
      <c r="G259" s="2">
        <f>[1]ישיר!$H263</f>
        <v>490724</v>
      </c>
      <c r="H259" s="2">
        <f>[1]ישיר!$I263</f>
        <v>779452</v>
      </c>
      <c r="I259" s="2">
        <f>-1*[1]ישיר!$J263</f>
        <v>-5723</v>
      </c>
      <c r="J259" s="2">
        <f>-1*[1]ישיר!$AG263</f>
        <v>-378634</v>
      </c>
      <c r="K259" s="1">
        <f>-1*[1]ישיר!$AK263</f>
        <v>-43602</v>
      </c>
      <c r="L259" s="2">
        <f>-1*[1]ישיר!$Z263</f>
        <v>-302940</v>
      </c>
      <c r="M259" s="2">
        <f>[1]ישיר!$Y263</f>
        <v>933599</v>
      </c>
    </row>
    <row r="260" spans="1:13" x14ac:dyDescent="0.2">
      <c r="A260" s="26">
        <v>42917</v>
      </c>
      <c r="B260" s="2">
        <f>[1]ישיר!B264</f>
        <v>15830599</v>
      </c>
      <c r="C260" s="1">
        <f>-1*[1]ישיר!$C264</f>
        <v>-1298021</v>
      </c>
      <c r="D260" s="3">
        <f>personal_labor_income_taxes!B260+C260</f>
        <v>14532578</v>
      </c>
      <c r="E260" s="2">
        <f>[1]ישיר!$F264</f>
        <v>8876940</v>
      </c>
      <c r="F260" s="2">
        <f>[1]ישיר!$V264</f>
        <v>5338756</v>
      </c>
      <c r="G260" s="2">
        <f>[1]ישיר!$H264</f>
        <v>977351</v>
      </c>
      <c r="H260" s="2">
        <f>[1]ישיר!$I264</f>
        <v>951836</v>
      </c>
      <c r="I260" s="2">
        <f>-1*[1]ישיר!$J264</f>
        <v>-3706</v>
      </c>
      <c r="J260" s="2">
        <f>-1*[1]ישיר!$AG264</f>
        <v>-464969</v>
      </c>
      <c r="K260" s="1">
        <f>-1*[1]ישיר!$AK264</f>
        <v>-65493</v>
      </c>
      <c r="L260" s="2">
        <f>-1*[1]ישיר!$Z264</f>
        <v>-274220</v>
      </c>
      <c r="M260" s="2">
        <f>[1]ישיר!$Y264</f>
        <v>1099138</v>
      </c>
    </row>
    <row r="261" spans="1:13" x14ac:dyDescent="0.2">
      <c r="A261" s="26">
        <v>42948</v>
      </c>
      <c r="B261" s="2">
        <f>[1]ישיר!B265</f>
        <v>16615658</v>
      </c>
      <c r="C261" s="1">
        <f>-1*[1]ישיר!$C265</f>
        <v>-1273963</v>
      </c>
      <c r="D261" s="3">
        <f>personal_labor_income_taxes!B261+C261</f>
        <v>15341695</v>
      </c>
      <c r="E261" s="2">
        <f>[1]ישיר!$F265</f>
        <v>8324103</v>
      </c>
      <c r="F261" s="2">
        <f>[1]ישיר!$V265</f>
        <v>4833718</v>
      </c>
      <c r="G261" s="2">
        <f>[1]ישיר!$H265</f>
        <v>534119</v>
      </c>
      <c r="H261" s="2">
        <f>[1]ישיר!$I265</f>
        <v>2414325</v>
      </c>
      <c r="I261" s="2">
        <f>-1*[1]ישיר!$J265</f>
        <v>-7514</v>
      </c>
      <c r="J261" s="2">
        <f>-1*[1]ישיר!$AG265</f>
        <v>-506089</v>
      </c>
      <c r="K261" s="1">
        <f>-1*[1]ישיר!$AK265</f>
        <v>-46725</v>
      </c>
      <c r="L261" s="2">
        <f>-1*[1]ישיר!$Z265</f>
        <v>-258870</v>
      </c>
      <c r="M261" s="2">
        <f>[1]ישיר!$Y265</f>
        <v>1048839</v>
      </c>
    </row>
    <row r="262" spans="1:13" x14ac:dyDescent="0.2">
      <c r="A262" s="26">
        <v>42979</v>
      </c>
      <c r="B262" s="2">
        <f>[1]ישיר!B266</f>
        <v>19182433</v>
      </c>
      <c r="C262" s="1">
        <f>-1*[1]ישיר!$C266</f>
        <v>-856809</v>
      </c>
      <c r="D262" s="3">
        <f>personal_labor_income_taxes!B262+C262</f>
        <v>18325624</v>
      </c>
      <c r="E262" s="2">
        <f>[1]ישיר!$F266</f>
        <v>12408933</v>
      </c>
      <c r="F262" s="2">
        <f>[1]ישיר!$V266</f>
        <v>6195639</v>
      </c>
      <c r="G262" s="2">
        <f>[1]ישיר!$H266</f>
        <v>1029661</v>
      </c>
      <c r="H262" s="2">
        <f>[1]ישיר!$I266</f>
        <v>1084466</v>
      </c>
      <c r="I262" s="2">
        <f>-1*[1]ישיר!$J266</f>
        <v>-4919</v>
      </c>
      <c r="J262" s="2">
        <f>-1*[1]ישיר!$AG266</f>
        <v>-385607</v>
      </c>
      <c r="K262" s="1">
        <f>-1*[1]ישיר!$AK266</f>
        <v>-33592</v>
      </c>
      <c r="L262" s="2">
        <f>-1*[1]ישיר!$Z266</f>
        <v>-286588</v>
      </c>
      <c r="M262" s="2">
        <f>[1]ישיר!$Y266</f>
        <v>1071784</v>
      </c>
    </row>
    <row r="263" spans="1:13" x14ac:dyDescent="0.2">
      <c r="A263" s="26">
        <v>43009</v>
      </c>
      <c r="B263" s="2">
        <f>[1]ישיר!B267</f>
        <v>20577666</v>
      </c>
      <c r="C263" s="1">
        <f>-1*[1]ישיר!$C267</f>
        <v>-852693</v>
      </c>
      <c r="D263" s="3">
        <f>personal_labor_income_taxes!B263+C263</f>
        <v>19724973</v>
      </c>
      <c r="E263" s="2">
        <f>[1]ישיר!$F267</f>
        <v>14086929</v>
      </c>
      <c r="F263" s="2">
        <f>[1]ישיר!$V267</f>
        <v>5241561</v>
      </c>
      <c r="G263" s="2">
        <f>[1]ישיר!$H267</f>
        <v>554533</v>
      </c>
      <c r="H263" s="2">
        <f>[1]ישיר!$I267</f>
        <v>1035508</v>
      </c>
      <c r="I263" s="2">
        <f>-1*[1]ישיר!$J267</f>
        <v>-7760</v>
      </c>
      <c r="J263" s="2">
        <f>-1*[1]ישיר!$AG267</f>
        <v>-401611</v>
      </c>
      <c r="K263" s="1">
        <f>-1*[1]ישיר!$AK267</f>
        <v>-23395</v>
      </c>
      <c r="L263" s="2">
        <f>-1*[1]ישיר!$Z267</f>
        <v>-263697</v>
      </c>
      <c r="M263" s="2">
        <f>[1]ישיר!$Y267</f>
        <v>993118</v>
      </c>
    </row>
    <row r="264" spans="1:13" x14ac:dyDescent="0.2">
      <c r="A264" s="26">
        <v>43040</v>
      </c>
      <c r="B264" s="2">
        <f>[1]ישיר!B268</f>
        <v>13530761</v>
      </c>
      <c r="C264" s="1">
        <f>-1*[1]ישיר!$C268</f>
        <v>-1035218</v>
      </c>
      <c r="D264" s="3">
        <f>personal_labor_income_taxes!B264+C264</f>
        <v>12495543</v>
      </c>
      <c r="E264" s="2">
        <f>[1]ישיר!$F268</f>
        <v>7445201</v>
      </c>
      <c r="F264" s="2">
        <f>[1]ישיר!$V268</f>
        <v>5061275</v>
      </c>
      <c r="G264" s="2">
        <f>[1]ישיר!$H268</f>
        <v>921500</v>
      </c>
      <c r="H264" s="2">
        <f>[1]ישיר!$I268</f>
        <v>537949</v>
      </c>
      <c r="I264" s="2">
        <f>-1*[1]ישיר!$J268</f>
        <v>-6253</v>
      </c>
      <c r="J264" s="2">
        <f>-1*[1]ישיר!$AG268</f>
        <v>-455259</v>
      </c>
      <c r="K264" s="1">
        <f>-1*[1]ישיר!$AK268</f>
        <v>-60778</v>
      </c>
      <c r="L264" s="2">
        <f>-1*[1]ישיר!$Z268</f>
        <v>-254972</v>
      </c>
      <c r="M264" s="2">
        <f>[1]ישיר!$Y268</f>
        <v>975055</v>
      </c>
    </row>
    <row r="265" spans="1:13" x14ac:dyDescent="0.2">
      <c r="A265" s="26">
        <v>43070</v>
      </c>
      <c r="B265" s="2">
        <f>[1]ישיר!B269</f>
        <v>12559875</v>
      </c>
      <c r="C265" s="1">
        <f>-1*[1]ישיר!$C269</f>
        <v>-1185939</v>
      </c>
      <c r="D265" s="3">
        <f>personal_labor_income_taxes!B265+C265</f>
        <v>11373936</v>
      </c>
      <c r="E265" s="2">
        <f>[1]ישיר!$F269</f>
        <v>6934543</v>
      </c>
      <c r="F265" s="2">
        <f>[1]ישיר!$V269</f>
        <v>4538451</v>
      </c>
      <c r="G265" s="2">
        <f>[1]ישיר!$H269</f>
        <v>575754</v>
      </c>
      <c r="H265" s="2">
        <f>[1]ישיר!$I269</f>
        <v>1116754</v>
      </c>
      <c r="I265" s="2">
        <f>-1*[1]ישיר!$J269</f>
        <v>-9846</v>
      </c>
      <c r="J265" s="2">
        <f>-1*[1]ישיר!$AG269</f>
        <v>-463350</v>
      </c>
      <c r="K265" s="1">
        <f>-1*[1]ישיר!$AK269</f>
        <v>-48134</v>
      </c>
      <c r="L265" s="2">
        <f>-1*[1]ישיר!$Z269</f>
        <v>-239809</v>
      </c>
      <c r="M265" s="2">
        <f>[1]ישיר!$Y269</f>
        <v>979209</v>
      </c>
    </row>
    <row r="266" spans="1:13" x14ac:dyDescent="0.2">
      <c r="A266" s="26">
        <v>43101</v>
      </c>
      <c r="B266" s="2">
        <f>[1]ישיר!B270</f>
        <v>18408941</v>
      </c>
      <c r="C266" s="1">
        <f>-1*[1]ישיר!$C270</f>
        <v>-1538585</v>
      </c>
      <c r="D266" s="3">
        <f>personal_labor_income_taxes!B266+C266</f>
        <v>16870356</v>
      </c>
      <c r="E266" s="2">
        <f>[1]ישיר!$F270</f>
        <v>8922011</v>
      </c>
      <c r="F266" s="2">
        <f>[1]ישיר!$V270</f>
        <v>5682137</v>
      </c>
      <c r="G266" s="2">
        <f>[1]ישיר!$H270</f>
        <v>12462</v>
      </c>
      <c r="H266" s="2">
        <f>[1]ישיר!$I270</f>
        <v>3017633</v>
      </c>
      <c r="I266" s="2">
        <f>-1*[1]ישיר!$J270</f>
        <v>-13477</v>
      </c>
      <c r="J266" s="2">
        <f>-1*[1]ישיר!$AG270</f>
        <v>-483882</v>
      </c>
      <c r="K266" s="1">
        <f>-1*[1]ישיר!$AK270</f>
        <v>-54015</v>
      </c>
      <c r="L266" s="2">
        <f>-1*[1]ישיר!$Z270</f>
        <v>-276342</v>
      </c>
      <c r="M266" s="2">
        <f>[1]ישיר!$Y270</f>
        <v>878123</v>
      </c>
    </row>
    <row r="267" spans="1:13" x14ac:dyDescent="0.2">
      <c r="A267" s="26">
        <v>43132</v>
      </c>
      <c r="B267" s="2">
        <f>[1]ישיר!B271</f>
        <v>14391408</v>
      </c>
      <c r="C267" s="1">
        <f>-1*[1]ישיר!$C271</f>
        <v>-1434574</v>
      </c>
      <c r="D267" s="3">
        <f>personal_labor_income_taxes!B267+C267</f>
        <v>12956834</v>
      </c>
      <c r="E267" s="2">
        <f>[1]ישיר!$F271</f>
        <v>7740207</v>
      </c>
      <c r="F267" s="2">
        <f>[1]ישיר!$V271</f>
        <v>5107347</v>
      </c>
      <c r="G267" s="2">
        <f>[1]ישיר!$H271</f>
        <v>424802</v>
      </c>
      <c r="H267" s="2">
        <f>[1]ישיר!$I271</f>
        <v>958178</v>
      </c>
      <c r="I267" s="2">
        <f>-1*[1]ישיר!$J271</f>
        <v>-10559</v>
      </c>
      <c r="J267" s="2">
        <f>-1*[1]ישיר!$AG271</f>
        <v>-387199</v>
      </c>
      <c r="K267" s="1">
        <f>-1*[1]ישיר!$AK271</f>
        <v>-36006</v>
      </c>
      <c r="L267" s="2">
        <f>-1*[1]ישיר!$Z271</f>
        <v>-281727</v>
      </c>
      <c r="M267" s="2">
        <f>[1]ישיר!$Y271</f>
        <v>1027774</v>
      </c>
    </row>
    <row r="268" spans="1:13" x14ac:dyDescent="0.2">
      <c r="A268" s="26">
        <v>43160</v>
      </c>
      <c r="B268" s="2">
        <f>[1]ישיר!B272</f>
        <v>15359931</v>
      </c>
      <c r="C268" s="1">
        <f>-1*[1]ישיר!$C272</f>
        <v>-1166104</v>
      </c>
      <c r="D268" s="3">
        <f>personal_labor_income_taxes!B268+C268</f>
        <v>14193827</v>
      </c>
      <c r="E268" s="2">
        <f>[1]ישיר!$F272</f>
        <v>8155210</v>
      </c>
      <c r="F268" s="2">
        <f>[1]ישיר!$V272</f>
        <v>5746202</v>
      </c>
      <c r="G268" s="2">
        <f>[1]ישיר!$H272</f>
        <v>912259</v>
      </c>
      <c r="H268" s="2">
        <f>[1]ישיר!$I272</f>
        <v>802357</v>
      </c>
      <c r="I268" s="2">
        <f>-1*[1]ישיר!$J272</f>
        <v>-10553</v>
      </c>
      <c r="J268" s="2">
        <f>-1*[1]ישיר!$AG272</f>
        <v>-353322</v>
      </c>
      <c r="K268" s="1">
        <f>-1*[1]ישיר!$AK272</f>
        <v>-44988</v>
      </c>
      <c r="L268" s="2">
        <f>-1*[1]ישיר!$Z272</f>
        <v>-203525</v>
      </c>
      <c r="M268" s="2">
        <f>[1]ישיר!$Y272</f>
        <v>1029564</v>
      </c>
    </row>
    <row r="269" spans="1:13" x14ac:dyDescent="0.2">
      <c r="A269" s="26">
        <v>43191</v>
      </c>
      <c r="B269" s="2">
        <f>[1]ישיר!B273</f>
        <v>14998257</v>
      </c>
      <c r="C269" s="1">
        <f>-1*[1]ישיר!$C273</f>
        <v>-1005329</v>
      </c>
      <c r="D269" s="3">
        <f>personal_labor_income_taxes!B269+C269</f>
        <v>13992928</v>
      </c>
      <c r="E269" s="2">
        <f>[1]ישיר!$F273</f>
        <v>8692514</v>
      </c>
      <c r="F269" s="2">
        <f>[1]ישיר!$V273</f>
        <v>6178763</v>
      </c>
      <c r="G269" s="2">
        <f>[1]ישיר!$H273</f>
        <v>537863</v>
      </c>
      <c r="H269" s="2">
        <f>[1]ישיר!$I273</f>
        <v>528150</v>
      </c>
      <c r="I269" s="2">
        <f>-1*[1]ישיר!$J273</f>
        <v>-6127</v>
      </c>
      <c r="J269" s="2">
        <f>-1*[1]ישיר!$AG273</f>
        <v>-232319</v>
      </c>
      <c r="K269" s="1">
        <f>-1*[1]ישיר!$AK273</f>
        <v>-31763</v>
      </c>
      <c r="L269" s="2">
        <f>-1*[1]ישיר!$Z273</f>
        <v>-277732</v>
      </c>
      <c r="M269" s="2">
        <f>[1]ישיר!$Y273</f>
        <v>924683</v>
      </c>
    </row>
    <row r="270" spans="1:13" x14ac:dyDescent="0.2">
      <c r="A270" s="26">
        <v>43221</v>
      </c>
      <c r="B270" s="2">
        <f>[1]ישיר!B274</f>
        <v>14551912</v>
      </c>
      <c r="C270" s="1">
        <f>-1*[1]ישיר!$C274</f>
        <v>-2093842</v>
      </c>
      <c r="D270" s="3">
        <f>personal_labor_income_taxes!B270+C270</f>
        <v>12458070</v>
      </c>
      <c r="E270" s="2">
        <f>[1]ישיר!$F274</f>
        <v>8343316</v>
      </c>
      <c r="F270" s="2">
        <f>[1]ישיר!$V274</f>
        <v>5707647</v>
      </c>
      <c r="G270" s="2">
        <f>[1]ישיר!$H274</f>
        <v>964922</v>
      </c>
      <c r="H270" s="2">
        <f>[1]ישיר!$I274</f>
        <v>677877</v>
      </c>
      <c r="I270" s="2">
        <f>-1*[1]ישיר!$J274</f>
        <v>-10892</v>
      </c>
      <c r="J270" s="2">
        <f>-1*[1]ישיר!$AG274</f>
        <v>-394444</v>
      </c>
      <c r="K270" s="1">
        <f>-1*[1]ישיר!$AK274</f>
        <v>-37003</v>
      </c>
      <c r="L270" s="2">
        <f>-1*[1]ישיר!$Z274</f>
        <v>-343330</v>
      </c>
      <c r="M270" s="2">
        <f>[1]ישיר!$Y274</f>
        <v>1001408</v>
      </c>
    </row>
    <row r="271" spans="1:13" x14ac:dyDescent="0.2">
      <c r="A271" s="26">
        <v>43252</v>
      </c>
      <c r="B271" s="2">
        <f>[1]ישיר!B275</f>
        <v>13266563</v>
      </c>
      <c r="C271" s="1">
        <f>-1*[1]ישיר!$C275</f>
        <v>-1162857</v>
      </c>
      <c r="D271" s="3">
        <f>personal_labor_income_taxes!B271+C271</f>
        <v>12103706</v>
      </c>
      <c r="E271" s="2">
        <f>[1]ישיר!$F275</f>
        <v>7508122</v>
      </c>
      <c r="F271" s="2">
        <f>[1]ישיר!$V275</f>
        <v>4862542</v>
      </c>
      <c r="G271" s="2">
        <f>[1]ישיר!$H275</f>
        <v>526317</v>
      </c>
      <c r="H271" s="2">
        <f>[1]ישיר!$I275</f>
        <v>549216</v>
      </c>
      <c r="I271" s="2">
        <f>-1*[1]ישיר!$J275</f>
        <v>-8236</v>
      </c>
      <c r="J271" s="2">
        <f>-1*[1]ישיר!$AG275</f>
        <v>-493142</v>
      </c>
      <c r="K271" s="1">
        <f>-1*[1]ישיר!$AK275</f>
        <v>-47151</v>
      </c>
      <c r="L271" s="2">
        <f>-1*[1]ישיר!$Z275</f>
        <v>-324261</v>
      </c>
      <c r="M271" s="2">
        <f>[1]ישיר!$Y275</f>
        <v>917499</v>
      </c>
    </row>
    <row r="272" spans="1:13" x14ac:dyDescent="0.2">
      <c r="A272" s="26">
        <v>43282</v>
      </c>
      <c r="B272" s="2">
        <f>[1]ישיר!B276</f>
        <v>16829445</v>
      </c>
      <c r="C272" s="1">
        <f>-1*[1]ישיר!$C276</f>
        <v>-1404427</v>
      </c>
      <c r="D272" s="3">
        <f>personal_labor_income_taxes!B272+C272</f>
        <v>15425018</v>
      </c>
      <c r="E272" s="2">
        <f>[1]ישיר!$F276</f>
        <v>9261373</v>
      </c>
      <c r="F272" s="2">
        <f>[1]ישיר!$V276</f>
        <v>6170520</v>
      </c>
      <c r="G272" s="2">
        <f>[1]ישיר!$H276</f>
        <v>1028549</v>
      </c>
      <c r="H272" s="2">
        <f>[1]ישיר!$I276</f>
        <v>830809</v>
      </c>
      <c r="I272" s="2">
        <f>-1*[1]ישיר!$J276</f>
        <v>-7572</v>
      </c>
      <c r="J272" s="2">
        <f>-1*[1]ישיר!$AG276</f>
        <v>-577062</v>
      </c>
      <c r="K272" s="1">
        <f>-1*[1]ישיר!$AK276</f>
        <v>-35672</v>
      </c>
      <c r="L272" s="2">
        <f>-1*[1]ישיר!$Z276</f>
        <v>-256350</v>
      </c>
      <c r="M272" s="2">
        <f>[1]ישיר!$Y276</f>
        <v>1275588</v>
      </c>
    </row>
    <row r="273" spans="1:13" x14ac:dyDescent="0.2">
      <c r="A273" s="26">
        <v>43313</v>
      </c>
      <c r="B273" s="2">
        <f>[1]ישיר!B277</f>
        <v>14599900</v>
      </c>
      <c r="C273" s="1">
        <f>-1*[1]ישיר!$C277</f>
        <v>-1780469</v>
      </c>
      <c r="D273" s="3">
        <f>personal_labor_income_taxes!B273+C273</f>
        <v>12819431</v>
      </c>
      <c r="E273" s="2">
        <f>[1]ישיר!$F277</f>
        <v>7882661</v>
      </c>
      <c r="F273" s="2">
        <f>[1]ישיר!$V277</f>
        <v>5207635</v>
      </c>
      <c r="G273" s="2">
        <f>[1]ישיר!$H277</f>
        <v>566765</v>
      </c>
      <c r="H273" s="2">
        <f>[1]ישיר!$I277</f>
        <v>701830</v>
      </c>
      <c r="I273" s="2">
        <f>-1*[1]ישיר!$J277</f>
        <v>-7497</v>
      </c>
      <c r="J273" s="2">
        <f>-1*[1]ישיר!$AG277</f>
        <v>-653109</v>
      </c>
      <c r="K273" s="1">
        <f>-1*[1]ישיר!$AK277</f>
        <v>-40534</v>
      </c>
      <c r="L273" s="2">
        <f>-1*[1]ישיר!$Z277</f>
        <v>-244760</v>
      </c>
      <c r="M273" s="2">
        <f>[1]ישיר!$Y277</f>
        <v>1091598</v>
      </c>
    </row>
    <row r="274" spans="1:13" x14ac:dyDescent="0.2">
      <c r="A274" s="26">
        <v>43344</v>
      </c>
      <c r="B274" s="2">
        <f>[1]ישיר!B278</f>
        <v>12505066</v>
      </c>
      <c r="C274" s="1">
        <f>-1*[1]ישיר!$C278</f>
        <v>-925868</v>
      </c>
      <c r="D274" s="3">
        <f>personal_labor_income_taxes!B274+C274</f>
        <v>11579198</v>
      </c>
      <c r="E274" s="2">
        <f>[1]ישיר!$F278</f>
        <v>7312788</v>
      </c>
      <c r="F274" s="2">
        <f>[1]ישיר!$V278</f>
        <v>5001186</v>
      </c>
      <c r="G274" s="2">
        <f>[1]ישיר!$H278</f>
        <v>786618</v>
      </c>
      <c r="H274" s="2">
        <f>[1]ישיר!$I278</f>
        <v>558456</v>
      </c>
      <c r="I274" s="2">
        <f>-1*[1]ישיר!$J278</f>
        <v>-3663</v>
      </c>
      <c r="J274" s="2">
        <f>-1*[1]ישיר!$AG278</f>
        <v>-287924</v>
      </c>
      <c r="K274" s="1">
        <f>-1*[1]ישיר!$AK278</f>
        <v>-19848</v>
      </c>
      <c r="L274" s="2">
        <f>-1*[1]ישיר!$Z278</f>
        <v>-255431</v>
      </c>
      <c r="M274" s="2">
        <f>[1]ישיר!$Y278</f>
        <v>948240</v>
      </c>
    </row>
    <row r="275" spans="1:13" x14ac:dyDescent="0.2">
      <c r="A275" s="26">
        <v>43374</v>
      </c>
      <c r="B275" s="2">
        <f>[1]ישיר!B279</f>
        <v>14476752</v>
      </c>
      <c r="C275" s="1">
        <f>-1*[1]ישיר!$C279</f>
        <v>-1214102</v>
      </c>
      <c r="D275" s="3">
        <f>personal_labor_income_taxes!B275+C275</f>
        <v>13262650</v>
      </c>
      <c r="E275" s="2">
        <f>[1]ישיר!$F279</f>
        <v>8037327</v>
      </c>
      <c r="F275" s="2">
        <f>[1]ישיר!$V279</f>
        <v>5578326</v>
      </c>
      <c r="G275" s="2">
        <f>[1]ישיר!$H279</f>
        <v>734110</v>
      </c>
      <c r="H275" s="2">
        <f>[1]ישיר!$I279</f>
        <v>632345</v>
      </c>
      <c r="I275" s="2">
        <f>-1*[1]ישיר!$J279</f>
        <v>-8829</v>
      </c>
      <c r="J275" s="2">
        <f>-1*[1]ישיר!$AG279</f>
        <v>-487435</v>
      </c>
      <c r="K275" s="1">
        <f>-1*[1]ישיר!$AK279</f>
        <v>-53143</v>
      </c>
      <c r="L275" s="2">
        <f>-1*[1]ישיר!$Z279</f>
        <v>-215055</v>
      </c>
      <c r="M275" s="2">
        <f>[1]ישיר!$Y279</f>
        <v>1046205</v>
      </c>
    </row>
    <row r="276" spans="1:13" x14ac:dyDescent="0.2">
      <c r="A276" s="26">
        <v>43405</v>
      </c>
      <c r="B276" s="2">
        <f>[1]ישיר!B280</f>
        <v>14444134</v>
      </c>
      <c r="C276" s="1">
        <f>-1*[1]ישיר!$C280</f>
        <v>-1482670</v>
      </c>
      <c r="D276" s="3">
        <f>personal_labor_income_taxes!B276+C276</f>
        <v>12961464</v>
      </c>
      <c r="E276" s="2">
        <f>[1]ישיר!$F280</f>
        <v>7970509</v>
      </c>
      <c r="F276" s="2">
        <f>[1]ישיר!$V280</f>
        <v>5503976</v>
      </c>
      <c r="G276" s="2">
        <f>[1]ישיר!$H280</f>
        <v>1003603</v>
      </c>
      <c r="H276" s="2">
        <f>[1]ישיר!$I280</f>
        <v>684842</v>
      </c>
      <c r="I276" s="2">
        <f>-1*[1]ישיר!$J280</f>
        <v>-7119</v>
      </c>
      <c r="J276" s="2">
        <f>-1*[1]ישיר!$AG280</f>
        <v>-557695</v>
      </c>
      <c r="K276" s="1">
        <f>-1*[1]ישיר!$AK280</f>
        <v>-52409</v>
      </c>
      <c r="L276" s="2">
        <f>-1*[1]ישיר!$Z280</f>
        <v>-221139</v>
      </c>
      <c r="M276" s="2">
        <f>[1]ישיר!$Y280</f>
        <v>1011842</v>
      </c>
    </row>
    <row r="277" spans="1:13" x14ac:dyDescent="0.2">
      <c r="A277" s="26">
        <v>43435</v>
      </c>
      <c r="B277" s="2">
        <f>[1]ישיר!B281</f>
        <v>14745667</v>
      </c>
      <c r="C277" s="1">
        <f>-1*[1]ישיר!$C281</f>
        <v>-1226128</v>
      </c>
      <c r="D277" s="3">
        <f>personal_labor_income_taxes!B277+C277</f>
        <v>13519539</v>
      </c>
      <c r="E277" s="2">
        <f>[1]ישיר!$F281</f>
        <v>7949452</v>
      </c>
      <c r="F277" s="2">
        <f>[1]ישיר!$V281</f>
        <v>5216854</v>
      </c>
      <c r="G277" s="2">
        <f>[1]ישיר!$H281</f>
        <v>759443</v>
      </c>
      <c r="H277" s="2">
        <f>[1]ישיר!$I281</f>
        <v>952475</v>
      </c>
      <c r="I277" s="2">
        <f>-1*[1]ישיר!$J281</f>
        <v>-5162</v>
      </c>
      <c r="J277" s="2">
        <f>-1*[1]ישיר!$AG281</f>
        <v>-515356</v>
      </c>
      <c r="K277" s="1">
        <f>-1*[1]ישיר!$AK281</f>
        <v>-44312</v>
      </c>
      <c r="L277" s="2">
        <f>-1*[1]ישיר!$Z281</f>
        <v>-215463</v>
      </c>
      <c r="M277" s="2">
        <f>[1]ישיר!$Y281</f>
        <v>1056683</v>
      </c>
    </row>
    <row r="278" spans="1:13" x14ac:dyDescent="0.2">
      <c r="A278" s="26">
        <v>43466</v>
      </c>
      <c r="B278" s="2">
        <f>[1]ישיר!B282</f>
        <v>19060825</v>
      </c>
      <c r="C278" s="1">
        <f>-1*[1]ישיר!$C282</f>
        <v>-2009692</v>
      </c>
      <c r="D278" s="3">
        <f>personal_labor_income_taxes!B278+C278</f>
        <v>17051133</v>
      </c>
      <c r="E278" s="2">
        <f>[1]ישיר!$F282</f>
        <v>9692008</v>
      </c>
      <c r="F278" s="2">
        <f>[1]ישיר!$V282</f>
        <v>6093799</v>
      </c>
      <c r="G278" s="2">
        <f>[1]ישיר!$H282</f>
        <v>17699</v>
      </c>
      <c r="H278" s="2">
        <f>[1]ישיר!$I282</f>
        <v>2854512</v>
      </c>
      <c r="I278" s="2">
        <f>-1*[1]ישיר!$J282</f>
        <v>-40276</v>
      </c>
      <c r="J278" s="2">
        <f>-1*[1]ישיר!$AG282</f>
        <v>-492376</v>
      </c>
      <c r="K278" s="1">
        <f>-1*[1]ישיר!$AK282</f>
        <v>-38248</v>
      </c>
      <c r="L278" s="2">
        <f>-1*[1]ישיר!$Z282</f>
        <v>-241946</v>
      </c>
      <c r="M278" s="2">
        <f>[1]ישיר!$Y282</f>
        <v>1011714</v>
      </c>
    </row>
    <row r="279" spans="1:13" x14ac:dyDescent="0.2">
      <c r="A279" s="26">
        <v>43497</v>
      </c>
      <c r="B279" s="2">
        <f>[1]ישיר!B283</f>
        <v>15045279</v>
      </c>
      <c r="C279" s="1">
        <f>-1*[1]ישיר!$C283</f>
        <v>-2708142</v>
      </c>
      <c r="D279" s="3">
        <f>personal_labor_income_taxes!B279+C279</f>
        <v>12337137</v>
      </c>
      <c r="E279" s="2">
        <f>[1]ישיר!$F283</f>
        <v>8019492</v>
      </c>
      <c r="F279" s="2">
        <f>[1]ישיר!$V283</f>
        <v>5592114</v>
      </c>
      <c r="G279" s="2">
        <f>[1]ישיר!$H283</f>
        <v>485242</v>
      </c>
      <c r="H279" s="2">
        <f>[1]ישיר!$I283</f>
        <v>1011220</v>
      </c>
      <c r="I279" s="2">
        <f>-1*[1]ישיר!$J283</f>
        <v>-9191</v>
      </c>
      <c r="J279" s="2">
        <f>-1*[1]ישיר!$AG283</f>
        <v>-443870</v>
      </c>
      <c r="K279" s="1">
        <f>-1*[1]ישיר!$AK283</f>
        <v>-78879</v>
      </c>
      <c r="L279" s="2">
        <f>-1*[1]ישיר!$Z283</f>
        <v>-238574</v>
      </c>
      <c r="M279" s="2">
        <f>[1]ישיר!$Y283</f>
        <v>975600</v>
      </c>
    </row>
    <row r="280" spans="1:13" x14ac:dyDescent="0.2">
      <c r="A280" s="26">
        <v>43525</v>
      </c>
      <c r="B280" s="2">
        <f>[1]ישיר!B284</f>
        <v>15727208</v>
      </c>
      <c r="C280" s="1">
        <f>-1*[1]ישיר!$C284</f>
        <v>-1491104</v>
      </c>
      <c r="D280" s="3">
        <f>personal_labor_income_taxes!B280+C280</f>
        <v>14236104</v>
      </c>
      <c r="E280" s="2">
        <f>[1]ישיר!$F284</f>
        <v>8450711</v>
      </c>
      <c r="F280" s="2">
        <f>[1]ישיר!$V284</f>
        <v>5994869</v>
      </c>
      <c r="G280" s="2">
        <f>[1]ישיר!$H284</f>
        <v>992066</v>
      </c>
      <c r="H280" s="2">
        <f>[1]ישיר!$I284</f>
        <v>722714</v>
      </c>
      <c r="I280" s="2">
        <f>-1*[1]ישיר!$J284</f>
        <v>-7077</v>
      </c>
      <c r="J280" s="2">
        <f>-1*[1]ישיר!$AG284</f>
        <v>-397939</v>
      </c>
      <c r="K280" s="1">
        <f>-1*[1]ישיר!$AK284</f>
        <v>-44263</v>
      </c>
      <c r="L280" s="2">
        <f>-1*[1]ישיר!$Z284</f>
        <v>-183453</v>
      </c>
      <c r="M280" s="2">
        <f>[1]ישיר!$Y284</f>
        <v>1103750</v>
      </c>
    </row>
    <row r="281" spans="1:13" x14ac:dyDescent="0.2">
      <c r="A281" s="26">
        <v>43556</v>
      </c>
      <c r="B281" s="2">
        <f>[1]ישיר!B285</f>
        <v>15358609</v>
      </c>
      <c r="C281" s="1">
        <f>-1*[1]ישיר!$C285</f>
        <v>-1227819</v>
      </c>
      <c r="D281" s="3">
        <f>personal_labor_income_taxes!B281+C281</f>
        <v>14130790</v>
      </c>
      <c r="E281" s="2">
        <f>[1]ישיר!$F285</f>
        <v>9000500</v>
      </c>
      <c r="F281" s="2">
        <f>[1]ישיר!$V285</f>
        <v>6373482</v>
      </c>
      <c r="G281" s="2">
        <f>[1]ישיר!$H285</f>
        <v>537391</v>
      </c>
      <c r="H281" s="2">
        <f>[1]ישיר!$I285</f>
        <v>900553</v>
      </c>
      <c r="I281" s="2">
        <f>-1*[1]ישיר!$J285</f>
        <v>-4007</v>
      </c>
      <c r="J281" s="2">
        <f>-1*[1]ישיר!$AG285</f>
        <v>-287055</v>
      </c>
      <c r="K281" s="1">
        <f>-1*[1]ישיר!$AK285</f>
        <v>-32680</v>
      </c>
      <c r="L281" s="2">
        <f>-1*[1]ישיר!$Z285</f>
        <v>-262469</v>
      </c>
      <c r="M281" s="2">
        <f>[1]ישיר!$Y285</f>
        <v>958888</v>
      </c>
    </row>
    <row r="282" spans="1:13" x14ac:dyDescent="0.2">
      <c r="A282" s="26">
        <v>43586</v>
      </c>
      <c r="B282" s="2">
        <f>[1]ישיר!B286</f>
        <v>16057705</v>
      </c>
      <c r="C282" s="1">
        <f>-1*[1]ישיר!$C286</f>
        <v>-1201993</v>
      </c>
      <c r="D282" s="3">
        <f>personal_labor_income_taxes!B282+C282</f>
        <v>14855712</v>
      </c>
      <c r="E282" s="2">
        <f>[1]ישיר!$F286</f>
        <v>9054034</v>
      </c>
      <c r="F282" s="2">
        <f>[1]ישיר!$V286</f>
        <v>6162553</v>
      </c>
      <c r="G282" s="2">
        <f>[1]ישיר!$H286</f>
        <v>1062606</v>
      </c>
      <c r="H282" s="2">
        <f>[1]ישיר!$I286</f>
        <v>642474</v>
      </c>
      <c r="I282" s="2">
        <f>-1*[1]ישיר!$J286</f>
        <v>-13338</v>
      </c>
      <c r="J282" s="2">
        <f>-1*[1]ישיר!$AG286</f>
        <v>-372748</v>
      </c>
      <c r="K282" s="1">
        <f>-1*[1]ישיר!$AK286</f>
        <v>-44048</v>
      </c>
      <c r="L282" s="2">
        <f>-1*[1]ישיר!$Z286</f>
        <v>-318741</v>
      </c>
      <c r="M282" s="2">
        <f>[1]ישיר!$Y286</f>
        <v>1020812</v>
      </c>
    </row>
    <row r="283" spans="1:13" x14ac:dyDescent="0.2">
      <c r="A283" s="26">
        <v>43617</v>
      </c>
      <c r="B283" s="2">
        <f>[1]ישיר!B287</f>
        <v>13569244</v>
      </c>
      <c r="C283" s="1">
        <f>-1*[1]ישיר!$C287</f>
        <v>-1142161</v>
      </c>
      <c r="D283" s="3">
        <f>personal_labor_income_taxes!B283+C283</f>
        <v>12427083</v>
      </c>
      <c r="E283" s="2">
        <f>[1]ישיר!$F287</f>
        <v>7648724</v>
      </c>
      <c r="F283" s="2">
        <f>[1]ישיר!$V287</f>
        <v>5028909</v>
      </c>
      <c r="G283" s="2">
        <f>[1]ישיר!$H287</f>
        <v>579802</v>
      </c>
      <c r="H283" s="2">
        <f>[1]ישיר!$I287</f>
        <v>595580</v>
      </c>
      <c r="I283" s="2">
        <f>-1*[1]ישיר!$J287</f>
        <v>-5849</v>
      </c>
      <c r="J283" s="2">
        <f>-1*[1]ישיר!$AG287</f>
        <v>-447361</v>
      </c>
      <c r="K283" s="1">
        <f>-1*[1]ישיר!$AK287</f>
        <v>-42167</v>
      </c>
      <c r="L283" s="2">
        <f>-1*[1]ישיר!$Z287</f>
        <v>-239151</v>
      </c>
      <c r="M283" s="2">
        <f>[1]ישיר!$Y287</f>
        <v>1008573</v>
      </c>
    </row>
    <row r="284" spans="1:13" x14ac:dyDescent="0.2">
      <c r="A284" s="26">
        <v>43647</v>
      </c>
      <c r="B284" s="2">
        <f>[1]ישיר!B288</f>
        <v>16704765</v>
      </c>
      <c r="C284" s="1">
        <f>-1*[1]ישיר!$C288</f>
        <v>-1444422</v>
      </c>
      <c r="D284" s="3">
        <f>personal_labor_income_taxes!B284+C284</f>
        <v>15260343</v>
      </c>
      <c r="E284" s="2">
        <f>[1]ישיר!$F288</f>
        <v>9461831</v>
      </c>
      <c r="F284" s="2">
        <f>[1]ישיר!$V288</f>
        <v>6322913</v>
      </c>
      <c r="G284" s="2">
        <f>[1]ישיר!$H288</f>
        <v>1080719</v>
      </c>
      <c r="H284" s="2">
        <f>[1]ישיר!$I288</f>
        <v>898859</v>
      </c>
      <c r="I284" s="2">
        <f>-1*[1]ישיר!$J288</f>
        <v>-12156</v>
      </c>
      <c r="J284" s="2">
        <f>-1*[1]ישיר!$AG288</f>
        <v>-651079</v>
      </c>
      <c r="K284" s="1">
        <f>-1*[1]ישיר!$AK288</f>
        <v>-35851</v>
      </c>
      <c r="L284" s="2">
        <f>-1*[1]ישיר!$Z288</f>
        <v>-252142</v>
      </c>
      <c r="M284" s="2">
        <f>[1]ישיר!$Y288</f>
        <v>1319215</v>
      </c>
    </row>
    <row r="285" spans="1:13" x14ac:dyDescent="0.2">
      <c r="A285" s="26">
        <v>43678</v>
      </c>
      <c r="B285" s="2">
        <f>[1]ישיר!B289</f>
        <v>14674151</v>
      </c>
      <c r="C285" s="1">
        <f>-1*[1]ישיר!$C289</f>
        <v>-1356357</v>
      </c>
      <c r="D285" s="3">
        <f>personal_labor_income_taxes!B285+C285</f>
        <v>13317794</v>
      </c>
      <c r="E285" s="2">
        <f>[1]ישיר!$F289</f>
        <v>8157784</v>
      </c>
      <c r="F285" s="2">
        <f>[1]ישיר!$V289</f>
        <v>5379489</v>
      </c>
      <c r="G285" s="2">
        <f>[1]ישיר!$H289</f>
        <v>611933</v>
      </c>
      <c r="H285" s="2">
        <f>[1]ישיר!$I289</f>
        <v>710416</v>
      </c>
      <c r="I285" s="2">
        <f>-1*[1]ישיר!$J289</f>
        <v>-35192</v>
      </c>
      <c r="J285" s="2">
        <f>-1*[1]ישיר!$AG289</f>
        <v>-675618</v>
      </c>
      <c r="K285" s="1">
        <f>-1*[1]ישיר!$AK289</f>
        <v>-42333</v>
      </c>
      <c r="L285" s="2">
        <f>-1*[1]ישיר!$Z289</f>
        <v>-264630</v>
      </c>
      <c r="M285" s="2">
        <f>[1]ישיר!$Y289</f>
        <v>1101257</v>
      </c>
    </row>
    <row r="286" spans="1:13" x14ac:dyDescent="0.2">
      <c r="A286" s="26">
        <v>43709</v>
      </c>
      <c r="B286" s="2">
        <f>[1]ישיר!B290</f>
        <v>15247464</v>
      </c>
      <c r="C286" s="1">
        <f>-1*[1]ישיר!$C290</f>
        <v>-1012777</v>
      </c>
      <c r="D286" s="3">
        <f>personal_labor_income_taxes!B286+C286</f>
        <v>14234687</v>
      </c>
      <c r="E286" s="2">
        <f>[1]ישיר!$F290</f>
        <v>8686360</v>
      </c>
      <c r="F286" s="2">
        <f>[1]ישיר!$V290</f>
        <v>5860764</v>
      </c>
      <c r="G286" s="2">
        <f>[1]ישיר!$H290</f>
        <v>1073253</v>
      </c>
      <c r="H286" s="2">
        <f>[1]ישיר!$I290</f>
        <v>547337</v>
      </c>
      <c r="I286" s="2">
        <f>-1*[1]ישיר!$J290</f>
        <v>-10544</v>
      </c>
      <c r="J286" s="2">
        <f>-1*[1]ישיר!$AG290</f>
        <v>-478933</v>
      </c>
      <c r="K286" s="1">
        <f>-1*[1]ישיר!$AK290</f>
        <v>-28284</v>
      </c>
      <c r="L286" s="2">
        <f>-1*[1]ישיר!$Z290</f>
        <v>-234489</v>
      </c>
      <c r="M286" s="2">
        <f>[1]ישיר!$Y290</f>
        <v>1083793</v>
      </c>
    </row>
    <row r="287" spans="1:13" x14ac:dyDescent="0.2">
      <c r="A287" s="26">
        <v>43739</v>
      </c>
      <c r="B287" s="2">
        <f>[1]ישיר!B291</f>
        <v>11607341</v>
      </c>
      <c r="C287" s="1">
        <f>-1*[1]ישיר!$C291</f>
        <v>-883986</v>
      </c>
      <c r="D287" s="3">
        <f>personal_labor_income_taxes!B287+C287</f>
        <v>10723355</v>
      </c>
      <c r="E287" s="2">
        <f>[1]ישיר!$F291</f>
        <v>6545688</v>
      </c>
      <c r="F287" s="2">
        <f>[1]ישיר!$V291</f>
        <v>4289070</v>
      </c>
      <c r="G287" s="2">
        <f>[1]ישיר!$H291</f>
        <v>639022</v>
      </c>
      <c r="H287" s="2">
        <f>[1]ישיר!$I291</f>
        <v>491557</v>
      </c>
      <c r="I287" s="2">
        <f>-1*[1]ישיר!$J291</f>
        <v>-8511</v>
      </c>
      <c r="J287" s="2">
        <f>-1*[1]ישיר!$AG291</f>
        <v>-393729</v>
      </c>
      <c r="K287" s="1">
        <f>-1*[1]ישיר!$AK291</f>
        <v>-28784</v>
      </c>
      <c r="L287" s="2">
        <f>-1*[1]ישיר!$Z291</f>
        <v>-168705</v>
      </c>
      <c r="M287" s="2">
        <f>[1]ישיר!$Y291</f>
        <v>884596</v>
      </c>
    </row>
    <row r="288" spans="1:13" x14ac:dyDescent="0.2">
      <c r="A288" s="26">
        <v>43770</v>
      </c>
      <c r="B288" s="2">
        <f>[1]ישיר!B292</f>
        <v>17718210</v>
      </c>
      <c r="C288" s="1">
        <f>-1*[1]ישיר!$C292</f>
        <v>-1522941</v>
      </c>
      <c r="D288" s="3">
        <f>personal_labor_income_taxes!B288+C288</f>
        <v>16195269</v>
      </c>
      <c r="E288" s="2">
        <f>[1]ישיר!$F292</f>
        <v>9704140</v>
      </c>
      <c r="F288" s="2">
        <f>[1]ישיר!$V292</f>
        <v>6698993</v>
      </c>
      <c r="G288" s="2">
        <f>[1]ישיר!$H292</f>
        <v>1138555</v>
      </c>
      <c r="H288" s="2">
        <f>[1]ישיר!$I292</f>
        <v>1085612</v>
      </c>
      <c r="I288" s="2">
        <f>-1*[1]ישיר!$J292</f>
        <v>-30226</v>
      </c>
      <c r="J288" s="2">
        <f>-1*[1]ישיר!$AG292</f>
        <v>-581348</v>
      </c>
      <c r="K288" s="1">
        <f>-1*[1]ישיר!$AK292</f>
        <v>-62327</v>
      </c>
      <c r="L288" s="2">
        <f>-1*[1]ישיר!$Z292</f>
        <v>-268408</v>
      </c>
      <c r="M288" s="2">
        <f>[1]ישיר!$Y292</f>
        <v>1205559</v>
      </c>
    </row>
    <row r="289" spans="1:13" x14ac:dyDescent="0.2">
      <c r="A289" s="26">
        <v>43800</v>
      </c>
      <c r="B289" s="2">
        <f>[1]ישיר!B293</f>
        <v>15935956</v>
      </c>
      <c r="C289" s="1">
        <f>-1*[1]ישיר!$C293</f>
        <v>-2100511</v>
      </c>
      <c r="D289" s="3">
        <f>personal_labor_income_taxes!B289+C289</f>
        <v>13835445</v>
      </c>
      <c r="E289" s="2">
        <f>[1]ישיר!$F293</f>
        <v>8431586</v>
      </c>
      <c r="F289" s="2">
        <f>[1]ישיר!$V293</f>
        <v>5204193</v>
      </c>
      <c r="G289" s="2">
        <f>[1]ישיר!$H293</f>
        <v>717309</v>
      </c>
      <c r="H289" s="2">
        <f>[1]ישיר!$I293</f>
        <v>1546982</v>
      </c>
      <c r="I289" s="2">
        <f>-1*[1]ישיר!$J293</f>
        <v>-15330</v>
      </c>
      <c r="J289" s="2">
        <f>-1*[1]ישיר!$AG293</f>
        <v>-781485</v>
      </c>
      <c r="K289" s="1">
        <f>-1*[1]ישיר!$AK293</f>
        <v>-75439</v>
      </c>
      <c r="L289" s="2">
        <f>-1*[1]ישיר!$Z293</f>
        <v>-180719</v>
      </c>
      <c r="M289" s="2">
        <f>[1]ישיר!$Y293</f>
        <v>1133275</v>
      </c>
    </row>
    <row r="290" spans="1:13" x14ac:dyDescent="0.2">
      <c r="A290" s="26">
        <v>43831</v>
      </c>
      <c r="B290" s="2">
        <f>[1]ישיר!B294</f>
        <v>20988506</v>
      </c>
      <c r="C290" s="1">
        <f>-1*[1]ישיר!$C294</f>
        <v>-1922328</v>
      </c>
      <c r="D290" s="3">
        <f>personal_labor_income_taxes!B290+C290</f>
        <v>19066178</v>
      </c>
      <c r="E290" s="2">
        <f>[1]ישיר!$F294</f>
        <v>11153055</v>
      </c>
      <c r="F290" s="2">
        <f>[1]ישיר!$V294</f>
        <v>6634099</v>
      </c>
      <c r="G290" s="2">
        <f>[1]ישיר!$H294</f>
        <v>21489</v>
      </c>
      <c r="H290" s="2">
        <f>[1]ישיר!$I294</f>
        <v>3937639</v>
      </c>
      <c r="I290" s="2">
        <f>-1*[1]ישיר!$J294</f>
        <v>-12518</v>
      </c>
      <c r="J290" s="2">
        <f>-1*[1]ישיר!$AG294</f>
        <v>-569533</v>
      </c>
      <c r="K290" s="1">
        <f>-1*[1]ישיר!$AK294</f>
        <v>-41808</v>
      </c>
      <c r="L290" s="2">
        <f>-1*[1]ישיר!$Z294</f>
        <v>-233818</v>
      </c>
      <c r="M290" s="2">
        <f>[1]ישיר!$Y294</f>
        <v>1006210</v>
      </c>
    </row>
    <row r="291" spans="1:13" x14ac:dyDescent="0.2">
      <c r="A291" s="26">
        <v>43862</v>
      </c>
      <c r="B291" s="2">
        <f>[1]ישיר!B295</f>
        <v>16100226</v>
      </c>
      <c r="C291" s="1">
        <f>-1*[1]ישיר!$C295</f>
        <v>-2165078</v>
      </c>
      <c r="D291" s="3">
        <f>personal_labor_income_taxes!B291+C291</f>
        <v>13935148</v>
      </c>
      <c r="E291" s="2">
        <f>[1]ישיר!$F295</f>
        <v>8801570</v>
      </c>
      <c r="F291" s="2">
        <f>[1]ישיר!$V295</f>
        <v>5925780</v>
      </c>
      <c r="G291" s="2">
        <f>[1]ישיר!$H295</f>
        <v>513605</v>
      </c>
      <c r="H291" s="2">
        <f>[1]ישיר!$I295</f>
        <v>1020534</v>
      </c>
      <c r="I291" s="2">
        <f>-1*[1]ישיר!$J295</f>
        <v>-6818</v>
      </c>
      <c r="J291" s="2">
        <f>-1*[1]ישיר!$AG295</f>
        <v>-457187</v>
      </c>
      <c r="K291" s="1">
        <f>-1*[1]ישיר!$AK295</f>
        <v>-44606</v>
      </c>
      <c r="L291" s="2">
        <f>-1*[1]ישיר!$Z295</f>
        <v>-268632</v>
      </c>
      <c r="M291" s="2">
        <f>[1]ישיר!$Y295</f>
        <v>1085537</v>
      </c>
    </row>
    <row r="292" spans="1:13" x14ac:dyDescent="0.2">
      <c r="A292" s="26">
        <v>43891</v>
      </c>
      <c r="B292" s="2">
        <f>[1]ישיר!B296</f>
        <v>15744711</v>
      </c>
      <c r="C292" s="1">
        <f>-1*[1]ישיר!$C296</f>
        <v>-3483203</v>
      </c>
      <c r="D292" s="3">
        <f>personal_labor_income_taxes!B292+C292</f>
        <v>12261508</v>
      </c>
      <c r="E292" s="2">
        <f>[1]ישיר!$F296</f>
        <v>9584648</v>
      </c>
      <c r="F292" s="2">
        <f>[1]ישיר!$V296</f>
        <v>6459202</v>
      </c>
      <c r="G292" s="2">
        <f>[1]ישיר!$H296</f>
        <v>846731</v>
      </c>
      <c r="H292" s="2">
        <f>[1]ישיר!$I296</f>
        <v>722413</v>
      </c>
      <c r="I292" s="2">
        <f>-1*[1]ישיר!$J296</f>
        <v>-11155</v>
      </c>
      <c r="J292" s="2">
        <f>-1*[1]ישיר!$AG296</f>
        <v>-605066</v>
      </c>
      <c r="K292" s="1">
        <f>-1*[1]ישיר!$AK296</f>
        <v>-35114</v>
      </c>
      <c r="L292" s="2">
        <f>-1*[1]ישיר!$Z296</f>
        <v>-218250</v>
      </c>
      <c r="M292" s="2">
        <f>[1]ישיר!$Y296</f>
        <v>1073944</v>
      </c>
    </row>
    <row r="293" spans="1:13" x14ac:dyDescent="0.2">
      <c r="A293" s="26">
        <v>43922</v>
      </c>
      <c r="B293" s="2">
        <f>[1]ישיר!B297</f>
        <v>13762266</v>
      </c>
      <c r="C293" s="1">
        <f>-1*[1]ישיר!$C297</f>
        <v>-1404500</v>
      </c>
      <c r="D293" s="3">
        <f>personal_labor_income_taxes!B293+C293</f>
        <v>12357766</v>
      </c>
      <c r="E293" s="2">
        <f>[1]ישיר!$F297</f>
        <v>9105593</v>
      </c>
      <c r="F293" s="2">
        <f>[1]ישיר!$V297</f>
        <v>6256189</v>
      </c>
      <c r="G293" s="2">
        <f>[1]ישיר!$H297</f>
        <v>453774</v>
      </c>
      <c r="H293" s="2">
        <f>[1]ישיר!$I297</f>
        <v>338458</v>
      </c>
      <c r="I293" s="2">
        <f>-1*[1]ישיר!$J297</f>
        <v>-12437</v>
      </c>
      <c r="J293" s="2">
        <f>-1*[1]ישיר!$AG297</f>
        <v>-343389</v>
      </c>
      <c r="K293" s="1">
        <f>-1*[1]ישיר!$AK297</f>
        <v>-41274</v>
      </c>
      <c r="L293" s="2">
        <f>-1*[1]ישיר!$Z297</f>
        <v>-276889</v>
      </c>
      <c r="M293" s="2">
        <f>[1]ישיר!$Y297</f>
        <v>1017884</v>
      </c>
    </row>
    <row r="294" spans="1:13" x14ac:dyDescent="0.2">
      <c r="A294" s="26">
        <v>43952</v>
      </c>
      <c r="B294" s="2">
        <f>[1]ישיר!B298</f>
        <v>13638461</v>
      </c>
      <c r="C294" s="1">
        <f>-1*[1]ישיר!$C298</f>
        <v>-1326454</v>
      </c>
      <c r="D294" s="3">
        <f>personal_labor_income_taxes!B294+C294</f>
        <v>12312007</v>
      </c>
      <c r="E294" s="2">
        <f>[1]ישיר!$F298</f>
        <v>8237806</v>
      </c>
      <c r="F294" s="2">
        <f>[1]ישיר!$V298</f>
        <v>5641394</v>
      </c>
      <c r="G294" s="2">
        <f>[1]ישיר!$H298</f>
        <v>928605</v>
      </c>
      <c r="H294" s="2">
        <f>[1]ישיר!$I298</f>
        <v>682368</v>
      </c>
      <c r="I294" s="2">
        <f>-1*[1]ישיר!$J298</f>
        <v>-12884</v>
      </c>
      <c r="J294" s="2">
        <f>-1*[1]ישיר!$AG298</f>
        <v>-473592</v>
      </c>
      <c r="K294" s="1">
        <f>-1*[1]ישיר!$AK298</f>
        <v>-35157</v>
      </c>
      <c r="L294" s="2">
        <f>-1*[1]ישיר!$Z298</f>
        <v>-204265</v>
      </c>
      <c r="M294" s="2">
        <f>[1]ישיר!$Y298</f>
        <v>1082340</v>
      </c>
    </row>
    <row r="295" spans="1:13" x14ac:dyDescent="0.2">
      <c r="A295" s="26">
        <v>43983</v>
      </c>
      <c r="B295" s="2">
        <f>[1]ישיר!B299</f>
        <v>14029413</v>
      </c>
      <c r="C295" s="1">
        <f>-1*[1]ישיר!$C299</f>
        <v>-1602293</v>
      </c>
      <c r="D295" s="3">
        <f>personal_labor_income_taxes!B295+C295</f>
        <v>12427120</v>
      </c>
      <c r="E295" s="2">
        <f>[1]ישיר!$F299</f>
        <v>7823599</v>
      </c>
      <c r="F295" s="2">
        <f>[1]ישיר!$V299</f>
        <v>5394920</v>
      </c>
      <c r="G295" s="2">
        <f>[1]ישיר!$H299</f>
        <v>866864</v>
      </c>
      <c r="H295" s="2">
        <f>[1]ישיר!$I299</f>
        <v>606453</v>
      </c>
      <c r="I295" s="2">
        <f>-1*[1]ישיר!$J299</f>
        <v>-7844</v>
      </c>
      <c r="J295" s="2">
        <f>-1*[1]ישיר!$AG299</f>
        <v>-876967</v>
      </c>
      <c r="K295" s="1">
        <f>-1*[1]ישיר!$AK299</f>
        <v>-40274</v>
      </c>
      <c r="L295" s="2">
        <f>-1*[1]ישיר!$Z299</f>
        <v>-223205</v>
      </c>
      <c r="M295" s="2">
        <f>[1]ישיר!$Y299</f>
        <v>1024840</v>
      </c>
    </row>
    <row r="296" spans="1:13" x14ac:dyDescent="0.2">
      <c r="A296" s="26">
        <v>44013</v>
      </c>
      <c r="B296" s="2">
        <f>[1]ישיר!B300</f>
        <v>16707684</v>
      </c>
      <c r="C296" s="1">
        <f>-1*[1]ישיר!$C300</f>
        <v>-1460900</v>
      </c>
      <c r="D296" s="3">
        <f>personal_labor_income_taxes!B296+C296</f>
        <v>15246784</v>
      </c>
      <c r="E296" s="2">
        <f>[1]ישיר!$F300</f>
        <v>9667863</v>
      </c>
      <c r="F296" s="2">
        <f>[1]ישיר!$V300</f>
        <v>7071472</v>
      </c>
      <c r="G296" s="2">
        <f>[1]ישיר!$H300</f>
        <v>1114409</v>
      </c>
      <c r="H296" s="2">
        <f>[1]ישיר!$I300</f>
        <v>789155</v>
      </c>
      <c r="I296" s="2">
        <f>-1*[1]ישיר!$J300</f>
        <v>-17581</v>
      </c>
      <c r="J296" s="2">
        <f>-1*[1]ישיר!$AG300</f>
        <v>-637961</v>
      </c>
      <c r="K296" s="1">
        <f>-1*[1]ישיר!$AK300</f>
        <v>-35460</v>
      </c>
      <c r="L296" s="2">
        <f>-1*[1]ישיר!$Z300</f>
        <v>-158979</v>
      </c>
      <c r="M296" s="2">
        <f>[1]ישיר!$Y300</f>
        <v>1116809</v>
      </c>
    </row>
    <row r="297" spans="1:13" x14ac:dyDescent="0.2">
      <c r="A297" s="26">
        <v>44044</v>
      </c>
      <c r="B297" s="2">
        <f>[1]ישיר!B301</f>
        <v>14797241</v>
      </c>
      <c r="C297" s="1">
        <f>-1*[1]ישיר!$C301</f>
        <v>-1302481</v>
      </c>
      <c r="D297" s="3">
        <f>personal_labor_income_taxes!B297+C297</f>
        <v>13494760</v>
      </c>
      <c r="E297" s="2">
        <f>[1]ישיר!$F301</f>
        <v>8129206</v>
      </c>
      <c r="F297" s="2">
        <f>[1]ישיר!$V301</f>
        <v>5575966</v>
      </c>
      <c r="G297" s="2">
        <f>[1]ישיר!$H301</f>
        <v>631140</v>
      </c>
      <c r="H297" s="2">
        <f>[1]ישיר!$I301</f>
        <v>872142</v>
      </c>
      <c r="I297" s="2">
        <f>-1*[1]ישיר!$J301</f>
        <v>-15006</v>
      </c>
      <c r="J297" s="2">
        <f>-1*[1]ישיר!$AG301</f>
        <v>-615577</v>
      </c>
      <c r="K297" s="1">
        <f>-1*[1]ישיר!$AK301</f>
        <v>-56955</v>
      </c>
      <c r="L297" s="2">
        <f>-1*[1]ישיר!$Z301</f>
        <v>-180501</v>
      </c>
      <c r="M297" s="2">
        <f>[1]ישיר!$Y301</f>
        <v>1076273</v>
      </c>
    </row>
    <row r="298" spans="1:13" x14ac:dyDescent="0.2">
      <c r="A298" s="26">
        <v>44075</v>
      </c>
      <c r="B298" s="2">
        <f>[1]ישיר!B302</f>
        <v>15685718</v>
      </c>
      <c r="C298" s="1">
        <f>-1*[1]ישיר!$C302</f>
        <v>-1056448</v>
      </c>
      <c r="D298" s="3">
        <f>personal_labor_income_taxes!B298+C298</f>
        <v>14629270</v>
      </c>
      <c r="E298" s="2">
        <f>[1]ישיר!$F302</f>
        <v>8946193</v>
      </c>
      <c r="F298" s="2">
        <f>[1]ישיר!$V302</f>
        <v>6367483</v>
      </c>
      <c r="G298" s="2">
        <f>[1]ישיר!$H302</f>
        <v>1054965</v>
      </c>
      <c r="H298" s="2">
        <f>[1]ישיר!$I302</f>
        <v>918187</v>
      </c>
      <c r="I298" s="2">
        <f>-1*[1]ישיר!$J302</f>
        <v>-9036</v>
      </c>
      <c r="J298" s="2">
        <f>-1*[1]ישיר!$AG302</f>
        <v>-514719</v>
      </c>
      <c r="K298" s="1">
        <f>-1*[1]ישיר!$AK302</f>
        <v>-27090</v>
      </c>
      <c r="L298" s="2">
        <f>-1*[1]ישיר!$Z302</f>
        <v>-162308</v>
      </c>
      <c r="M298" s="2">
        <f>[1]ישיר!$Y302</f>
        <v>1006861</v>
      </c>
    </row>
    <row r="299" spans="1:13" x14ac:dyDescent="0.2">
      <c r="A299" s="26">
        <v>44105</v>
      </c>
      <c r="B299" s="2">
        <f>[1]ישיר!B303</f>
        <v>14360363</v>
      </c>
      <c r="C299" s="1">
        <f>-1*[1]ישיר!$C303</f>
        <v>-1110754</v>
      </c>
      <c r="D299" s="3">
        <f>personal_labor_income_taxes!B299+C299</f>
        <v>13249609</v>
      </c>
      <c r="E299" s="2">
        <f>[1]ישיר!$F303</f>
        <v>8312035</v>
      </c>
      <c r="F299" s="2">
        <f>[1]ישיר!$V303</f>
        <v>6061551</v>
      </c>
      <c r="G299" s="2">
        <f>[1]ישיר!$H303</f>
        <v>640055</v>
      </c>
      <c r="H299" s="2">
        <f>[1]ישיר!$I303</f>
        <v>638772</v>
      </c>
      <c r="I299" s="2">
        <f>-1*[1]ישיר!$J303</f>
        <v>-13650</v>
      </c>
      <c r="J299" s="2">
        <f>-1*[1]ישיר!$AG303</f>
        <v>-446723</v>
      </c>
      <c r="K299" s="1">
        <f>-1*[1]ישיר!$AK303</f>
        <v>-22192</v>
      </c>
      <c r="L299" s="2">
        <f>-1*[1]ישיר!$Z303</f>
        <v>-140837</v>
      </c>
      <c r="M299" s="2">
        <f>[1]ישיר!$Y303</f>
        <v>857869</v>
      </c>
    </row>
    <row r="300" spans="1:13" x14ac:dyDescent="0.2">
      <c r="A300" s="26">
        <v>44136</v>
      </c>
      <c r="B300" s="2">
        <f>[1]ישיר!B304</f>
        <v>15821146</v>
      </c>
      <c r="C300" s="1">
        <f>-1*[1]ישיר!$C304</f>
        <v>-1201127</v>
      </c>
      <c r="D300" s="3">
        <f>personal_labor_income_taxes!B300+C300</f>
        <v>14620019</v>
      </c>
      <c r="E300" s="2">
        <f>[1]ישיר!$F304</f>
        <v>8310145</v>
      </c>
      <c r="F300" s="2">
        <f>[1]ישיר!$V304</f>
        <v>5825445</v>
      </c>
      <c r="G300" s="2">
        <f>[1]ישיר!$H304</f>
        <v>1077876</v>
      </c>
      <c r="H300" s="2">
        <f>[1]ישיר!$I304</f>
        <v>675769</v>
      </c>
      <c r="I300" s="2">
        <f>-1*[1]ישיר!$J304</f>
        <v>-42257</v>
      </c>
      <c r="J300" s="2">
        <f>-1*[1]ישיר!$AG304</f>
        <v>-506031</v>
      </c>
      <c r="K300" s="1">
        <f>-1*[1]ישיר!$AK304</f>
        <v>-50956</v>
      </c>
      <c r="L300" s="2">
        <f>-1*[1]ישיר!$Z304</f>
        <v>-213802</v>
      </c>
      <c r="M300" s="2">
        <f>[1]ישיר!$Y304</f>
        <v>1020615</v>
      </c>
    </row>
    <row r="301" spans="1:13" x14ac:dyDescent="0.2">
      <c r="A301" s="26">
        <v>44166</v>
      </c>
      <c r="B301" s="2">
        <f>[1]ישיר!B305</f>
        <v>15289882</v>
      </c>
      <c r="C301" s="1">
        <f>-1*[1]ישיר!$C305</f>
        <v>-1291478</v>
      </c>
      <c r="D301" s="3">
        <f>personal_labor_income_taxes!B301+C301</f>
        <v>13998404</v>
      </c>
      <c r="E301" s="2">
        <f>[1]ישיר!$F305</f>
        <v>8522287</v>
      </c>
      <c r="F301" s="2">
        <f>[1]ישיר!$V305</f>
        <v>5647131</v>
      </c>
      <c r="G301" s="2">
        <f>[1]ישיר!$H305</f>
        <v>697044</v>
      </c>
      <c r="H301" s="2">
        <f>[1]ישיר!$I305</f>
        <v>1176749</v>
      </c>
      <c r="I301" s="2">
        <f>-1*[1]ישיר!$J305</f>
        <v>-11204</v>
      </c>
      <c r="J301" s="2">
        <f>-1*[1]ישיר!$AG305</f>
        <v>-562220</v>
      </c>
      <c r="K301" s="1">
        <f>-1*[1]ישיר!$AK305</f>
        <v>-58380</v>
      </c>
      <c r="L301" s="2">
        <f>-1*[1]ישיר!$Z305</f>
        <v>-127149</v>
      </c>
      <c r="M301" s="2">
        <f>[1]ישיר!$Y305</f>
        <v>927740</v>
      </c>
    </row>
    <row r="302" spans="1:13" x14ac:dyDescent="0.2">
      <c r="A302" s="26">
        <v>44197</v>
      </c>
      <c r="B302" s="2">
        <f>[1]ישיר!B306</f>
        <v>22977582</v>
      </c>
      <c r="C302" s="1">
        <f>-1*[1]ישיר!$C306</f>
        <v>-1580392</v>
      </c>
      <c r="D302" s="3">
        <f>personal_labor_income_taxes!B302+C302</f>
        <v>21397190</v>
      </c>
      <c r="E302" s="2">
        <f>[1]ישיר!$F306</f>
        <v>11378707</v>
      </c>
      <c r="F302" s="2">
        <f>[1]ישיר!$V306</f>
        <v>7611294</v>
      </c>
      <c r="G302" s="2">
        <f>[1]ישיר!$H306</f>
        <v>29075</v>
      </c>
      <c r="H302" s="2">
        <f>[1]ישיר!$I306</f>
        <v>3780262</v>
      </c>
      <c r="I302" s="2">
        <f>-1*[1]ישיר!$J306</f>
        <v>-10115</v>
      </c>
      <c r="J302" s="2">
        <f>-1*[1]ישיר!$AG306</f>
        <v>-494123</v>
      </c>
      <c r="K302" s="1">
        <f>-1*[1]ישיר!$AK306</f>
        <v>-43037</v>
      </c>
      <c r="L302" s="2">
        <f>-1*[1]ישיר!$Z306</f>
        <v>-191960</v>
      </c>
      <c r="M302" s="2">
        <f>[1]ישיר!$Y306</f>
        <v>950433</v>
      </c>
    </row>
    <row r="303" spans="1:13" x14ac:dyDescent="0.2">
      <c r="A303" s="26">
        <v>44228</v>
      </c>
      <c r="B303" s="2">
        <f>[1]ישיר!B307</f>
        <v>17442657</v>
      </c>
      <c r="C303" s="1">
        <f>-1*[1]ישיר!$C307</f>
        <v>-1943968</v>
      </c>
      <c r="D303" s="3">
        <f>personal_labor_income_taxes!B303+C303</f>
        <v>15498689</v>
      </c>
      <c r="E303" s="2">
        <f>[1]ישיר!$F307</f>
        <v>9675967</v>
      </c>
      <c r="F303" s="2">
        <f>[1]ישיר!$V307</f>
        <v>6743051</v>
      </c>
      <c r="G303" s="2">
        <f>[1]ישיר!$H307</f>
        <v>523685</v>
      </c>
      <c r="H303" s="2">
        <f>[1]ישיר!$I307</f>
        <v>1052171</v>
      </c>
      <c r="I303" s="2">
        <f>-1*[1]ישיר!$J307</f>
        <v>-13163</v>
      </c>
      <c r="J303" s="2">
        <f>-1*[1]ישיר!$AG307</f>
        <v>-413520</v>
      </c>
      <c r="K303" s="1">
        <f>-1*[1]ישיר!$AK307</f>
        <v>-32987</v>
      </c>
      <c r="L303" s="2">
        <f>-1*[1]ישיר!$Z307</f>
        <v>-154718</v>
      </c>
      <c r="M303" s="2">
        <f>[1]ישיר!$Y307</f>
        <v>910443</v>
      </c>
    </row>
    <row r="304" spans="1:13" x14ac:dyDescent="0.2">
      <c r="A304" s="26">
        <v>44256</v>
      </c>
      <c r="B304" s="2">
        <f>[1]ישיר!B308</f>
        <v>18517882</v>
      </c>
      <c r="C304" s="1">
        <f>-1*[1]ישיר!$C308</f>
        <v>-1261290</v>
      </c>
      <c r="D304" s="3">
        <f>personal_labor_income_taxes!B304+C304</f>
        <v>17256592</v>
      </c>
      <c r="E304" s="2">
        <f>[1]ישיר!$F308</f>
        <v>10557127</v>
      </c>
      <c r="F304" s="2">
        <f>[1]ישיר!$V308</f>
        <v>7378238</v>
      </c>
      <c r="G304" s="2">
        <f>[1]ישיר!$H308</f>
        <v>1017798</v>
      </c>
      <c r="H304" s="2">
        <f>[1]ישיר!$I308</f>
        <v>1221450</v>
      </c>
      <c r="I304" s="2">
        <f>-1*[1]ישיר!$J308</f>
        <v>-21428</v>
      </c>
      <c r="J304" s="2">
        <f>-1*[1]ישיר!$AG308</f>
        <v>-332393</v>
      </c>
      <c r="K304" s="1">
        <f>-1*[1]ישיר!$AK308</f>
        <v>-29385</v>
      </c>
      <c r="L304" s="2">
        <f>-1*[1]ישיר!$Z308</f>
        <v>-138804</v>
      </c>
      <c r="M304" s="2">
        <f>[1]ישיר!$Y308</f>
        <v>1051859</v>
      </c>
    </row>
    <row r="305" spans="1:13" x14ac:dyDescent="0.2">
      <c r="A305" s="26">
        <v>44287</v>
      </c>
      <c r="B305" s="2">
        <f>[1]ישיר!B309</f>
        <v>18754062</v>
      </c>
      <c r="C305" s="1">
        <f>-1*[1]ישיר!$C309</f>
        <v>-1305648</v>
      </c>
      <c r="D305" s="3">
        <f>personal_labor_income_taxes!B305+C305</f>
        <v>17448414</v>
      </c>
      <c r="E305" s="2">
        <f>[1]ישיר!$F309</f>
        <v>10874762</v>
      </c>
      <c r="F305" s="2">
        <f>[1]ישיר!$V309</f>
        <v>7820609</v>
      </c>
      <c r="G305" s="2">
        <f>[1]ישיר!$H309</f>
        <v>707461</v>
      </c>
      <c r="H305" s="2">
        <f>[1]ישיר!$I309</f>
        <v>962133</v>
      </c>
      <c r="I305" s="2">
        <f>-1*[1]ישיר!$J309</f>
        <v>-19952</v>
      </c>
      <c r="J305" s="2">
        <f>-1*[1]ישיר!$AG309</f>
        <v>-369072</v>
      </c>
      <c r="K305" s="1">
        <f>-1*[1]ישיר!$AK309</f>
        <v>-44334</v>
      </c>
      <c r="L305" s="2">
        <f>-1*[1]ישיר!$Z309</f>
        <v>-170457</v>
      </c>
      <c r="M305" s="2">
        <f>[1]ישיר!$Y309</f>
        <v>1044419</v>
      </c>
    </row>
    <row r="306" spans="1:13" x14ac:dyDescent="0.2">
      <c r="A306" s="26">
        <v>44317</v>
      </c>
      <c r="B306" s="2">
        <f>[1]ישיר!B310</f>
        <v>17989954</v>
      </c>
      <c r="C306" s="1">
        <f>-1*[1]ישיר!$C310</f>
        <v>-1436762</v>
      </c>
      <c r="D306" s="3">
        <f>personal_labor_income_taxes!B306+C306</f>
        <v>16553192</v>
      </c>
      <c r="E306" s="2">
        <f>[1]ישיר!$F310</f>
        <v>10096594</v>
      </c>
      <c r="F306" s="2">
        <f>[1]ישיר!$V310</f>
        <v>6834858</v>
      </c>
      <c r="G306" s="2">
        <f>[1]ישיר!$H310</f>
        <v>1142702</v>
      </c>
      <c r="H306" s="2">
        <f>[1]ישיר!$I310</f>
        <v>950979</v>
      </c>
      <c r="I306" s="2">
        <f>-1*[1]ישיר!$J310</f>
        <v>-19549</v>
      </c>
      <c r="J306" s="2">
        <f>-1*[1]ישיר!$AG310</f>
        <v>-448493</v>
      </c>
      <c r="K306" s="1">
        <f>-1*[1]ישיר!$AK310</f>
        <v>-31542</v>
      </c>
      <c r="L306" s="2">
        <f>-1*[1]ישיר!$Z310</f>
        <v>-152540</v>
      </c>
      <c r="M306" s="2">
        <f>[1]ישיר!$Y310</f>
        <v>1052606</v>
      </c>
    </row>
    <row r="307" spans="1:13" x14ac:dyDescent="0.2">
      <c r="A307" s="26">
        <v>44348</v>
      </c>
      <c r="B307" s="2">
        <f>[1]ישיר!B311</f>
        <v>17906994</v>
      </c>
      <c r="C307" s="1">
        <f>-1*[1]ישיר!$C311</f>
        <v>-1898429</v>
      </c>
      <c r="D307" s="3">
        <f>personal_labor_income_taxes!B307+C307</f>
        <v>16008565</v>
      </c>
      <c r="E307" s="2">
        <f>[1]ישיר!$F311</f>
        <v>8974655</v>
      </c>
      <c r="F307" s="2">
        <f>[1]ישיר!$V311</f>
        <v>6190561</v>
      </c>
      <c r="G307" s="2">
        <f>[1]ישיר!$H311</f>
        <v>745233</v>
      </c>
      <c r="H307" s="2">
        <f>[1]ישיר!$I311</f>
        <v>1607896</v>
      </c>
      <c r="I307" s="2">
        <f>-1*[1]ישיר!$J311</f>
        <v>-8697</v>
      </c>
      <c r="J307" s="2">
        <f>-1*[1]ישיר!$AG311</f>
        <v>-589267</v>
      </c>
      <c r="K307" s="1">
        <f>-1*[1]ישיר!$AK311</f>
        <v>-36129</v>
      </c>
      <c r="L307" s="2">
        <f>-1*[1]ישיר!$Z311</f>
        <v>-126827</v>
      </c>
      <c r="M307" s="2">
        <f>[1]ישיר!$Y311</f>
        <v>1126356</v>
      </c>
    </row>
    <row r="308" spans="1:13" x14ac:dyDescent="0.2">
      <c r="A308" s="26">
        <v>44378</v>
      </c>
      <c r="B308" s="2">
        <f>[1]ישיר!B312</f>
        <v>22038785</v>
      </c>
      <c r="C308" s="1">
        <f>-1*[1]ישיר!$C312</f>
        <v>-1401039</v>
      </c>
      <c r="D308" s="3">
        <f>personal_labor_income_taxes!B308+C308</f>
        <v>20637746</v>
      </c>
      <c r="E308" s="2">
        <f>[1]ישיר!$F312</f>
        <v>11473899</v>
      </c>
      <c r="F308" s="2">
        <f>[1]ישיר!$V312</f>
        <v>8153833</v>
      </c>
      <c r="G308" s="2">
        <f>[1]ישיר!$H312</f>
        <v>1465197</v>
      </c>
      <c r="H308" s="2">
        <f>[1]ישיר!$I312</f>
        <v>1611984</v>
      </c>
      <c r="I308" s="2">
        <f>-1*[1]ישיר!$J312</f>
        <v>-22917</v>
      </c>
      <c r="J308" s="2">
        <f>-1*[1]ישיר!$AG312</f>
        <v>-595709</v>
      </c>
      <c r="K308" s="1">
        <f>-1*[1]ישיר!$AK312</f>
        <v>-43691</v>
      </c>
      <c r="L308" s="2">
        <f>-1*[1]ישיר!$Z312</f>
        <v>-123528</v>
      </c>
      <c r="M308" s="2">
        <f>[1]ישיר!$Y312</f>
        <v>1181484</v>
      </c>
    </row>
    <row r="309" spans="1:13" x14ac:dyDescent="0.2">
      <c r="A309" s="26">
        <v>44409</v>
      </c>
      <c r="B309" s="2">
        <f>[1]ישיר!B313</f>
        <v>20117221</v>
      </c>
      <c r="C309" s="1">
        <f>-1*[1]ישיר!$C313</f>
        <v>-1495485</v>
      </c>
      <c r="D309" s="3">
        <f>personal_labor_income_taxes!B309+C309</f>
        <v>18621736</v>
      </c>
      <c r="E309" s="2">
        <f>[1]ישיר!$F313</f>
        <v>10549650</v>
      </c>
      <c r="F309" s="2">
        <f>[1]ישיר!$V313</f>
        <v>7154964</v>
      </c>
      <c r="G309" s="2">
        <f>[1]ישיר!$H313</f>
        <v>869925</v>
      </c>
      <c r="H309" s="2">
        <f>[1]ישיר!$I313</f>
        <v>1346179</v>
      </c>
      <c r="I309" s="2">
        <f>-1*[1]ישיר!$J313</f>
        <v>-11387</v>
      </c>
      <c r="J309" s="2">
        <f>-1*[1]ישיר!$AG313</f>
        <v>-606072</v>
      </c>
      <c r="K309" s="1">
        <f>-1*[1]ישיר!$AK313</f>
        <v>-56522</v>
      </c>
      <c r="L309" s="2">
        <f>-1*[1]ישיר!$Z313</f>
        <v>-139507</v>
      </c>
      <c r="M309" s="2">
        <f>[1]ישיר!$Y313</f>
        <v>1030668</v>
      </c>
    </row>
    <row r="310" spans="1:13" x14ac:dyDescent="0.2">
      <c r="A310" s="26">
        <v>44440</v>
      </c>
      <c r="B310" s="2">
        <f>[1]ישיר!B314</f>
        <v>18191101</v>
      </c>
      <c r="C310" s="1">
        <f>-1*[1]ישיר!$C314</f>
        <v>-681067</v>
      </c>
      <c r="D310" s="3">
        <f>personal_labor_income_taxes!B310+C310</f>
        <v>17510034</v>
      </c>
      <c r="E310" s="2">
        <f>[1]ישיר!$F314</f>
        <v>10067425</v>
      </c>
      <c r="F310" s="2">
        <f>[1]ישיר!$V314</f>
        <v>6871019</v>
      </c>
      <c r="G310" s="2">
        <f>[1]ישיר!$H314</f>
        <v>1027347</v>
      </c>
      <c r="H310" s="2">
        <f>[1]ישיר!$I314</f>
        <v>798836</v>
      </c>
      <c r="I310" s="2">
        <f>-1*[1]ישיר!$J314</f>
        <v>-15659</v>
      </c>
      <c r="J310" s="2">
        <f>-1*[1]ישיר!$AG314</f>
        <v>-344188</v>
      </c>
      <c r="K310" s="1">
        <f>-1*[1]ישיר!$AK314</f>
        <v>-18747</v>
      </c>
      <c r="L310" s="2">
        <f>-1*[1]ישיר!$Z314</f>
        <v>-133735</v>
      </c>
      <c r="M310" s="2">
        <f>[1]ישיר!$Y314</f>
        <v>983567</v>
      </c>
    </row>
    <row r="311" spans="1:13" x14ac:dyDescent="0.2">
      <c r="A311" s="26">
        <v>44470</v>
      </c>
      <c r="B311" s="2">
        <f>[1]ישיר!B315</f>
        <v>19890560</v>
      </c>
      <c r="C311" s="1">
        <f>-1*[1]ישיר!$C315</f>
        <v>-1256648</v>
      </c>
      <c r="D311" s="3">
        <f>personal_labor_income_taxes!B311+C311</f>
        <v>18633912</v>
      </c>
      <c r="E311" s="2">
        <f>[1]ישיר!$F315</f>
        <v>10112580</v>
      </c>
      <c r="F311" s="2">
        <f>[1]ישיר!$V315</f>
        <v>7066125</v>
      </c>
      <c r="G311" s="2">
        <f>[1]ישיר!$H315</f>
        <v>1122545</v>
      </c>
      <c r="H311" s="2">
        <f>[1]ישיר!$I315</f>
        <v>1082345</v>
      </c>
      <c r="I311" s="2">
        <f>-1*[1]ישיר!$J315</f>
        <v>-52009</v>
      </c>
      <c r="J311" s="2">
        <f>-1*[1]ישיר!$AG315</f>
        <v>-528522</v>
      </c>
      <c r="K311" s="1">
        <f>-1*[1]ישיר!$AK315</f>
        <v>-32314</v>
      </c>
      <c r="L311" s="2">
        <f>-1*[1]ישיר!$Z315</f>
        <v>-123197</v>
      </c>
      <c r="M311" s="2">
        <f>[1]ישיר!$Y315</f>
        <v>1256089</v>
      </c>
    </row>
    <row r="312" spans="1:13" x14ac:dyDescent="0.2">
      <c r="A312" s="26">
        <v>44501</v>
      </c>
      <c r="B312" s="2">
        <f>[1]ישיר!B316</f>
        <v>21768799</v>
      </c>
      <c r="C312" s="1">
        <f>-1*[1]ישיר!$C316</f>
        <v>-1272805</v>
      </c>
      <c r="D312" s="3">
        <f>personal_labor_income_taxes!B312+C312</f>
        <v>20495994</v>
      </c>
      <c r="E312" s="2">
        <f>[1]ישיר!$F316</f>
        <v>10320450</v>
      </c>
      <c r="F312" s="2">
        <f>[1]ישיר!$V316</f>
        <v>7049162</v>
      </c>
      <c r="G312" s="2">
        <f>[1]ישיר!$H316</f>
        <v>1422488</v>
      </c>
      <c r="H312" s="2">
        <f>[1]ישיר!$I316</f>
        <v>1399915</v>
      </c>
      <c r="I312" s="2">
        <f>-1*[1]ישיר!$J316</f>
        <v>-74426</v>
      </c>
      <c r="J312" s="2">
        <f>-1*[1]ישיר!$AG316</f>
        <v>-559856</v>
      </c>
      <c r="K312" s="1">
        <f>-1*[1]ישיר!$AK316</f>
        <v>-66882</v>
      </c>
      <c r="L312" s="2">
        <f>-1*[1]ישיר!$Z316</f>
        <v>-128553</v>
      </c>
      <c r="M312" s="2">
        <f>[1]ישיר!$Y316</f>
        <v>1086933</v>
      </c>
    </row>
    <row r="313" spans="1:13" x14ac:dyDescent="0.2">
      <c r="A313" s="26">
        <v>44531</v>
      </c>
      <c r="B313" s="2">
        <f>[1]ישיר!B317</f>
        <v>22080270</v>
      </c>
      <c r="C313" s="1">
        <f>-1*[1]ישיר!$C317</f>
        <v>-1324475</v>
      </c>
      <c r="D313" s="3">
        <f>personal_labor_income_taxes!B313+C313</f>
        <v>20755795</v>
      </c>
      <c r="E313" s="2">
        <f>[1]ישיר!$F317</f>
        <v>11168930</v>
      </c>
      <c r="F313" s="2">
        <f>[1]ישיר!$V317</f>
        <v>6792828</v>
      </c>
      <c r="G313" s="2">
        <f>[1]ישיר!$H317</f>
        <v>866496</v>
      </c>
      <c r="H313" s="2">
        <f>[1]ישיר!$I317</f>
        <v>1805138</v>
      </c>
      <c r="I313" s="2">
        <f>-1*[1]ישיר!$J317</f>
        <v>-13209</v>
      </c>
      <c r="J313" s="2">
        <f>-1*[1]ישיר!$AG317</f>
        <v>-575293</v>
      </c>
      <c r="K313" s="1">
        <f>-1*[1]ישיר!$AK317</f>
        <v>-59895</v>
      </c>
      <c r="L313" s="2">
        <f>-1*[1]ישיר!$Z317</f>
        <v>-119013</v>
      </c>
      <c r="M313" s="2">
        <f>[1]ישיר!$Y317</f>
        <v>1137870</v>
      </c>
    </row>
    <row r="314" spans="1:13" x14ac:dyDescent="0.2">
      <c r="A314" s="26">
        <v>44562</v>
      </c>
      <c r="B314" s="2">
        <f>[1]ישיר!B318</f>
        <v>32891977</v>
      </c>
      <c r="C314" s="1">
        <f>-1*[1]ישיר!$C318</f>
        <v>-1790973</v>
      </c>
      <c r="D314" s="3">
        <f>personal_labor_income_taxes!B314+C314</f>
        <v>31101004</v>
      </c>
      <c r="E314" s="2">
        <f>[1]ישיר!$F318</f>
        <v>14640945</v>
      </c>
      <c r="F314" s="2">
        <f>[1]ישיר!$V318</f>
        <v>9152962</v>
      </c>
      <c r="G314" s="2">
        <f>[1]ישיר!$H318</f>
        <v>55204</v>
      </c>
      <c r="H314" s="2">
        <f>[1]ישיר!$I318</f>
        <v>4315964</v>
      </c>
      <c r="I314" s="2">
        <f>-1*[1]ישיר!$J318</f>
        <v>-20670</v>
      </c>
      <c r="J314" s="2">
        <f>-1*[1]ישיר!$AG318</f>
        <v>-500698</v>
      </c>
      <c r="K314" s="1">
        <f>-1*[1]ישיר!$AK318</f>
        <v>-56120</v>
      </c>
      <c r="L314" s="2">
        <f>-1*[1]ישיר!$Z318</f>
        <v>-172696</v>
      </c>
      <c r="M314" s="2">
        <f>[1]ישיר!$Y318</f>
        <v>939041</v>
      </c>
    </row>
    <row r="315" spans="1:13" x14ac:dyDescent="0.2">
      <c r="A315" s="26">
        <v>44593</v>
      </c>
      <c r="B315" s="2">
        <f>[1]ישיר!B319</f>
        <v>22729436</v>
      </c>
      <c r="C315" s="1">
        <f>-1*[1]ישיר!$C319</f>
        <v>-1712927</v>
      </c>
      <c r="D315" s="3">
        <f>personal_labor_income_taxes!B315+C315</f>
        <v>21016509</v>
      </c>
      <c r="E315" s="2">
        <f>[1]ישיר!$F319</f>
        <v>10812422</v>
      </c>
      <c r="F315" s="2">
        <f>[1]ישיר!$V319</f>
        <v>7746720</v>
      </c>
      <c r="G315" s="2">
        <f>[1]ישיר!$H319</f>
        <v>639810</v>
      </c>
      <c r="H315" s="2">
        <f>[1]ישיר!$I319</f>
        <v>1758680</v>
      </c>
      <c r="I315" s="2">
        <f>-1*[1]ישיר!$J319</f>
        <v>-55762</v>
      </c>
      <c r="J315" s="2">
        <f>-1*[1]ישיר!$AG319</f>
        <v>-441630</v>
      </c>
      <c r="K315" s="1">
        <f>-1*[1]ישיר!$AK319</f>
        <v>-42479</v>
      </c>
      <c r="L315" s="2">
        <f>-1*[1]ישיר!$Z319</f>
        <v>-118808</v>
      </c>
      <c r="M315" s="2">
        <f>[1]ישיר!$Y319</f>
        <v>1063838</v>
      </c>
    </row>
    <row r="316" spans="1:13" x14ac:dyDescent="0.2">
      <c r="A316" s="26">
        <v>44621</v>
      </c>
      <c r="B316" s="2">
        <f>[1]ישיר!B320</f>
        <v>23258994</v>
      </c>
      <c r="C316" s="1">
        <f>-1*[1]ישיר!$C320</f>
        <v>-1995354</v>
      </c>
      <c r="D316" s="3">
        <f>personal_labor_income_taxes!B316+C316</f>
        <v>21263640</v>
      </c>
      <c r="E316" s="2">
        <f>[1]ישיר!$F320</f>
        <v>11318321</v>
      </c>
      <c r="F316" s="2">
        <f>[1]ישיר!$V320</f>
        <v>8448553</v>
      </c>
      <c r="G316" s="2">
        <f>[1]ישיר!$H320</f>
        <v>1420826</v>
      </c>
      <c r="H316" s="2">
        <f>[1]ישיר!$I320</f>
        <v>1394371</v>
      </c>
      <c r="I316" s="2">
        <f>-1*[1]ישיר!$J320</f>
        <v>-45770</v>
      </c>
      <c r="J316" s="2">
        <f>-1*[1]ישיר!$AG320</f>
        <v>-433149</v>
      </c>
      <c r="K316" s="1">
        <f>-1*[1]ישיר!$AK320</f>
        <v>-33643</v>
      </c>
      <c r="L316" s="2">
        <f>-1*[1]ישיר!$Z320</f>
        <v>-141555</v>
      </c>
      <c r="M316" s="2">
        <f>[1]ישיר!$Y320</f>
        <v>973014</v>
      </c>
    </row>
    <row r="317" spans="1:13" x14ac:dyDescent="0.2">
      <c r="A317" s="26">
        <v>44652</v>
      </c>
      <c r="B317" s="2">
        <f>[1]ישיר!B321</f>
        <v>22293713</v>
      </c>
      <c r="C317" s="1">
        <f>-1*[1]ישיר!$C321</f>
        <v>-1156054</v>
      </c>
      <c r="D317" s="3">
        <f>personal_labor_income_taxes!B317+C317</f>
        <v>21137659</v>
      </c>
      <c r="E317" s="2">
        <f>[1]ישיר!$F321</f>
        <v>11789821</v>
      </c>
      <c r="F317" s="2">
        <f>[1]ישיר!$V321</f>
        <v>8591254</v>
      </c>
      <c r="G317" s="2">
        <f>[1]ישיר!$H321</f>
        <v>767794</v>
      </c>
      <c r="H317" s="2">
        <f>[1]ישיר!$I321</f>
        <v>1457603</v>
      </c>
      <c r="I317" s="2">
        <f>-1*[1]ישיר!$J321</f>
        <v>-33857</v>
      </c>
      <c r="J317" s="2">
        <f>-1*[1]ישיר!$AG321</f>
        <v>-346159</v>
      </c>
      <c r="K317" s="1">
        <f>-1*[1]ישיר!$AK321</f>
        <v>-37385</v>
      </c>
      <c r="L317" s="2">
        <f>-1*[1]ישיר!$Z321</f>
        <v>-154116</v>
      </c>
      <c r="M317" s="2">
        <f>[1]ישיר!$Y321</f>
        <v>931332</v>
      </c>
    </row>
    <row r="318" spans="1:13" x14ac:dyDescent="0.2">
      <c r="A318" s="26">
        <v>44682</v>
      </c>
      <c r="B318" s="2">
        <f>[1]ישיר!B322</f>
        <v>25014202</v>
      </c>
      <c r="C318" s="1">
        <f>-1*[1]ישיר!$C322</f>
        <v>-1580338</v>
      </c>
      <c r="D318" s="3">
        <f>personal_labor_income_taxes!B318+C318</f>
        <v>23433864</v>
      </c>
      <c r="E318" s="2">
        <f>[1]ישיר!$F322</f>
        <v>13087296</v>
      </c>
      <c r="F318" s="2">
        <f>[1]ישיר!$V322</f>
        <v>9773838</v>
      </c>
      <c r="G318" s="2">
        <f>[1]ישיר!$H322</f>
        <v>1422234</v>
      </c>
      <c r="H318" s="2">
        <f>[1]ישיר!$I322</f>
        <v>1232233</v>
      </c>
      <c r="I318" s="2">
        <f>-1*[1]ישיר!$J322</f>
        <v>-25554</v>
      </c>
      <c r="J318" s="2">
        <f>-1*[1]ישיר!$AG322</f>
        <v>-537404</v>
      </c>
      <c r="K318" s="1">
        <f>-1*[1]ישיר!$AK322</f>
        <v>-55242</v>
      </c>
      <c r="L318" s="2">
        <f>-1*[1]ישיר!$Z322</f>
        <v>-226738</v>
      </c>
      <c r="M318" s="2">
        <f>[1]ישיר!$Y322</f>
        <v>1155145</v>
      </c>
    </row>
    <row r="319" spans="1:13" x14ac:dyDescent="0.2">
      <c r="A319" s="26">
        <v>44713</v>
      </c>
      <c r="B319" s="2">
        <f>[1]ישיר!B323</f>
        <v>21364251</v>
      </c>
      <c r="C319" s="1">
        <f>-1*[1]ישיר!$C323</f>
        <v>-1430977</v>
      </c>
      <c r="D319" s="3">
        <f>personal_labor_income_taxes!B319+C319</f>
        <v>19933274</v>
      </c>
      <c r="E319" s="2">
        <f>[1]ישיר!$F323</f>
        <v>9697210</v>
      </c>
      <c r="F319" s="2">
        <f>[1]ישיר!$V323</f>
        <v>6702764</v>
      </c>
      <c r="G319" s="2">
        <f>[1]ישיר!$H323</f>
        <v>902908</v>
      </c>
      <c r="H319" s="2">
        <f>[1]ישיר!$I323</f>
        <v>1605127</v>
      </c>
      <c r="I319" s="2">
        <f>-1*[1]ישיר!$J323</f>
        <v>-15258</v>
      </c>
      <c r="J319" s="2">
        <f>-1*[1]ישיר!$AG323</f>
        <v>-654383</v>
      </c>
      <c r="K319" s="1">
        <f>-1*[1]ישיר!$AK323</f>
        <v>-55775</v>
      </c>
      <c r="L319" s="2">
        <f>-1*[1]ישיר!$Z323</f>
        <v>-165181</v>
      </c>
      <c r="M319" s="2">
        <f>[1]ישיר!$Y323</f>
        <v>996097</v>
      </c>
    </row>
    <row r="320" spans="1:13" x14ac:dyDescent="0.2">
      <c r="A320" s="26">
        <v>44743</v>
      </c>
      <c r="B320" s="2">
        <f>[1]ישיר!B324</f>
        <v>23479149</v>
      </c>
      <c r="C320" s="1">
        <f>-1*[1]ישיר!$C324</f>
        <v>-1466938</v>
      </c>
      <c r="D320" s="3">
        <f>personal_labor_income_taxes!B320+C320</f>
        <v>22012211</v>
      </c>
      <c r="E320" s="2">
        <f>[1]ישיר!$F324</f>
        <v>11465113</v>
      </c>
      <c r="F320" s="2">
        <f>[1]ישיר!$V324</f>
        <v>8126956</v>
      </c>
      <c r="G320" s="2">
        <f>[1]ישיר!$H324</f>
        <v>1727343</v>
      </c>
      <c r="H320" s="2">
        <f>[1]ישיר!$I324</f>
        <v>1446577</v>
      </c>
      <c r="I320" s="2">
        <f>-1*[1]ישיר!$J324</f>
        <v>-39666</v>
      </c>
      <c r="J320" s="2">
        <f>-1*[1]ישיר!$AG324</f>
        <v>-701569</v>
      </c>
      <c r="K320" s="1">
        <f>-1*[1]ישיר!$AK324</f>
        <v>-40955</v>
      </c>
      <c r="L320" s="2">
        <f>-1*[1]ישיר!$Z324</f>
        <v>-131941</v>
      </c>
      <c r="M320" s="2">
        <f>[1]ישיר!$Y324</f>
        <v>1449910</v>
      </c>
    </row>
    <row r="321" spans="1:13" x14ac:dyDescent="0.2">
      <c r="A321" s="26">
        <v>44774</v>
      </c>
      <c r="B321" s="2">
        <f>[1]ישיר!B325</f>
        <v>22610659</v>
      </c>
      <c r="C321" s="1">
        <f>-1*[1]ישיר!$C325</f>
        <v>-1562045</v>
      </c>
      <c r="D321" s="3">
        <f>personal_labor_income_taxes!B321+C321</f>
        <v>21048614</v>
      </c>
      <c r="E321" s="2">
        <f>[1]ישיר!$F325</f>
        <v>10171369</v>
      </c>
      <c r="F321" s="2">
        <f>[1]ישיר!$V325</f>
        <v>7109946</v>
      </c>
      <c r="G321" s="2">
        <f>[1]ישיר!$H325</f>
        <v>1067278</v>
      </c>
      <c r="H321" s="2">
        <f>[1]ישיר!$I325</f>
        <v>1917107</v>
      </c>
      <c r="I321" s="2">
        <f>-1*[1]ישיר!$J325</f>
        <v>-19268</v>
      </c>
      <c r="J321" s="2">
        <f>-1*[1]ישיר!$AG325</f>
        <v>-783730</v>
      </c>
      <c r="K321" s="1">
        <f>-1*[1]ישיר!$AK325</f>
        <v>-57997</v>
      </c>
      <c r="L321" s="2">
        <f>-1*[1]ישיר!$Z325</f>
        <v>-174509</v>
      </c>
      <c r="M321" s="2">
        <f>[1]ישיר!$Y325</f>
        <v>1237332</v>
      </c>
    </row>
    <row r="322" spans="1:13" x14ac:dyDescent="0.2">
      <c r="A322" s="26">
        <v>44805</v>
      </c>
      <c r="B322" s="2">
        <f>[1]ישיר!B326</f>
        <v>21151923</v>
      </c>
      <c r="C322" s="1">
        <f>-1*[1]ישיר!$C326</f>
        <v>-1090352</v>
      </c>
      <c r="D322" s="3">
        <f>personal_labor_income_taxes!B322+C322</f>
        <v>20061571</v>
      </c>
      <c r="E322" s="2">
        <f>[1]ישיר!$F326</f>
        <v>10757127</v>
      </c>
      <c r="F322" s="2">
        <f>[1]ישיר!$V326</f>
        <v>7820609</v>
      </c>
      <c r="G322" s="2">
        <f>[1]ישיר!$H326</f>
        <v>1498077</v>
      </c>
      <c r="H322" s="2">
        <f>[1]ישיר!$I326</f>
        <v>1121852</v>
      </c>
      <c r="I322" s="2">
        <f>-1*[1]ישיר!$J326</f>
        <v>-18038</v>
      </c>
      <c r="J322" s="2">
        <f>-1*[1]ישיר!$AG326</f>
        <v>-605067</v>
      </c>
      <c r="K322" s="1">
        <f>-1*[1]ישיר!$AK326</f>
        <v>-46300</v>
      </c>
      <c r="L322" s="2">
        <f>-1*[1]ישיר!$Z326</f>
        <v>-150754</v>
      </c>
      <c r="M322" s="2">
        <f>[1]ישיר!$Y326</f>
        <v>1060239</v>
      </c>
    </row>
    <row r="323" spans="1:13" x14ac:dyDescent="0.2">
      <c r="A323" s="26">
        <v>44835</v>
      </c>
      <c r="B323" s="2">
        <f>[1]ישיר!B327</f>
        <v>20564815</v>
      </c>
      <c r="C323" s="1">
        <f>-1*[1]ישיר!$C327</f>
        <v>-877444</v>
      </c>
      <c r="D323" s="3">
        <f>personal_labor_income_taxes!B323+C323</f>
        <v>19687371</v>
      </c>
      <c r="E323" s="2">
        <f>[1]ישיר!$F327</f>
        <v>10430519</v>
      </c>
      <c r="F323" s="2">
        <f>[1]ישיר!$V327</f>
        <v>7259216</v>
      </c>
      <c r="G323" s="2">
        <f>[1]ישיר!$H327</f>
        <v>887754</v>
      </c>
      <c r="H323" s="2">
        <f>[1]ישיר!$I327</f>
        <v>786703</v>
      </c>
      <c r="I323" s="2">
        <f>-1*[1]ישיר!$J327</f>
        <v>-20488</v>
      </c>
      <c r="J323" s="2">
        <f>-1*[1]ישיר!$AG327</f>
        <v>-427220</v>
      </c>
      <c r="K323" s="1">
        <f>-1*[1]ישיר!$AK327</f>
        <v>-29393</v>
      </c>
      <c r="L323" s="2">
        <f>-1*[1]ישיר!$Z327</f>
        <v>-139740</v>
      </c>
      <c r="M323" s="2">
        <f>[1]ישיר!$Y327</f>
        <v>1187900</v>
      </c>
    </row>
    <row r="324" spans="1:13" x14ac:dyDescent="0.2">
      <c r="A324" s="26">
        <v>44866</v>
      </c>
      <c r="B324" s="2">
        <f>[1]ישיר!B328</f>
        <v>21701186</v>
      </c>
      <c r="C324" s="1">
        <f>-1*[1]ישיר!$C328</f>
        <v>-1501552</v>
      </c>
      <c r="D324" s="3">
        <f>personal_labor_income_taxes!B324+C324</f>
        <v>20199634</v>
      </c>
      <c r="E324" s="2">
        <f>[1]ישיר!$F328</f>
        <v>10549702</v>
      </c>
      <c r="F324" s="2">
        <f>[1]ישיר!$V328</f>
        <v>7959318</v>
      </c>
      <c r="G324" s="2">
        <f>[1]ישיר!$H328</f>
        <v>1558121</v>
      </c>
      <c r="H324" s="2">
        <f>[1]ישיר!$I328</f>
        <v>1339895</v>
      </c>
      <c r="I324" s="2">
        <f>-1*[1]ישיר!$J328</f>
        <v>-139957</v>
      </c>
      <c r="J324" s="2">
        <f>-1*[1]ישיר!$AG328</f>
        <v>-646080</v>
      </c>
      <c r="K324" s="1">
        <f>-1*[1]ישיר!$AK328</f>
        <v>-48245</v>
      </c>
      <c r="L324" s="2">
        <f>-1*[1]ישיר!$Z328</f>
        <v>-152072</v>
      </c>
      <c r="M324" s="2">
        <f>[1]ישיר!$Y328</f>
        <v>993884</v>
      </c>
    </row>
    <row r="325" spans="1:13" x14ac:dyDescent="0.2">
      <c r="A325" s="26">
        <v>44896</v>
      </c>
      <c r="B325" s="2">
        <f>[1]ישיר!B329</f>
        <v>20260035</v>
      </c>
      <c r="C325" s="1">
        <f>-1*[1]ישיר!$C329</f>
        <v>-1673284</v>
      </c>
      <c r="D325" s="3">
        <f>personal_labor_income_taxes!B325+C325</f>
        <v>18586751</v>
      </c>
      <c r="E325" s="2">
        <f>[1]ישיר!$F329</f>
        <v>10820922</v>
      </c>
      <c r="F325" s="2">
        <f>[1]ישיר!$V329</f>
        <v>7207675</v>
      </c>
      <c r="G325" s="2">
        <f>[1]ישיר!$H329</f>
        <v>870278</v>
      </c>
      <c r="H325" s="2">
        <f>[1]ישיר!$I329</f>
        <v>1774064</v>
      </c>
      <c r="I325" s="2">
        <f>-1*[1]ישיר!$J329</f>
        <v>-15884</v>
      </c>
      <c r="J325" s="2">
        <f>-1*[1]ישיר!$AG329</f>
        <v>-767977</v>
      </c>
      <c r="K325" s="1">
        <f>-1*[1]ישיר!$AK329</f>
        <v>-84545</v>
      </c>
      <c r="L325" s="2">
        <f>-1*[1]ישיר!$Z329</f>
        <v>-133710</v>
      </c>
      <c r="M325" s="2">
        <f>[1]ישיר!$Y329</f>
        <v>1171038</v>
      </c>
    </row>
    <row r="326" spans="1:13" x14ac:dyDescent="0.2">
      <c r="A326" s="26">
        <v>44927</v>
      </c>
      <c r="B326" s="2">
        <f>[1]ישיר!B330</f>
        <v>31069565</v>
      </c>
      <c r="C326" s="1">
        <f>-1*[1]ישיר!$C330</f>
        <v>-2325366</v>
      </c>
      <c r="D326" s="3">
        <f>personal_labor_income_taxes!B326+C326</f>
        <v>28744199</v>
      </c>
      <c r="E326" s="2">
        <f>[1]ישיר!$F330</f>
        <v>13928505</v>
      </c>
      <c r="F326" s="2">
        <f>[1]ישיר!$V330</f>
        <v>9137458</v>
      </c>
      <c r="G326" s="2">
        <f>[1]ישיר!$H330</f>
        <v>37114</v>
      </c>
      <c r="H326" s="2">
        <f>[1]ישיר!$I330</f>
        <v>4099226</v>
      </c>
      <c r="I326" s="2">
        <f>-1*[1]ישיר!$J330</f>
        <v>-87250</v>
      </c>
      <c r="J326" s="2">
        <f>-1*[1]ישיר!$AG330</f>
        <v>-640753</v>
      </c>
      <c r="K326" s="1">
        <f>-1*[1]ישיר!$AK330</f>
        <v>-50622</v>
      </c>
      <c r="L326" s="2">
        <f>-1*[1]ישיר!$Z330</f>
        <v>-187704</v>
      </c>
      <c r="M326" s="2">
        <f>[1]ישיר!$Y330</f>
        <v>1019090</v>
      </c>
    </row>
    <row r="327" spans="1:13" x14ac:dyDescent="0.2">
      <c r="A327" s="26">
        <v>44958</v>
      </c>
      <c r="B327" s="2">
        <f>[1]ישיר!B331</f>
        <v>22220564</v>
      </c>
      <c r="C327" s="1">
        <f>-1*[1]ישיר!$C331</f>
        <v>-1655672</v>
      </c>
      <c r="D327" s="3">
        <f>personal_labor_income_taxes!B327+C327</f>
        <v>20564892</v>
      </c>
      <c r="E327" s="2">
        <f>[1]ישיר!$F331</f>
        <v>10758119</v>
      </c>
      <c r="F327" s="2">
        <f>[1]ישיר!$V331</f>
        <v>7988313</v>
      </c>
      <c r="G327" s="2">
        <f>[1]ישיר!$H331</f>
        <v>744240</v>
      </c>
      <c r="H327" s="2">
        <f>[1]ישיר!$I331</f>
        <v>1529280</v>
      </c>
      <c r="I327" s="2">
        <f>-1*[1]ישיר!$J331</f>
        <v>-24242</v>
      </c>
      <c r="J327" s="2">
        <f>-1*[1]ישיר!$AG331</f>
        <v>-542833</v>
      </c>
      <c r="K327" s="1">
        <f>-1*[1]ישיר!$AK331</f>
        <v>-56727</v>
      </c>
      <c r="L327" s="2">
        <f>-1*[1]ישיר!$Z331</f>
        <v>-155543</v>
      </c>
      <c r="M327" s="2">
        <f>[1]ישיר!$Y331</f>
        <v>1001296</v>
      </c>
    </row>
    <row r="328" spans="1:13" x14ac:dyDescent="0.2">
      <c r="A328" s="26">
        <v>44986</v>
      </c>
      <c r="B328" s="2">
        <f>[1]ישיר!B332</f>
        <v>22359828</v>
      </c>
      <c r="C328" s="1">
        <f>-1*[1]ישיר!$C332</f>
        <v>-1858588</v>
      </c>
      <c r="D328" s="3">
        <f>personal_labor_income_taxes!B328+C328</f>
        <v>20501240</v>
      </c>
      <c r="E328" s="2">
        <f>[1]ישיר!$F332</f>
        <v>11476414</v>
      </c>
      <c r="F328" s="2">
        <f>[1]ישיר!$V332</f>
        <v>8394887</v>
      </c>
      <c r="G328" s="2">
        <f>[1]ישיר!$H332</f>
        <v>1501074</v>
      </c>
      <c r="H328" s="2">
        <f>[1]ישיר!$I332</f>
        <v>1347276</v>
      </c>
      <c r="I328" s="2">
        <f>-1*[1]ישיר!$J332</f>
        <v>-106305</v>
      </c>
      <c r="J328" s="2">
        <f>-1*[1]ישיר!$AG332</f>
        <v>-575007</v>
      </c>
      <c r="K328" s="1">
        <f>-1*[1]ישיר!$AK332</f>
        <v>-62848</v>
      </c>
      <c r="L328" s="2">
        <f>-1*[1]ישיר!$Z332</f>
        <v>-178577</v>
      </c>
      <c r="M328" s="2">
        <f>[1]ישיר!$Y332</f>
        <v>1199747</v>
      </c>
    </row>
    <row r="329" spans="1:13" x14ac:dyDescent="0.2">
      <c r="A329" s="26">
        <v>45017</v>
      </c>
      <c r="B329" s="2">
        <f>[1]ישיר!B333</f>
        <v>22090796</v>
      </c>
      <c r="C329" s="1">
        <f>-1*[1]ישיר!$C333</f>
        <v>-1385470</v>
      </c>
      <c r="D329" s="3">
        <f>personal_labor_income_taxes!B329+C329</f>
        <v>20705326</v>
      </c>
      <c r="E329" s="2">
        <f>[1]ישיר!$F333</f>
        <v>13006551</v>
      </c>
      <c r="F329" s="2">
        <f>[1]ישיר!$V333</f>
        <v>9665631</v>
      </c>
      <c r="G329" s="2">
        <f>[1]ישיר!$H333</f>
        <v>854837</v>
      </c>
      <c r="H329" s="2">
        <f>[1]ישיר!$I333</f>
        <v>959338</v>
      </c>
      <c r="I329" s="2">
        <f>-1*[1]ישיר!$J333</f>
        <v>-11865</v>
      </c>
      <c r="J329" s="2">
        <f>-1*[1]ישיר!$AG333</f>
        <v>-347987</v>
      </c>
      <c r="K329" s="1">
        <f>-1*[1]ישיר!$AK333</f>
        <v>-50860</v>
      </c>
      <c r="L329" s="2">
        <f>-1*[1]ישיר!$Z333</f>
        <v>-268841</v>
      </c>
      <c r="M329" s="2">
        <f>[1]ישיר!$Y333</f>
        <v>1109172</v>
      </c>
    </row>
    <row r="330" spans="1:13" x14ac:dyDescent="0.2">
      <c r="A330" s="26">
        <v>45047</v>
      </c>
      <c r="B330" s="2">
        <f>[1]ישיר!B334</f>
        <v>22430088</v>
      </c>
      <c r="C330" s="1">
        <f>-1*[1]ישיר!$C334</f>
        <v>-2176825</v>
      </c>
      <c r="D330" s="3">
        <f>personal_labor_income_taxes!B330+C330</f>
        <v>20253263</v>
      </c>
      <c r="E330" s="2">
        <f>[1]ישיר!$F334</f>
        <v>12176681</v>
      </c>
      <c r="F330" s="2">
        <f>[1]ישיר!$V334</f>
        <v>8497580</v>
      </c>
      <c r="G330" s="2">
        <f>[1]ישיר!$H334</f>
        <v>1534942</v>
      </c>
      <c r="H330" s="2">
        <f>[1]ישיר!$I334</f>
        <v>1313967</v>
      </c>
      <c r="I330" s="2">
        <f>-1*[1]ישיר!$J334</f>
        <v>-70602</v>
      </c>
      <c r="J330" s="2">
        <f>-1*[1]ישיר!$AG334</f>
        <v>-686079</v>
      </c>
      <c r="K330" s="1">
        <f>-1*[1]ישיר!$AK334</f>
        <v>-59976</v>
      </c>
      <c r="L330" s="2">
        <f>-1*[1]ישיר!$Z334</f>
        <v>-138517</v>
      </c>
      <c r="M330" s="2">
        <f>[1]ישיר!$Y334</f>
        <v>1140000</v>
      </c>
    </row>
    <row r="331" spans="1:13" x14ac:dyDescent="0.2">
      <c r="A331" s="26">
        <v>45078</v>
      </c>
      <c r="B331" s="2">
        <f>[1]ישיר!B335</f>
        <v>20221964</v>
      </c>
      <c r="C331" s="1">
        <f>-1*[1]ישיר!$C335</f>
        <v>-1966967</v>
      </c>
      <c r="D331" s="3">
        <f>personal_labor_income_taxes!B331+C331</f>
        <v>18254997</v>
      </c>
      <c r="E331" s="2">
        <f>[1]ישיר!$F335</f>
        <v>10801605</v>
      </c>
      <c r="F331" s="2">
        <f>[1]ישיר!$V335</f>
        <v>7453648</v>
      </c>
      <c r="G331" s="2">
        <f>[1]ישיר!$H335</f>
        <v>929354</v>
      </c>
      <c r="H331" s="2">
        <f>[1]ישיר!$I335</f>
        <v>1093857</v>
      </c>
      <c r="I331" s="2">
        <f>-1*[1]ישיר!$J335</f>
        <v>-19492</v>
      </c>
      <c r="J331" s="2">
        <f>-1*[1]ישיר!$AG335</f>
        <v>-871298</v>
      </c>
      <c r="K331" s="1">
        <f>-1*[1]ישיר!$AK335</f>
        <v>-59492</v>
      </c>
      <c r="L331" s="2">
        <f>-1*[1]ישיר!$Z335</f>
        <v>-130390</v>
      </c>
      <c r="M331" s="2">
        <f>[1]ישיר!$Y335</f>
        <v>1066900</v>
      </c>
    </row>
    <row r="332" spans="1:13" x14ac:dyDescent="0.2">
      <c r="A332" s="26">
        <v>45108</v>
      </c>
      <c r="B332" s="2">
        <f>[1]ישיר!B336</f>
        <v>23442165</v>
      </c>
      <c r="C332" s="1">
        <f>-1*[1]ישיר!$C336</f>
        <v>-2122449</v>
      </c>
      <c r="D332" s="3">
        <f>personal_labor_income_taxes!B332+C332</f>
        <v>21319716</v>
      </c>
      <c r="E332" s="2">
        <f>[1]ישיר!$F336</f>
        <v>13069865</v>
      </c>
      <c r="F332" s="2">
        <f>[1]ישיר!$V336</f>
        <v>9263295</v>
      </c>
      <c r="G332" s="2">
        <f>[1]ישיר!$H336</f>
        <v>1546066</v>
      </c>
      <c r="H332" s="2">
        <f>[1]ישיר!$I336</f>
        <v>1187716</v>
      </c>
      <c r="I332" s="2">
        <f>-1*[1]ישיר!$J336</f>
        <v>-45876</v>
      </c>
      <c r="J332" s="2">
        <f>-1*[1]ישיר!$AG336</f>
        <v>-901469</v>
      </c>
      <c r="K332" s="1">
        <f>-1*[1]ישיר!$AK336</f>
        <v>-89049</v>
      </c>
      <c r="L332" s="2">
        <f>-1*[1]ישיר!$Z336</f>
        <v>-148624</v>
      </c>
      <c r="M332" s="2">
        <f>[1]ישיר!$Y336</f>
        <v>1525123</v>
      </c>
    </row>
    <row r="333" spans="1:13" x14ac:dyDescent="0.2">
      <c r="A333" s="26">
        <v>45139</v>
      </c>
      <c r="B333" s="2">
        <f>[1]ישיר!B337</f>
        <v>20779497</v>
      </c>
      <c r="C333" s="1">
        <f>-1*[1]ישיר!$C337</f>
        <v>-2071899</v>
      </c>
      <c r="D333" s="3">
        <f>personal_labor_income_taxes!B333+C333</f>
        <v>18707598</v>
      </c>
      <c r="E333" s="2">
        <f>[1]ישיר!$F337</f>
        <v>11224946</v>
      </c>
      <c r="F333" s="2">
        <f>[1]ישיר!$V337</f>
        <v>8050383</v>
      </c>
      <c r="G333" s="2">
        <f>[1]ישיר!$H337</f>
        <v>958420</v>
      </c>
      <c r="H333" s="2">
        <f>[1]ישיר!$I337</f>
        <v>1292428</v>
      </c>
      <c r="I333" s="2">
        <f>-1*[1]ישיר!$J337</f>
        <v>-12769</v>
      </c>
      <c r="J333" s="2">
        <f>-1*[1]ישיר!$AG337</f>
        <v>-1011066</v>
      </c>
      <c r="K333" s="1">
        <f>-1*[1]ישיר!$AK337</f>
        <v>-77429</v>
      </c>
      <c r="L333" s="2">
        <f>-1*[1]ישיר!$Z337</f>
        <v>-150963</v>
      </c>
      <c r="M333" s="2">
        <f>[1]ישיר!$Y337</f>
        <v>1162744</v>
      </c>
    </row>
    <row r="334" spans="1:13" x14ac:dyDescent="0.2">
      <c r="A334" s="26">
        <v>45170</v>
      </c>
      <c r="B334" s="2">
        <f>[1]ישיר!B338</f>
        <v>21467214</v>
      </c>
      <c r="C334" s="1">
        <f>-1*[1]ישיר!$C338</f>
        <v>-1543333</v>
      </c>
      <c r="D334" s="3">
        <f>personal_labor_income_taxes!B334+C334</f>
        <v>19923881</v>
      </c>
      <c r="E334" s="2">
        <f>[1]ישיר!$F338</f>
        <v>12372854</v>
      </c>
      <c r="F334" s="2">
        <f>[1]ישיר!$V338</f>
        <v>8572176</v>
      </c>
      <c r="G334" s="2">
        <f>[1]ישיר!$H338</f>
        <v>1577072</v>
      </c>
      <c r="H334" s="2">
        <f>[1]ישיר!$I338</f>
        <v>821828</v>
      </c>
      <c r="I334" s="2">
        <f>-1*[1]ישיר!$J338</f>
        <v>-13713</v>
      </c>
      <c r="J334" s="2">
        <f>-1*[1]ישיר!$AG338</f>
        <v>-743488</v>
      </c>
      <c r="K334" s="1">
        <f>-1*[1]ישיר!$AK338</f>
        <v>-49746</v>
      </c>
      <c r="L334" s="2">
        <f>-1*[1]ישיר!$Z338</f>
        <v>-221096</v>
      </c>
      <c r="M334" s="2">
        <f>[1]ישיר!$Y338</f>
        <v>1139419</v>
      </c>
    </row>
    <row r="335" spans="1:13" x14ac:dyDescent="0.2">
      <c r="A335" s="26">
        <v>45200</v>
      </c>
      <c r="B335" s="2">
        <f>[1]ישיר!B339</f>
        <v>18983509</v>
      </c>
      <c r="C335" s="1">
        <f>-1*[1]ישיר!$C339</f>
        <v>-2342512</v>
      </c>
      <c r="D335" s="3">
        <f>personal_labor_income_taxes!B335+C335</f>
        <v>16640997</v>
      </c>
      <c r="E335" s="2">
        <f>[1]ישיר!$F339</f>
        <v>11119895</v>
      </c>
      <c r="F335" s="2">
        <f>[1]ישיר!$V339</f>
        <v>7837759</v>
      </c>
      <c r="G335" s="2">
        <f>[1]ישיר!$H339</f>
        <v>748739</v>
      </c>
      <c r="H335" s="2">
        <f>[1]ישיר!$I339</f>
        <v>901238</v>
      </c>
      <c r="I335" s="2">
        <f>-1*[1]ישיר!$J339</f>
        <v>-21500</v>
      </c>
      <c r="J335" s="2">
        <f>-1*[1]ישיר!$AG339</f>
        <v>-925977</v>
      </c>
      <c r="K335" s="1">
        <f>-1*[1]ישיר!$AK339</f>
        <v>-65433</v>
      </c>
      <c r="L335" s="2">
        <f>-1*[1]ישיר!$Z339</f>
        <v>-151663</v>
      </c>
      <c r="M335" s="2">
        <f>[1]ישיר!$Y339</f>
        <v>1177622</v>
      </c>
    </row>
    <row r="336" spans="1:13" x14ac:dyDescent="0.2">
      <c r="A336" s="26">
        <v>45231</v>
      </c>
      <c r="B336" s="2">
        <f>[1]ישיר!B340</f>
        <v>18826956</v>
      </c>
      <c r="C336" s="1">
        <f>-1*[1]ישיר!$C340</f>
        <v>-1887161</v>
      </c>
      <c r="D336" s="3">
        <f>personal_labor_income_taxes!B336+C336</f>
        <v>16939795</v>
      </c>
      <c r="E336" s="2">
        <f>[1]ישיר!$F340</f>
        <v>11130570</v>
      </c>
      <c r="F336" s="2">
        <f>[1]ישיר!$V340</f>
        <v>7897951</v>
      </c>
      <c r="G336" s="2">
        <f>[1]ישיר!$H340</f>
        <v>1352479</v>
      </c>
      <c r="H336" s="2">
        <f>[1]ישיר!$I340</f>
        <v>791042</v>
      </c>
      <c r="I336" s="2">
        <f>-1*[1]ישיר!$J340</f>
        <v>-140349</v>
      </c>
      <c r="J336" s="2">
        <f>-1*[1]ישיר!$AG340</f>
        <v>-833481</v>
      </c>
      <c r="K336" s="1">
        <f>-1*[1]ישיר!$AK340</f>
        <v>-60970</v>
      </c>
      <c r="L336" s="2">
        <f>-1*[1]ישיר!$Z340</f>
        <v>-153690</v>
      </c>
      <c r="M336" s="2">
        <f>[1]ישיר!$Y340</f>
        <v>1062792</v>
      </c>
    </row>
    <row r="337" spans="1:15" x14ac:dyDescent="0.2">
      <c r="A337" s="26">
        <v>45261</v>
      </c>
      <c r="B337" s="2">
        <f>[1]ישיר!B341</f>
        <v>19511321</v>
      </c>
      <c r="C337" s="1">
        <f>-1*[1]ישיר!$C341</f>
        <v>-1551667</v>
      </c>
      <c r="D337" s="3">
        <f>personal_labor_income_taxes!B337+C337</f>
        <v>17959654</v>
      </c>
      <c r="E337" s="2">
        <f>[1]ישיר!$F341</f>
        <v>11132907</v>
      </c>
      <c r="F337" s="2">
        <f>[1]ישיר!$V341</f>
        <v>7587189</v>
      </c>
      <c r="G337" s="2">
        <f>[1]ישיר!$H341</f>
        <v>857229</v>
      </c>
      <c r="H337" s="2">
        <f>[1]ישיר!$I341</f>
        <v>1094821</v>
      </c>
      <c r="I337" s="2">
        <f>-1*[1]ישיר!$J341</f>
        <v>-24520</v>
      </c>
      <c r="J337" s="2">
        <f>-1*[1]ישיר!$AG341</f>
        <v>-681385</v>
      </c>
      <c r="K337" s="1">
        <f>-1*[1]ישיר!$AK341</f>
        <v>-48722</v>
      </c>
      <c r="L337" s="2">
        <f>-1*[1]ישיר!$Z341</f>
        <v>-152944</v>
      </c>
      <c r="M337" s="2">
        <f>[1]ישיר!$Y341</f>
        <v>1227930</v>
      </c>
    </row>
    <row r="338" spans="1:15" x14ac:dyDescent="0.2">
      <c r="A338" s="26">
        <v>45292</v>
      </c>
      <c r="B338" s="2">
        <f>[1]ישיר!B342</f>
        <v>30224007</v>
      </c>
      <c r="C338" s="1">
        <f>-1*[1]ישיר!$C342</f>
        <v>-2110529</v>
      </c>
      <c r="D338" s="3">
        <f>personal_labor_income_taxes!B338+C338</f>
        <v>28113478</v>
      </c>
      <c r="E338" s="2">
        <f>[1]ישיר!$F342</f>
        <v>14455514</v>
      </c>
      <c r="F338" s="2">
        <f>[1]ישיר!$V342</f>
        <v>9642482</v>
      </c>
      <c r="G338" s="2">
        <f>[1]ישיר!$H342</f>
        <v>26614</v>
      </c>
      <c r="H338" s="2">
        <f>[1]ישיר!$I342</f>
        <v>3747161</v>
      </c>
      <c r="I338" s="2">
        <f>-1*[1]ישיר!$J342</f>
        <v>-47830</v>
      </c>
      <c r="J338" s="2">
        <f>-1*[1]ישיר!$AG342</f>
        <v>-742568</v>
      </c>
      <c r="K338" s="1">
        <f>-1*[1]ישיר!$AK342</f>
        <v>-45431</v>
      </c>
      <c r="L338" s="2">
        <f>-1*[1]ישיר!$Z342</f>
        <v>-136079</v>
      </c>
      <c r="M338" s="2">
        <f>[1]ישיר!$Y342</f>
        <v>1088422</v>
      </c>
    </row>
    <row r="339" spans="1:15" x14ac:dyDescent="0.2">
      <c r="A339" s="26">
        <v>45323</v>
      </c>
      <c r="B339" s="2">
        <f>[1]ישיר!B343</f>
        <v>21955755</v>
      </c>
      <c r="C339" s="1">
        <f>-1*[1]ישיר!$C343</f>
        <v>-2290368</v>
      </c>
      <c r="D339" s="3">
        <f>personal_labor_income_taxes!B339+C339</f>
        <v>19665387</v>
      </c>
      <c r="E339" s="2">
        <f>[1]ישיר!$F343</f>
        <v>11583009</v>
      </c>
      <c r="F339" s="2">
        <f>[1]ישיר!$V343</f>
        <v>8461815</v>
      </c>
      <c r="G339" s="2">
        <f>[1]ישיר!$H343</f>
        <v>753956</v>
      </c>
      <c r="H339" s="2">
        <f>[1]ישיר!$I343</f>
        <v>1583223</v>
      </c>
      <c r="I339" s="2">
        <f>-1*[1]ישיר!$J343</f>
        <v>-29784</v>
      </c>
      <c r="J339" s="2">
        <f>-1*[1]ישיר!$AG343</f>
        <v>-654055</v>
      </c>
      <c r="K339" s="1">
        <f>-1*[1]ישיר!$AK343</f>
        <v>-80625</v>
      </c>
      <c r="L339" s="2">
        <f>-1*[1]ישיר!$Z343</f>
        <v>-159555</v>
      </c>
      <c r="M339" s="2">
        <f>[1]ישיר!$Y343</f>
        <v>959107</v>
      </c>
    </row>
    <row r="340" spans="1:15" x14ac:dyDescent="0.2">
      <c r="A340" s="26">
        <v>45352</v>
      </c>
      <c r="B340" s="2">
        <f>[1]ישיר!B344</f>
        <v>23977060</v>
      </c>
      <c r="C340" s="1">
        <f>-1*[1]ישיר!$C344</f>
        <v>-2058984</v>
      </c>
      <c r="D340" s="3">
        <f>personal_labor_income_taxes!B340+C340</f>
        <v>21918076</v>
      </c>
      <c r="E340" s="2">
        <f>[1]ישיר!$F344</f>
        <v>12996958</v>
      </c>
      <c r="F340" s="2">
        <f>[1]ישיר!$V344</f>
        <v>9548986</v>
      </c>
      <c r="G340" s="2">
        <f>[1]ישיר!$H344</f>
        <v>1500217</v>
      </c>
      <c r="H340" s="2">
        <f>[1]ישיר!$I344</f>
        <v>1231139</v>
      </c>
      <c r="I340" s="2">
        <f>-1*[1]ישיר!$J344</f>
        <v>-87776</v>
      </c>
      <c r="J340" s="2">
        <f>-1*[1]ישיר!$AG344</f>
        <v>-538149</v>
      </c>
      <c r="K340" s="1">
        <f>-1*[1]ישיר!$AK344</f>
        <v>-62654</v>
      </c>
      <c r="L340" s="2">
        <f>-1*[1]ישיר!$Z344</f>
        <v>-150831</v>
      </c>
      <c r="M340" s="2">
        <f>[1]ישיר!$Y344</f>
        <v>1262507</v>
      </c>
    </row>
    <row r="341" spans="1:15" x14ac:dyDescent="0.2">
      <c r="A341" s="26">
        <v>45383</v>
      </c>
      <c r="B341" s="2">
        <f>[1]ישיר!B345</f>
        <v>23886424</v>
      </c>
      <c r="C341" s="1">
        <f>-1*[1]ישיר!$C345</f>
        <v>-1473149</v>
      </c>
      <c r="D341" s="3">
        <f>personal_labor_income_taxes!B341+C341</f>
        <v>22413275</v>
      </c>
      <c r="E341" s="2">
        <f>[1]ישיר!$F345</f>
        <v>14296179</v>
      </c>
      <c r="F341" s="2">
        <f>[1]ישיר!$V345</f>
        <v>10651959</v>
      </c>
      <c r="G341" s="2">
        <f>[1]ישיר!$H345</f>
        <v>848295</v>
      </c>
      <c r="H341" s="2">
        <f>[1]ישיר!$I345</f>
        <v>1129451</v>
      </c>
      <c r="I341" s="2">
        <f>-1*[1]ישיר!$J345</f>
        <v>-23775</v>
      </c>
      <c r="J341" s="2">
        <f>-1*[1]ישיר!$AG345</f>
        <v>-415275</v>
      </c>
      <c r="K341" s="1">
        <f>-1*[1]ישיר!$AK345</f>
        <v>-29365</v>
      </c>
      <c r="L341" s="2">
        <f>-1*[1]ישיר!$Z345</f>
        <v>-275183</v>
      </c>
      <c r="M341" s="2">
        <f>[1]ישיר!$Y345</f>
        <v>1062677</v>
      </c>
    </row>
    <row r="342" spans="1:15" x14ac:dyDescent="0.2">
      <c r="A342" s="26">
        <v>45413</v>
      </c>
      <c r="B342" s="2">
        <f>[1]ישיר!B346</f>
        <v>24288850</v>
      </c>
      <c r="C342" s="1">
        <f>-1*[1]ישיר!$C346</f>
        <v>-2414900</v>
      </c>
      <c r="D342" s="3">
        <f>personal_labor_income_taxes!B342+C342</f>
        <v>21873950</v>
      </c>
      <c r="E342" s="38">
        <f>[1]ישיר!$F346</f>
        <v>13225697</v>
      </c>
      <c r="F342" s="2">
        <f>[1]ישיר!$V346</f>
        <v>8787727</v>
      </c>
      <c r="G342" s="2">
        <f>[1]ישיר!$H346</f>
        <v>1753056</v>
      </c>
      <c r="H342" s="2">
        <f>[1]ישיר!$I346</f>
        <v>1702405</v>
      </c>
      <c r="I342" s="2">
        <f>-1*[1]ישיר!$J346</f>
        <v>-37494</v>
      </c>
      <c r="J342" s="2">
        <f>-1*[1]ישיר!$AG346</f>
        <v>-880798</v>
      </c>
      <c r="K342" s="1">
        <f>-1*[1]ישיר!$AK346</f>
        <v>-46033</v>
      </c>
      <c r="L342" s="2">
        <f>-1*[1]ישיר!$Z346</f>
        <v>-190243</v>
      </c>
      <c r="M342" s="2">
        <f>[1]ישיר!$Y346</f>
        <v>997340</v>
      </c>
      <c r="N342" s="39"/>
      <c r="O342" s="39"/>
    </row>
    <row r="343" spans="1:15" x14ac:dyDescent="0.2">
      <c r="A343" s="26">
        <v>45444</v>
      </c>
      <c r="B343" s="2">
        <f>[1]ישיר!B347</f>
        <v>22284637</v>
      </c>
      <c r="C343" s="1">
        <f>-1*[1]ישיר!$C347</f>
        <v>-2260803</v>
      </c>
      <c r="D343" s="3">
        <f>personal_labor_income_taxes!B343+C343</f>
        <v>20023834</v>
      </c>
      <c r="E343" s="38">
        <f>[1]ישיר!$F347</f>
        <v>12511419</v>
      </c>
      <c r="F343" s="2">
        <f>[1]ישיר!$V347</f>
        <v>8429085</v>
      </c>
      <c r="G343" s="2">
        <f>[1]ישיר!$H347</f>
        <v>1190723</v>
      </c>
      <c r="H343" s="2">
        <f>[1]ישיר!$I347</f>
        <v>1034028</v>
      </c>
      <c r="I343" s="2">
        <f>-1*[1]ישיר!$J347</f>
        <v>-11472</v>
      </c>
      <c r="J343" s="2">
        <f>-1*[1]ישיר!$AG347</f>
        <v>-820423</v>
      </c>
      <c r="K343" s="1">
        <f>-1*[1]ישיר!$AK347</f>
        <v>-40397</v>
      </c>
      <c r="L343" s="2">
        <f>-1*[1]ישיר!$Z347</f>
        <v>-173183</v>
      </c>
      <c r="M343" s="2">
        <f>[1]ישיר!$Y347</f>
        <v>1178941</v>
      </c>
      <c r="N343" s="39"/>
      <c r="O343" s="39"/>
    </row>
    <row r="344" spans="1:15" x14ac:dyDescent="0.2">
      <c r="A344" s="26">
        <v>45474</v>
      </c>
      <c r="B344" s="2">
        <f>[1]ישיר!B348</f>
        <v>26412148</v>
      </c>
      <c r="C344" s="1">
        <f>-1*[1]ישיר!$C348</f>
        <v>-3468732</v>
      </c>
      <c r="D344" s="3">
        <f>personal_labor_income_taxes!B344+C344</f>
        <v>22943416</v>
      </c>
      <c r="E344" s="38">
        <f>[1]ישיר!$F348</f>
        <v>14791143</v>
      </c>
      <c r="F344" s="2">
        <f>[1]ישיר!$V348</f>
        <v>10262827</v>
      </c>
      <c r="G344" s="2">
        <f>[1]ישיר!$H348</f>
        <v>1607132</v>
      </c>
      <c r="H344" s="2">
        <f>[1]ישיר!$I348</f>
        <v>1341295</v>
      </c>
      <c r="I344" s="2">
        <f>-1*[1]ישיר!$J348</f>
        <v>-48094</v>
      </c>
      <c r="J344" s="2">
        <f>-1*[1]ישיר!$AG348</f>
        <v>-1100196</v>
      </c>
      <c r="K344" s="1">
        <f>-1*[1]ישיר!$AK348</f>
        <v>-134732</v>
      </c>
      <c r="L344" s="2">
        <f>-1*[1]ישיר!$Z348</f>
        <v>-152551</v>
      </c>
      <c r="M344" s="2">
        <f>[1]ישיר!$Y348</f>
        <v>1275653</v>
      </c>
      <c r="N344" s="39"/>
      <c r="O344" s="39"/>
    </row>
    <row r="345" spans="1:15" x14ac:dyDescent="0.2">
      <c r="A345" s="26">
        <v>45505</v>
      </c>
      <c r="B345" s="2">
        <f>[1]ישיר!B349</f>
        <v>23682713</v>
      </c>
      <c r="C345" s="1">
        <f>-1*[1]ישיר!$C349</f>
        <v>-2224597</v>
      </c>
      <c r="D345" s="3">
        <f>personal_labor_income_taxes!B345+C345</f>
        <v>21458116</v>
      </c>
      <c r="E345" s="38">
        <f>[1]ישיר!$F349</f>
        <v>13168840</v>
      </c>
      <c r="F345" s="2">
        <f>[1]ישיר!$V349</f>
        <v>9129968</v>
      </c>
      <c r="G345" s="2">
        <f>[1]ישיר!$H349</f>
        <v>1142072</v>
      </c>
      <c r="H345" s="2">
        <f>[1]ישיר!$I349</f>
        <v>982147</v>
      </c>
      <c r="I345" s="2">
        <f>-1*[1]ישיר!$J349</f>
        <v>-142146</v>
      </c>
      <c r="J345" s="2">
        <f>-1*[1]ישיר!$AG349</f>
        <v>-1030473</v>
      </c>
      <c r="K345" s="1">
        <f>-1*[1]ישיר!$AK349</f>
        <v>-79462</v>
      </c>
      <c r="L345" s="2">
        <f>-1*[1]ישיר!$Z349</f>
        <v>-151484</v>
      </c>
      <c r="M345" s="2">
        <f>[1]ישיר!$Y349</f>
        <v>1353683</v>
      </c>
      <c r="N345" s="39"/>
      <c r="O345" s="39"/>
    </row>
    <row r="346" spans="1:15" x14ac:dyDescent="0.2">
      <c r="A346" s="26">
        <v>45536</v>
      </c>
      <c r="B346" s="2">
        <f>[1]ישיר!B350</f>
        <v>23359121</v>
      </c>
      <c r="C346" s="1">
        <f>-1*[1]ישיר!$C350</f>
        <v>-2017399</v>
      </c>
      <c r="D346" s="3">
        <f>personal_labor_income_taxes!B346+C346</f>
        <v>21341722</v>
      </c>
      <c r="E346" s="38">
        <f>[1]ישיר!$F350</f>
        <v>12536391</v>
      </c>
      <c r="F346" s="2">
        <f>[1]ישיר!$V350</f>
        <v>8710488</v>
      </c>
      <c r="G346" s="2">
        <f>[1]ישיר!$H350</f>
        <v>1650895</v>
      </c>
      <c r="H346" s="2">
        <f>[1]ישיר!$I350</f>
        <v>956801</v>
      </c>
      <c r="I346" s="2">
        <f>-1*[1]ישיר!$J350</f>
        <v>-19777</v>
      </c>
      <c r="J346" s="2">
        <f>-1*[1]ישיר!$AG350</f>
        <v>-956114</v>
      </c>
      <c r="K346" s="1">
        <f>-1*[1]ישיר!$AK350</f>
        <v>-59013</v>
      </c>
      <c r="L346" s="2">
        <f>-1*[1]ישיר!$Z350</f>
        <v>-162615</v>
      </c>
      <c r="M346" s="2">
        <f>[1]ישיר!$Y350</f>
        <v>1134255</v>
      </c>
      <c r="N346" s="39"/>
      <c r="O346" s="39"/>
    </row>
    <row r="347" spans="1:15" x14ac:dyDescent="0.2">
      <c r="A347" s="26">
        <v>45566</v>
      </c>
      <c r="B347" s="2">
        <f>[1]ישיר!B351</f>
        <v>22474903</v>
      </c>
      <c r="C347" s="1">
        <f>-1*[1]ישיר!$C351</f>
        <v>-1472729</v>
      </c>
      <c r="D347" s="3">
        <f>personal_labor_income_taxes!B347+C347</f>
        <v>21002174</v>
      </c>
      <c r="E347" s="38">
        <f>[1]ישיר!$F351</f>
        <v>12431164</v>
      </c>
      <c r="F347" s="2">
        <f>[1]ישיר!$V351</f>
        <v>8640453</v>
      </c>
      <c r="G347" s="2">
        <f>[1]ישיר!$H351</f>
        <v>1034697</v>
      </c>
      <c r="H347" s="2">
        <f>[1]ישיר!$I351</f>
        <v>900708</v>
      </c>
      <c r="I347" s="2">
        <f>-1*[1]ישיר!$J351</f>
        <v>-58802</v>
      </c>
      <c r="J347" s="2">
        <f>-1*[1]ישיר!$AG351</f>
        <v>-731031</v>
      </c>
      <c r="K347" s="1">
        <f>-1*[1]ישיר!$AK351</f>
        <v>-36035</v>
      </c>
      <c r="L347" s="2">
        <f>-1*[1]ישיר!$Z351</f>
        <v>-152580</v>
      </c>
      <c r="M347" s="2">
        <f>[1]ישיר!$Y351</f>
        <v>1151882</v>
      </c>
      <c r="N347" s="39"/>
      <c r="O347" s="39"/>
    </row>
    <row r="348" spans="1:15" x14ac:dyDescent="0.2">
      <c r="A348" s="26">
        <v>45597</v>
      </c>
      <c r="B348" s="2">
        <f>[1]ישיר!B352</f>
        <v>23680909</v>
      </c>
      <c r="C348" s="1">
        <f>-1*[1]ישיר!$C352</f>
        <v>-1808854</v>
      </c>
      <c r="D348" s="3">
        <f>personal_labor_income_taxes!B348+C348</f>
        <v>21872055</v>
      </c>
      <c r="E348" s="38">
        <f>[1]ישיר!$F352</f>
        <v>12670193</v>
      </c>
      <c r="F348" s="2">
        <f>[1]ישיר!$V352</f>
        <v>8782157</v>
      </c>
      <c r="G348" s="2">
        <f>[1]ישיר!$H352</f>
        <v>1729385</v>
      </c>
      <c r="H348" s="2">
        <f>[1]ישיר!$I352</f>
        <v>809501</v>
      </c>
      <c r="I348" s="2">
        <f>-1*[1]ישיר!$J352</f>
        <v>-30273</v>
      </c>
      <c r="J348" s="2">
        <f>-1*[1]ישיר!$AG352</f>
        <v>-762149</v>
      </c>
      <c r="K348" s="1">
        <f>-1*[1]ישיר!$AK352</f>
        <v>-54116</v>
      </c>
      <c r="L348" s="2">
        <f>-1*[1]ישיר!$Z352</f>
        <v>-136258</v>
      </c>
      <c r="M348" s="2">
        <f>[1]ישיר!$Y352</f>
        <v>1102551</v>
      </c>
      <c r="N348" s="39"/>
      <c r="O348" s="39"/>
    </row>
    <row r="349" spans="1:15" x14ac:dyDescent="0.2">
      <c r="A349" s="26">
        <v>45627</v>
      </c>
      <c r="B349" s="2">
        <f>[1]ישיר!B353</f>
        <v>24566000</v>
      </c>
      <c r="C349" s="1">
        <f>-1*[1]ישיר!$C353</f>
        <v>-2004897</v>
      </c>
      <c r="D349" s="3">
        <f>personal_labor_income_taxes!B349+C349</f>
        <v>22561103</v>
      </c>
      <c r="E349" s="38">
        <f>[1]ישיר!$F353</f>
        <v>14101417</v>
      </c>
      <c r="F349" s="2">
        <f>[1]ישיר!$V353</f>
        <v>8501824</v>
      </c>
      <c r="G349" s="2">
        <f>[1]ישיר!$H353</f>
        <v>1659731</v>
      </c>
      <c r="H349" s="2">
        <f>[1]ישיר!$I353</f>
        <v>1685163</v>
      </c>
      <c r="I349" s="2">
        <f>-1*[1]ישיר!$J353</f>
        <v>-23665</v>
      </c>
      <c r="J349" s="2">
        <f>-1*[1]ישיר!$AG353</f>
        <v>-849649</v>
      </c>
      <c r="K349" s="1">
        <f>-1*[1]ישיר!$AK353</f>
        <v>-52383</v>
      </c>
      <c r="L349" s="2">
        <f>-1*[1]ישיר!$Z353</f>
        <v>-135129</v>
      </c>
      <c r="M349" s="2">
        <f>[1]ישיר!$Y353</f>
        <v>1261960</v>
      </c>
      <c r="N349" s="39"/>
      <c r="O349" s="39"/>
    </row>
    <row r="350" spans="1:15" x14ac:dyDescent="0.2">
      <c r="A350" s="26">
        <v>45658</v>
      </c>
      <c r="B350" s="2">
        <f>[1]ישיר!B354</f>
        <v>46271412</v>
      </c>
      <c r="C350" s="1">
        <f>-1*[1]ישיר!$C354</f>
        <v>-2650193</v>
      </c>
      <c r="D350" s="3">
        <f>personal_labor_income_taxes!B350+C350</f>
        <v>43621219</v>
      </c>
      <c r="E350" s="38">
        <f>[1]ישיר!$F354</f>
        <v>25385959</v>
      </c>
      <c r="F350" s="2">
        <f>[1]ישיר!$V354</f>
        <v>11933758</v>
      </c>
      <c r="G350" s="2">
        <f>[1]ישיר!$H354</f>
        <v>21626</v>
      </c>
      <c r="H350" s="2">
        <f>[1]ישיר!$I354</f>
        <v>5570939</v>
      </c>
      <c r="I350" s="2">
        <f>-1*[1]ישיר!$J354</f>
        <v>-102024</v>
      </c>
      <c r="J350" s="2">
        <f>-1*[1]ישיר!$AG354</f>
        <v>-941924</v>
      </c>
      <c r="K350" s="1">
        <f>-1*[1]ישיר!$AK354</f>
        <v>-64714</v>
      </c>
      <c r="L350" s="2">
        <f>-1*[1]ישיר!$Z354</f>
        <v>-148074</v>
      </c>
      <c r="M350" s="2">
        <f>[1]ישיר!$Y354</f>
        <v>1112230</v>
      </c>
      <c r="N350" s="39"/>
      <c r="O350" s="39"/>
    </row>
    <row r="351" spans="1:15" x14ac:dyDescent="0.2">
      <c r="A351" s="26">
        <v>45689</v>
      </c>
      <c r="B351" s="2">
        <f>[1]ישיר!B355</f>
        <v>26464372</v>
      </c>
      <c r="C351" s="1">
        <f>-1*[1]ישיר!$C355</f>
        <v>-2472497</v>
      </c>
      <c r="D351" s="3">
        <f>personal_labor_income_taxes!B351+C351</f>
        <v>23991875</v>
      </c>
      <c r="E351" s="2">
        <f>[1]ישיר!$F355</f>
        <v>12823224</v>
      </c>
      <c r="F351" s="2">
        <f>[1]ישיר!$V355</f>
        <v>9206016</v>
      </c>
      <c r="G351" s="2">
        <f>[1]ישיר!$H355</f>
        <v>772793</v>
      </c>
      <c r="H351" s="2">
        <f>[1]ישיר!$I355</f>
        <v>1805103</v>
      </c>
      <c r="I351" s="2">
        <f>-1*[1]ישיר!$J355</f>
        <v>-27550</v>
      </c>
      <c r="J351" s="2">
        <f>-1*[1]ישיר!$AG355</f>
        <v>-683831</v>
      </c>
      <c r="K351" s="1">
        <f>-1*[1]ישיר!$AK355</f>
        <v>-61882</v>
      </c>
      <c r="L351" s="2">
        <f>-1*[1]ישיר!$Z355</f>
        <v>-144598</v>
      </c>
      <c r="M351" s="2">
        <f>[1]ישיר!$Y355</f>
        <v>1254018</v>
      </c>
    </row>
    <row r="352" spans="1:15" x14ac:dyDescent="0.2">
      <c r="A352" s="26">
        <v>45717</v>
      </c>
      <c r="B352" s="2">
        <f>[1]ישיר!B356</f>
        <v>27662217</v>
      </c>
      <c r="C352" s="1">
        <f>-1*[1]ישיר!$C356</f>
        <v>-3046244</v>
      </c>
      <c r="D352" s="3">
        <f>personal_labor_income_taxes!B352+C352</f>
        <v>24615973</v>
      </c>
      <c r="E352" s="2">
        <f>[1]ישיר!$F356</f>
        <v>14819584</v>
      </c>
      <c r="F352" s="2">
        <f>[1]ישיר!$V356</f>
        <v>10475358</v>
      </c>
      <c r="G352" s="2">
        <f>[1]ישיר!$H356</f>
        <v>1720447</v>
      </c>
      <c r="H352" s="2">
        <f>[1]ישיר!$I356</f>
        <v>1157684</v>
      </c>
      <c r="I352" s="2">
        <f>-1*[1]ישיר!$J356</f>
        <v>-20715</v>
      </c>
      <c r="J352" s="2">
        <f>-1*[1]ישיר!$AG356</f>
        <v>-692821</v>
      </c>
      <c r="K352" s="1">
        <f>-1*[1]ישיר!$AK356</f>
        <v>-73482</v>
      </c>
      <c r="L352" s="2">
        <f>-1*[1]ישיר!$Z356</f>
        <v>-156387</v>
      </c>
      <c r="M352" s="2">
        <f>[1]ישיר!$Y356</f>
        <v>1409695</v>
      </c>
    </row>
    <row r="353" spans="1:13" x14ac:dyDescent="0.2">
      <c r="A353" s="26">
        <v>45748</v>
      </c>
      <c r="B353" s="2">
        <f>[1]ישיר!B357</f>
        <v>27160161</v>
      </c>
      <c r="C353" s="1">
        <f>-1*[1]ישיר!$C357</f>
        <v>-1949051</v>
      </c>
      <c r="D353" s="3">
        <f>personal_labor_income_taxes!B353+C353</f>
        <v>25211110</v>
      </c>
      <c r="E353" s="2">
        <f>[1]ישיר!$F357</f>
        <v>16129295</v>
      </c>
      <c r="F353" s="2">
        <f>[1]ישיר!$V357</f>
        <v>11480943</v>
      </c>
      <c r="G353" s="2">
        <f>[1]ישיר!$H357</f>
        <v>975151</v>
      </c>
      <c r="H353" s="2">
        <f>[1]ישיר!$I357</f>
        <v>817702</v>
      </c>
      <c r="I353" s="2">
        <f>-1*[1]ישיר!$J357</f>
        <v>-15469</v>
      </c>
      <c r="J353" s="2">
        <f>-1*[1]ישיר!$AG357</f>
        <v>-626726</v>
      </c>
      <c r="K353" s="1">
        <f>-1*[1]ישיר!$AK357</f>
        <v>-60656</v>
      </c>
      <c r="L353" s="2">
        <f>-1*[1]ישיר!$Z357</f>
        <v>-257825</v>
      </c>
      <c r="M353" s="2">
        <f>[1]ישיר!$Y357</f>
        <v>1184838</v>
      </c>
    </row>
    <row r="354" spans="1:13" x14ac:dyDescent="0.2">
      <c r="A354" s="26">
        <v>45778</v>
      </c>
      <c r="B354" s="2">
        <f>[1]ישיר!B358</f>
        <v>26035395</v>
      </c>
      <c r="C354" s="1">
        <f>-1*[1]ישיר!$C358</f>
        <v>-2470074</v>
      </c>
      <c r="D354" s="3">
        <f>personal_labor_income_taxes!B354+C354</f>
        <v>23565321</v>
      </c>
      <c r="E354" s="2">
        <f>[1]ישיר!$F358</f>
        <v>13819286</v>
      </c>
      <c r="F354" s="2">
        <f>[1]ישיר!$V358</f>
        <v>9576817</v>
      </c>
      <c r="G354" s="2">
        <f>[1]ישיר!$H358</f>
        <v>1736039</v>
      </c>
      <c r="H354" s="2">
        <f>[1]ישיר!$I358</f>
        <v>966876</v>
      </c>
      <c r="I354" s="2">
        <f>-1*[1]ישיר!$J358</f>
        <v>-25197</v>
      </c>
      <c r="J354" s="2">
        <f>-1*[1]ישיר!$AG358</f>
        <v>-929588</v>
      </c>
      <c r="K354" s="1">
        <f>-1*[1]ישיר!$AK358</f>
        <v>-64743</v>
      </c>
      <c r="L354" s="2">
        <f>-1*[1]ישיר!$Z358</f>
        <v>-209494</v>
      </c>
      <c r="M354" s="2">
        <f>[1]ישיר!$Y358</f>
        <v>1168217</v>
      </c>
    </row>
    <row r="355" spans="1:13" x14ac:dyDescent="0.2">
      <c r="A355" s="26">
        <v>45809</v>
      </c>
      <c r="B355" s="2">
        <f>[1]ישיר!B359</f>
        <v>23016218</v>
      </c>
      <c r="C355" s="1">
        <f>-1*[1]ישיר!$C359</f>
        <v>-2269164</v>
      </c>
      <c r="D355" s="3">
        <f>personal_labor_income_taxes!B355+C355</f>
        <v>20747054</v>
      </c>
      <c r="E355" s="2">
        <f>[1]ישיר!$F359</f>
        <v>12689401</v>
      </c>
      <c r="F355" s="2">
        <f>[1]ישיר!$V359</f>
        <v>8793218</v>
      </c>
      <c r="G355" s="2">
        <f>[1]ישיר!$H359</f>
        <v>985635</v>
      </c>
      <c r="H355" s="2">
        <f>[1]ישיר!$I359</f>
        <v>866521</v>
      </c>
      <c r="I355" s="2">
        <f>-1*[1]ישיר!$J359</f>
        <v>-15166</v>
      </c>
      <c r="J355" s="2">
        <f>-1*[1]ישיר!$AG359</f>
        <v>-1023069</v>
      </c>
      <c r="K355" s="1">
        <f>-1*[1]ישיר!$AK359</f>
        <v>-73447</v>
      </c>
      <c r="L355" s="2">
        <f>-1*[1]ישיר!$Z359</f>
        <v>-217232</v>
      </c>
      <c r="M355" s="2">
        <f>[1]ישיר!$Y359</f>
        <v>1301482</v>
      </c>
    </row>
    <row r="356" spans="1:13" x14ac:dyDescent="0.2">
      <c r="A356" s="26">
        <v>45839</v>
      </c>
      <c r="B356" s="2">
        <f>[1]ישיר!B360</f>
        <v>30511194</v>
      </c>
      <c r="C356" s="1">
        <f>-1*[1]ישיר!$C360</f>
        <v>-2138798</v>
      </c>
      <c r="D356" s="3">
        <f>personal_labor_income_taxes!B356+C356</f>
        <v>28372396</v>
      </c>
      <c r="E356" s="2">
        <f>[1]ישיר!$F360</f>
        <v>16911891</v>
      </c>
      <c r="F356" s="2">
        <f>[1]ישיר!$V360</f>
        <v>11231618</v>
      </c>
      <c r="G356" s="2">
        <f>[1]ישיר!$H360</f>
        <v>1797964</v>
      </c>
      <c r="H356" s="2">
        <f>[1]ישיר!$I360</f>
        <v>1315338</v>
      </c>
      <c r="I356" s="2">
        <f>-1*[1]ישיר!$J360</f>
        <v>-26385</v>
      </c>
      <c r="J356" s="2">
        <f>-1*[1]ישיר!$AG360</f>
        <v>-1017813</v>
      </c>
      <c r="K356" s="1">
        <f>-1*[1]ישיר!$AK360</f>
        <v>-61074</v>
      </c>
      <c r="L356" s="2">
        <f>-1*[1]ישיר!$Z360</f>
        <v>-145635</v>
      </c>
      <c r="M356" s="2">
        <f>[1]ישיר!$Y360</f>
        <v>1463090</v>
      </c>
    </row>
    <row r="357" spans="1:13" x14ac:dyDescent="0.2">
      <c r="A357" s="26">
        <v>45870</v>
      </c>
      <c r="B357" s="2">
        <f>[1]ישיר!B361</f>
        <v>27453599</v>
      </c>
      <c r="C357" s="1">
        <f>-1*[1]ישיר!$C361</f>
        <v>-1730571</v>
      </c>
      <c r="D357" s="3">
        <f>personal_labor_income_taxes!B357+C357</f>
        <v>25723028</v>
      </c>
      <c r="E357" s="2">
        <f>[1]ישיר!$F361</f>
        <v>14990502</v>
      </c>
      <c r="F357" s="2">
        <f>[1]ישיר!$V361</f>
        <v>9909005</v>
      </c>
      <c r="G357" s="2">
        <f>[1]ישיר!$H361</f>
        <v>1358856</v>
      </c>
      <c r="H357" s="2">
        <f>[1]ישיר!$I361</f>
        <v>966885</v>
      </c>
      <c r="I357" s="2">
        <f>-1*[1]ישיר!$J361</f>
        <v>-33546</v>
      </c>
      <c r="J357" s="2">
        <f>-1*[1]ישיר!$AG361</f>
        <v>-888701</v>
      </c>
      <c r="K357" s="1">
        <f>-1*[1]ישיר!$AK361</f>
        <v>-102926</v>
      </c>
      <c r="L357" s="2">
        <f>-1*[1]ישיר!$Z361</f>
        <v>-167344</v>
      </c>
      <c r="M357" s="2">
        <f>[1]ישיר!$Y361</f>
        <v>1220514</v>
      </c>
    </row>
    <row r="358" spans="1:13" x14ac:dyDescent="0.2">
      <c r="A358" s="26">
        <v>45901</v>
      </c>
      <c r="B358" s="2">
        <f>[1]ישיר!B362</f>
        <v>27518009</v>
      </c>
      <c r="C358" s="1">
        <f>-1*[1]ישיר!$C362</f>
        <v>-1684421</v>
      </c>
      <c r="D358" s="3">
        <f>personal_labor_income_taxes!B358+C358</f>
        <v>25833588</v>
      </c>
      <c r="E358" s="2">
        <f>[1]ישיר!$F362</f>
        <v>14777890</v>
      </c>
      <c r="F358" s="2">
        <f>[1]ישיר!$V362</f>
        <v>10121066</v>
      </c>
      <c r="G358" s="2">
        <f>[1]ישיר!$H362</f>
        <v>2029099</v>
      </c>
      <c r="H358" s="2">
        <f>[1]ישיר!$I362</f>
        <v>1220622</v>
      </c>
      <c r="I358" s="2">
        <f>-1*[1]ישיר!$J362</f>
        <v>-17805</v>
      </c>
      <c r="J358" s="2">
        <f>-1*[1]ישיר!$AG362</f>
        <v>-871386</v>
      </c>
      <c r="K358" s="1">
        <f>-1*[1]ישיר!$AK362</f>
        <v>-57091</v>
      </c>
      <c r="L358" s="2">
        <f>-1*[1]ישיר!$Z362</f>
        <v>-161553</v>
      </c>
      <c r="M358" s="2">
        <f>[1]ישיר!$Y362</f>
        <v>1241483</v>
      </c>
    </row>
    <row r="359" spans="1:13" x14ac:dyDescent="0.2">
      <c r="A359" s="26">
        <v>45931</v>
      </c>
      <c r="B359" s="2">
        <f>[1]ישיר!B363</f>
        <v>24696956</v>
      </c>
      <c r="C359" s="1">
        <f>-1*[1]ישיר!$C363</f>
        <v>-1491496</v>
      </c>
      <c r="D359" s="3">
        <f>personal_labor_income_taxes!B359+C359</f>
        <v>23205460</v>
      </c>
      <c r="E359" s="2">
        <f>[1]ישיר!$F363</f>
        <v>14378585</v>
      </c>
      <c r="F359" s="2">
        <f>[1]ישיר!$V363</f>
        <v>9650893</v>
      </c>
      <c r="G359" s="2">
        <f>[1]ישיר!$H363</f>
        <v>1238847</v>
      </c>
      <c r="H359" s="2">
        <f>[1]ישיר!$I363</f>
        <v>664289</v>
      </c>
      <c r="I359" s="2">
        <f>-1*[1]ישיר!$J363</f>
        <v>-229088</v>
      </c>
      <c r="J359" s="2">
        <f>-1*[1]ישיר!$AG363</f>
        <v>-651110</v>
      </c>
      <c r="K359" s="1">
        <f>-1*[1]ישיר!$AK363</f>
        <v>-38300</v>
      </c>
      <c r="L359" s="2">
        <f>-1*[1]ישיר!$Z363</f>
        <v>-150519</v>
      </c>
      <c r="M359" s="2">
        <f>[1]ישיר!$Y363</f>
        <v>1264746</v>
      </c>
    </row>
    <row r="360" spans="1:13" x14ac:dyDescent="0.2">
      <c r="A360" s="26">
        <v>45962</v>
      </c>
      <c r="B360" s="2">
        <f>[1]ישיר!B364</f>
        <v>27509873</v>
      </c>
      <c r="C360" s="1">
        <f>-1*[1]ישיר!$C364</f>
        <v>-1692247</v>
      </c>
      <c r="D360" s="3">
        <f>personal_labor_income_taxes!B360+C360</f>
        <v>25817626</v>
      </c>
      <c r="E360" s="2">
        <f>[1]ישיר!$F364</f>
        <v>14520099</v>
      </c>
      <c r="F360" s="2">
        <f>[1]ישיר!$V364</f>
        <v>9901664</v>
      </c>
      <c r="G360" s="2">
        <f>[1]ישיר!$H364</f>
        <v>1806855</v>
      </c>
      <c r="H360" s="2">
        <f>[1]ישיר!$I364</f>
        <v>1135304</v>
      </c>
      <c r="I360" s="2">
        <f>-1*[1]ישיר!$J364</f>
        <v>-18749</v>
      </c>
      <c r="J360" s="2">
        <f>-1*[1]ישיר!$AG364</f>
        <v>-805375</v>
      </c>
      <c r="K360" s="1">
        <f>-1*[1]ישיר!$AK364</f>
        <v>-63723</v>
      </c>
      <c r="L360" s="2">
        <f>-1*[1]ישיר!$Z364</f>
        <v>-164047</v>
      </c>
      <c r="M360" s="2">
        <f>[1]ישיר!$Y364</f>
        <v>1125128</v>
      </c>
    </row>
    <row r="361" spans="1:13" x14ac:dyDescent="0.2">
      <c r="A361" s="26">
        <v>45992</v>
      </c>
      <c r="B361" s="2">
        <f>[1]ישיר!B365</f>
        <v>29231114</v>
      </c>
      <c r="C361" s="1">
        <f>-1*[1]ישיר!$C365</f>
        <v>-3257144</v>
      </c>
      <c r="D361" s="3">
        <f>personal_labor_income_taxes!B361+C361</f>
        <v>25973970</v>
      </c>
      <c r="E361" s="2">
        <f>[1]ישיר!$F365</f>
        <v>17192898</v>
      </c>
      <c r="F361" s="2">
        <f>[1]ישיר!$V365</f>
        <v>9648170</v>
      </c>
      <c r="G361" s="2">
        <f>[1]ישיר!$H365</f>
        <v>1341710</v>
      </c>
      <c r="H361" s="2">
        <f>[1]ישיר!$I365</f>
        <v>1276854</v>
      </c>
      <c r="I361" s="2">
        <f>-1*[1]ישיר!$J365</f>
        <v>-22752</v>
      </c>
      <c r="J361" s="2">
        <f>-1*[1]ישיר!$AG365</f>
        <v>-1012818</v>
      </c>
      <c r="K361" s="1">
        <f>-1*[1]ישיר!$AK365</f>
        <v>-58207</v>
      </c>
      <c r="L361" s="2">
        <f>-1*[1]ישיר!$Z365</f>
        <v>-150358</v>
      </c>
      <c r="M361" s="2">
        <f>[1]ישיר!$Y365</f>
        <v>1353721</v>
      </c>
    </row>
    <row r="362" spans="1:13" x14ac:dyDescent="0.2">
      <c r="A362" s="26">
        <v>46023</v>
      </c>
      <c r="B362" s="2">
        <f>[1]ישיר!B366</f>
        <v>40177986</v>
      </c>
      <c r="C362" s="1">
        <f>-1*[1]ישיר!$C366</f>
        <v>-2401320</v>
      </c>
      <c r="D362" s="3">
        <f>personal_labor_income_taxes!B362+C362</f>
        <v>37776666</v>
      </c>
      <c r="E362" s="2">
        <f>[1]ישיר!$F366</f>
        <v>20694236</v>
      </c>
      <c r="F362" s="2">
        <f>[1]ישיר!$V366</f>
        <v>12408320</v>
      </c>
      <c r="G362" s="2">
        <f>[1]ישיר!$H366</f>
        <v>62348</v>
      </c>
      <c r="H362" s="2">
        <f>[1]ישיר!$I366</f>
        <v>6608604</v>
      </c>
      <c r="I362" s="2">
        <f>-1*[1]ישיר!$J366</f>
        <v>-796053</v>
      </c>
      <c r="J362" s="2">
        <f>-1*[1]ישיר!$AG366</f>
        <v>-908834</v>
      </c>
      <c r="K362" s="1">
        <f>-1*[1]ישיר!$AK366</f>
        <v>-126400</v>
      </c>
      <c r="L362" s="2">
        <f>-1*[1]ישיר!$Z366</f>
        <v>-143409</v>
      </c>
      <c r="M362" s="2">
        <f>[1]ישיר!$Y366</f>
        <v>1082493</v>
      </c>
    </row>
    <row r="363" spans="1:13" x14ac:dyDescent="0.2">
      <c r="A363" s="26">
        <v>46054</v>
      </c>
      <c r="B363" s="2">
        <f>[1]ישיר!B367</f>
        <v>30579938</v>
      </c>
      <c r="C363" s="1">
        <f>-1*[1]ישיר!$C367</f>
        <v>-2532356</v>
      </c>
      <c r="D363" s="3">
        <f>personal_labor_income_taxes!B363+C363</f>
        <v>28047582</v>
      </c>
      <c r="E363" s="2">
        <f>[1]ישיר!$F367</f>
        <v>15514690</v>
      </c>
      <c r="F363" s="2">
        <f>[1]ישיר!$V367</f>
        <v>9902100</v>
      </c>
      <c r="G363" s="2">
        <f>[1]ישיר!$H367</f>
        <v>1145548</v>
      </c>
      <c r="H363" s="2">
        <f>[1]ישיר!$I367</f>
        <v>2323824</v>
      </c>
      <c r="I363" s="2">
        <f>-1*[1]ישיר!$J367</f>
        <v>-58603</v>
      </c>
      <c r="J363" s="2">
        <f>-1*[1]ישיר!$AG367</f>
        <v>-724204</v>
      </c>
      <c r="K363" s="1">
        <f>-1*[1]ישיר!$AK367</f>
        <v>-58017</v>
      </c>
      <c r="L363" s="2">
        <f>-1*[1]ישיר!$Z367</f>
        <v>-153719</v>
      </c>
      <c r="M363" s="2">
        <f>[1]ישיר!$Y367</f>
        <v>1377654</v>
      </c>
    </row>
    <row r="364" spans="1:13" x14ac:dyDescent="0.2">
      <c r="A364" s="26">
        <v>46082</v>
      </c>
      <c r="B364" s="2">
        <f>[1]ישיר!B368</f>
        <v>38173981</v>
      </c>
      <c r="C364" s="1">
        <f>-1*[1]ישיר!$C368</f>
        <v>-3755600</v>
      </c>
      <c r="D364" s="3">
        <f>personal_labor_income_taxes!B364+C364</f>
        <v>34418381</v>
      </c>
      <c r="E364" s="2">
        <f>[1]ישיר!$F368</f>
        <v>24741347</v>
      </c>
      <c r="F364" s="2">
        <f>[1]ישיר!$V368</f>
        <v>17032986</v>
      </c>
      <c r="G364" s="2">
        <f>[1]ישיר!$H368</f>
        <v>1563180</v>
      </c>
      <c r="H364" s="2">
        <f>[1]ישיר!$I368</f>
        <v>1136640</v>
      </c>
      <c r="I364" s="2">
        <f>-1*[1]ישיר!$J368</f>
        <v>-24961</v>
      </c>
      <c r="J364" s="2">
        <f>-1*[1]ישיר!$AG368</f>
        <v>-925949</v>
      </c>
      <c r="K364" s="1">
        <f>-1*[1]ישיר!$AK368</f>
        <v>-64771</v>
      </c>
      <c r="L364" s="2">
        <f>-1*[1]ישיר!$Z368</f>
        <v>-157939</v>
      </c>
      <c r="M364" s="2">
        <f>[1]ישיר!$Y368</f>
        <v>1291217</v>
      </c>
    </row>
    <row r="365" spans="1:13" x14ac:dyDescent="0.2">
      <c r="A365" s="26">
        <v>46113</v>
      </c>
      <c r="B365" s="2">
        <f>[1]ישיר!B369</f>
        <v>31122821</v>
      </c>
      <c r="C365" s="1">
        <f>-1*[1]ישיר!$C369</f>
        <v>-1598434</v>
      </c>
      <c r="D365" s="3">
        <f>personal_labor_income_taxes!B365+C365</f>
        <v>29524387</v>
      </c>
      <c r="E365" s="2">
        <f>[1]ישיר!$F369</f>
        <v>19391474</v>
      </c>
      <c r="F365" s="2">
        <f>[1]ישיר!$V369</f>
        <v>14637002</v>
      </c>
      <c r="G365" s="2">
        <f>[1]ישיר!$H369</f>
        <v>1281896</v>
      </c>
      <c r="H365" s="2">
        <f>[1]ישיר!$I369</f>
        <v>1084637</v>
      </c>
      <c r="I365" s="2">
        <f>-1*[1]ישיר!$J369</f>
        <v>-11235</v>
      </c>
      <c r="J365" s="2">
        <f>-1*[1]ישיר!$AG369</f>
        <v>-471351</v>
      </c>
      <c r="K365" s="1">
        <f>-1*[1]ישיר!$AK369</f>
        <v>-46488</v>
      </c>
      <c r="L365" s="2">
        <f>-1*[1]ישיר!$Z369</f>
        <v>-165937</v>
      </c>
      <c r="M365" s="2">
        <f>[1]ישיר!$Y369</f>
        <v>1192012</v>
      </c>
    </row>
    <row r="366" spans="1:13" x14ac:dyDescent="0.2">
      <c r="A366" s="26">
        <v>46143</v>
      </c>
      <c r="C366" s="1"/>
      <c r="D366" s="3"/>
      <c r="K36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CEE9-7103-4690-8C73-EAFB75D4FE34}">
  <dimension ref="A1:J365"/>
  <sheetViews>
    <sheetView topLeftCell="A356" workbookViewId="0">
      <selection activeCell="D363" sqref="D363"/>
    </sheetView>
  </sheetViews>
  <sheetFormatPr defaultRowHeight="14.25" x14ac:dyDescent="0.2"/>
  <cols>
    <col min="1" max="1" width="10.375" style="26" bestFit="1" customWidth="1"/>
    <col min="2" max="2" width="10.5" style="2" bestFit="1" customWidth="1"/>
    <col min="3" max="3" width="11.5" style="2" bestFit="1" customWidth="1"/>
    <col min="4" max="4" width="20.5" style="2" bestFit="1" customWidth="1"/>
    <col min="5" max="5" width="11.5" style="2" bestFit="1" customWidth="1"/>
    <col min="6" max="6" width="16.375" style="2" bestFit="1" customWidth="1"/>
    <col min="7" max="7" width="9.5" style="2" bestFit="1" customWidth="1"/>
    <col min="8" max="8" width="10.5" style="2" bestFit="1" customWidth="1"/>
    <col min="9" max="9" width="21.75" style="2" bestFit="1" customWidth="1"/>
    <col min="10" max="10" width="10.5" style="2" bestFit="1" customWidth="1"/>
  </cols>
  <sheetData>
    <row r="1" spans="1:10" ht="128.25" x14ac:dyDescent="0.2">
      <c r="A1" s="9" t="s">
        <v>42</v>
      </c>
      <c r="B1" s="29" t="s">
        <v>6</v>
      </c>
      <c r="C1" s="29" t="s">
        <v>7</v>
      </c>
      <c r="D1" t="s">
        <v>8</v>
      </c>
      <c r="E1" s="29" t="s">
        <v>38</v>
      </c>
      <c r="F1" t="s">
        <v>40</v>
      </c>
      <c r="G1" s="29" t="s">
        <v>11</v>
      </c>
      <c r="H1" s="29" t="s">
        <v>15</v>
      </c>
      <c r="I1" t="s">
        <v>12</v>
      </c>
      <c r="J1" s="29" t="s">
        <v>16</v>
      </c>
    </row>
    <row r="2" spans="1:10" x14ac:dyDescent="0.2">
      <c r="A2" s="26">
        <v>35065</v>
      </c>
      <c r="B2" s="2">
        <f>'[1]ישיר מתוקן'!$K6</f>
        <v>26460</v>
      </c>
      <c r="C2" s="2">
        <f>'[1]ישיר מתוקן'!$L6</f>
        <v>936207</v>
      </c>
      <c r="D2" s="2">
        <f>-1*'[1]ישיר מתוקן'!$M6</f>
        <v>-5875</v>
      </c>
      <c r="E2" s="2">
        <f>'[1]ישיר מתוקן'!$E6</f>
        <v>1576274</v>
      </c>
      <c r="F2" s="2">
        <f>-1*'[1]ישיר מתוקן'!$AF6</f>
        <v>-541940</v>
      </c>
      <c r="G2" s="2">
        <f>'[1]ישיר מתוקן'!$AA6</f>
        <v>70820</v>
      </c>
      <c r="H2" s="2">
        <f>'[1]ישיר מתוקן'!$AD6</f>
        <v>13941</v>
      </c>
      <c r="I2" s="2">
        <f>-1*'[1]ישיר מתוקן'!$AE6</f>
        <v>-33284</v>
      </c>
      <c r="J2" s="2">
        <f>'[1]ישיר מתוקן'!$W6</f>
        <v>224948</v>
      </c>
    </row>
    <row r="3" spans="1:10" x14ac:dyDescent="0.2">
      <c r="A3" s="26">
        <v>35096</v>
      </c>
      <c r="B3" s="2">
        <f>'[1]ישיר מתוקן'!$K7</f>
        <v>723337</v>
      </c>
      <c r="C3" s="2">
        <f>'[1]ישיר מתוקן'!$L7</f>
        <v>688298</v>
      </c>
      <c r="D3" s="2">
        <f>-1*'[1]ישיר מתוקן'!$M7</f>
        <v>-217032</v>
      </c>
      <c r="E3" s="2">
        <f>'[1]ישיר מתוקן'!$E7</f>
        <v>1716840</v>
      </c>
      <c r="F3" s="2">
        <f>-1*'[1]ישיר מתוקן'!$AF7</f>
        <v>-342359</v>
      </c>
      <c r="G3" s="2">
        <f>'[1]ישיר מתוקן'!$AA7</f>
        <v>41306</v>
      </c>
      <c r="H3" s="2">
        <f>'[1]ישיר מתוקן'!$AD7</f>
        <v>17812</v>
      </c>
      <c r="I3" s="2">
        <f>-1*'[1]ישיר מתוקן'!$AE7</f>
        <v>-34953</v>
      </c>
      <c r="J3" s="2">
        <f>'[1]ישיר מתוקן'!$W7</f>
        <v>191896</v>
      </c>
    </row>
    <row r="4" spans="1:10" x14ac:dyDescent="0.2">
      <c r="A4" s="26">
        <v>35125</v>
      </c>
      <c r="B4" s="2">
        <f>'[1]ישיר מתוקן'!$K8</f>
        <v>730004</v>
      </c>
      <c r="C4" s="2">
        <f>'[1]ישיר מתוקן'!$L8</f>
        <v>205284</v>
      </c>
      <c r="D4" s="2">
        <f>-1*'[1]ישיר מתוקן'!$M8</f>
        <v>-2119</v>
      </c>
      <c r="E4" s="2">
        <f>'[1]ישיר מתוקן'!$E8</f>
        <v>1487508</v>
      </c>
      <c r="F4" s="2">
        <f>-1*'[1]ישיר מתוקן'!$AF8</f>
        <v>-246389</v>
      </c>
      <c r="G4" s="2">
        <f>'[1]ישיר מתוקן'!$AA8</f>
        <v>44452</v>
      </c>
      <c r="H4" s="2">
        <f>'[1]ישיר מתוקן'!$AD8</f>
        <v>20135</v>
      </c>
      <c r="I4" s="2">
        <f>-1*'[1]ישיר מתוקן'!$AE8</f>
        <v>-19980</v>
      </c>
      <c r="J4" s="2">
        <f>'[1]ישיר מתוקן'!$W8</f>
        <v>194206</v>
      </c>
    </row>
    <row r="5" spans="1:10" x14ac:dyDescent="0.2">
      <c r="A5" s="26">
        <v>35156</v>
      </c>
      <c r="B5" s="2">
        <f>'[1]ישיר מתוקן'!$K9</f>
        <v>757856</v>
      </c>
      <c r="C5" s="2">
        <f>'[1]ישיר מתוקן'!$L9</f>
        <v>187120</v>
      </c>
      <c r="D5" s="2">
        <f>-1*'[1]ישיר מתוקן'!$M9</f>
        <v>-4237</v>
      </c>
      <c r="E5" s="2">
        <f>'[1]ישיר מתוקן'!$E9</f>
        <v>1335357</v>
      </c>
      <c r="F5" s="2">
        <f>-1*'[1]ישיר מתוקן'!$AF9</f>
        <v>-272817</v>
      </c>
      <c r="G5" s="2">
        <f>'[1]ישיר מתוקן'!$AA9</f>
        <v>42520</v>
      </c>
      <c r="H5" s="2">
        <f>'[1]ישיר מתוקן'!$AD9</f>
        <v>13139</v>
      </c>
      <c r="I5" s="2">
        <f>-1*'[1]ישיר מתוקן'!$AE9</f>
        <v>-20970</v>
      </c>
      <c r="J5" s="2">
        <f>'[1]ישיר מתוקן'!$W9</f>
        <v>172525</v>
      </c>
    </row>
    <row r="6" spans="1:10" x14ac:dyDescent="0.2">
      <c r="A6" s="26">
        <v>35186</v>
      </c>
      <c r="B6" s="2">
        <f>'[1]ישיר מתוקן'!$K10</f>
        <v>700649</v>
      </c>
      <c r="C6" s="2">
        <f>'[1]ישיר מתוקן'!$L10</f>
        <v>202258</v>
      </c>
      <c r="D6" s="2">
        <f>-1*'[1]ישיר מתוקן'!$M10</f>
        <v>-2612</v>
      </c>
      <c r="E6" s="2">
        <f>'[1]ישיר מתוקן'!$E10</f>
        <v>1437865</v>
      </c>
      <c r="F6" s="2">
        <f>-1*'[1]ישיר מתוקן'!$AF10</f>
        <v>-145617</v>
      </c>
      <c r="G6" s="2">
        <f>'[1]ישיר מתוקן'!$AA10</f>
        <v>47858</v>
      </c>
      <c r="H6" s="2">
        <f>'[1]ישיר מתוקן'!$AD10</f>
        <v>28679</v>
      </c>
      <c r="I6" s="2">
        <f>-1*'[1]ישיר מתוקן'!$AE10</f>
        <v>-18950</v>
      </c>
      <c r="J6" s="2">
        <f>'[1]ישיר מתוקן'!$W10</f>
        <v>188355</v>
      </c>
    </row>
    <row r="7" spans="1:10" x14ac:dyDescent="0.2">
      <c r="A7" s="26">
        <v>35217</v>
      </c>
      <c r="B7" s="2">
        <f>'[1]ישיר מתוקן'!$K11</f>
        <v>761807</v>
      </c>
      <c r="C7" s="2">
        <f>'[1]ישיר מתוקן'!$L11</f>
        <v>132306</v>
      </c>
      <c r="D7" s="2">
        <f>-1*'[1]ישיר מתוקן'!$M11</f>
        <v>-4398</v>
      </c>
      <c r="E7" s="2">
        <f>'[1]ישיר מתוקן'!$E11</f>
        <v>1362366</v>
      </c>
      <c r="F7" s="2">
        <f>-1*'[1]ישיר מתוקן'!$AF11</f>
        <v>-92471</v>
      </c>
      <c r="G7" s="2">
        <f>'[1]ישיר מתוקן'!$AA11</f>
        <v>42387</v>
      </c>
      <c r="H7" s="2">
        <f>'[1]ישיר מתוקן'!$AD11</f>
        <v>15510</v>
      </c>
      <c r="I7" s="2">
        <f>-1*'[1]ישיר מתוקן'!$AE11</f>
        <v>-16134</v>
      </c>
      <c r="J7" s="2">
        <f>'[1]ישיר מתוקן'!$W11</f>
        <v>170777</v>
      </c>
    </row>
    <row r="8" spans="1:10" x14ac:dyDescent="0.2">
      <c r="A8" s="26">
        <v>35247</v>
      </c>
      <c r="B8" s="2">
        <f>'[1]ישיר מתוקן'!$K12</f>
        <v>758705</v>
      </c>
      <c r="C8" s="2">
        <f>'[1]ישיר מתוקן'!$L12</f>
        <v>322943</v>
      </c>
      <c r="D8" s="2">
        <f>-1*'[1]ישיר מתוקן'!$M12</f>
        <v>-4800</v>
      </c>
      <c r="E8" s="2">
        <f>'[1]ישיר מתוקן'!$E12</f>
        <v>1664682</v>
      </c>
      <c r="F8" s="2">
        <f>-1*'[1]ישיר מתוקן'!$AF12</f>
        <v>-224900</v>
      </c>
      <c r="G8" s="2">
        <f>'[1]ישיר מתוקן'!$AA12</f>
        <v>47745</v>
      </c>
      <c r="H8" s="2">
        <f>'[1]ישיר מתוקן'!$AD12</f>
        <v>25125</v>
      </c>
      <c r="I8" s="2">
        <f>-1*'[1]ישיר מתוקן'!$AE12</f>
        <v>-33700</v>
      </c>
      <c r="J8" s="2">
        <f>'[1]ישיר מתוקן'!$W12</f>
        <v>204018</v>
      </c>
    </row>
    <row r="9" spans="1:10" x14ac:dyDescent="0.2">
      <c r="A9" s="26">
        <v>35278</v>
      </c>
      <c r="B9" s="2">
        <f>'[1]ישיר מתוקן'!$K13</f>
        <v>744798</v>
      </c>
      <c r="C9" s="2">
        <f>'[1]ישיר מתוקן'!$L13</f>
        <v>134586</v>
      </c>
      <c r="D9" s="2">
        <f>-1*'[1]ישיר מתוקן'!$M13</f>
        <v>-4613</v>
      </c>
      <c r="E9" s="2">
        <f>'[1]ישיר מתוקן'!$E13</f>
        <v>1346314</v>
      </c>
      <c r="F9" s="2">
        <f>-1*'[1]ישיר מתוקן'!$AF13</f>
        <v>-240129</v>
      </c>
      <c r="G9" s="2">
        <f>'[1]ישיר מתוקן'!$AA13</f>
        <v>49167</v>
      </c>
      <c r="H9" s="2">
        <f>'[1]ישיר מתוקן'!$AD13</f>
        <v>28107</v>
      </c>
      <c r="I9" s="2">
        <f>-1*'[1]ישיר מתוקן'!$AE13</f>
        <v>-48232</v>
      </c>
      <c r="J9" s="2">
        <f>'[1]ישיר מתוקן'!$W13</f>
        <v>206173</v>
      </c>
    </row>
    <row r="10" spans="1:10" x14ac:dyDescent="0.2">
      <c r="A10" s="26">
        <v>35309</v>
      </c>
      <c r="B10" s="2">
        <f>'[1]ישיר מתוקן'!$K14</f>
        <v>796276</v>
      </c>
      <c r="C10" s="2">
        <f>'[1]ישיר מתוקן'!$L14</f>
        <v>143980</v>
      </c>
      <c r="D10" s="2">
        <f>-1*'[1]ישיר מתוקן'!$M14</f>
        <v>-1683</v>
      </c>
      <c r="E10" s="2">
        <f>'[1]ישיר מתוקן'!$E14</f>
        <v>1563365</v>
      </c>
      <c r="F10" s="2">
        <f>-1*'[1]ישיר מתוקן'!$AF14</f>
        <v>-190784</v>
      </c>
      <c r="G10" s="2">
        <f>'[1]ישיר מתוקן'!$AA14</f>
        <v>53036</v>
      </c>
      <c r="H10" s="2">
        <f>'[1]ישיר מתוקן'!$AD14</f>
        <v>11375</v>
      </c>
      <c r="I10" s="2">
        <f>-1*'[1]ישיר מתוקן'!$AE14</f>
        <v>-26444</v>
      </c>
      <c r="J10" s="2">
        <f>'[1]ישיר מתוקן'!$W14</f>
        <v>221720</v>
      </c>
    </row>
    <row r="11" spans="1:10" x14ac:dyDescent="0.2">
      <c r="A11" s="26">
        <v>35339</v>
      </c>
      <c r="B11" s="2">
        <f>'[1]ישיר מתוקן'!$K15</f>
        <v>821045</v>
      </c>
      <c r="C11" s="2">
        <f>'[1]ישיר מתוקן'!$L15</f>
        <v>179332</v>
      </c>
      <c r="D11" s="2">
        <f>-1*'[1]ישיר מתוקן'!$M15</f>
        <v>-2749</v>
      </c>
      <c r="E11" s="2">
        <f>'[1]ישיר מתוקן'!$E15</f>
        <v>1435500</v>
      </c>
      <c r="F11" s="2">
        <f>-1*'[1]ישיר מתוקן'!$AF15</f>
        <v>-263434</v>
      </c>
      <c r="G11" s="2">
        <f>'[1]ישיר מתוקן'!$AA15</f>
        <v>50828</v>
      </c>
      <c r="H11" s="2">
        <f>'[1]ישיר מתוקן'!$AD15</f>
        <v>26147</v>
      </c>
      <c r="I11" s="2">
        <f>-1*'[1]ישיר מתוקן'!$AE15</f>
        <v>-39537</v>
      </c>
      <c r="J11" s="2">
        <f>'[1]ישיר מתוקן'!$W15</f>
        <v>192588</v>
      </c>
    </row>
    <row r="12" spans="1:10" x14ac:dyDescent="0.2">
      <c r="A12" s="26">
        <v>35370</v>
      </c>
      <c r="B12" s="2">
        <f>'[1]ישיר מתוקן'!$K16</f>
        <v>920990</v>
      </c>
      <c r="C12" s="2">
        <f>'[1]ישיר מתוקן'!$L16</f>
        <v>151525</v>
      </c>
      <c r="D12" s="2">
        <f>-1*'[1]ישיר מתוקן'!$M16</f>
        <v>-3392</v>
      </c>
      <c r="E12" s="2">
        <f>'[1]ישיר מתוקן'!$E16</f>
        <v>1723506</v>
      </c>
      <c r="F12" s="2">
        <f>-1*'[1]ישיר מתוקן'!$AF16</f>
        <v>-368163</v>
      </c>
      <c r="G12" s="2">
        <f>'[1]ישיר מתוקן'!$AA16</f>
        <v>55482</v>
      </c>
      <c r="H12" s="2">
        <f>'[1]ישיר מתוקן'!$AD16</f>
        <v>10748</v>
      </c>
      <c r="I12" s="2">
        <f>-1*'[1]ישיר מתוקן'!$AE16</f>
        <v>-17232</v>
      </c>
      <c r="J12" s="2">
        <f>'[1]ישיר מתוקן'!$W16</f>
        <v>217304</v>
      </c>
    </row>
    <row r="13" spans="1:10" x14ac:dyDescent="0.2">
      <c r="A13" s="26">
        <v>35400</v>
      </c>
      <c r="B13" s="2">
        <f>'[1]ישיר מתוקן'!$K17</f>
        <v>624866</v>
      </c>
      <c r="C13" s="2">
        <f>'[1]ישיר מתוקן'!$L17</f>
        <v>211001</v>
      </c>
      <c r="D13" s="2">
        <f>-1*'[1]ישיר מתוקן'!$M17</f>
        <v>-3023</v>
      </c>
      <c r="E13" s="2">
        <f>'[1]ישיר מתוקן'!$E17</f>
        <v>1278939</v>
      </c>
      <c r="F13" s="2">
        <f>-1*'[1]ישיר מתוקן'!$AF17</f>
        <v>-537046</v>
      </c>
      <c r="G13" s="2">
        <f>'[1]ישיר מתוקן'!$AA17</f>
        <v>51927</v>
      </c>
      <c r="H13" s="2">
        <f>'[1]ישיר מתוקן'!$AD17</f>
        <v>19501</v>
      </c>
      <c r="I13" s="2">
        <f>-1*'[1]ישיר מתוקן'!$AE17</f>
        <v>-14188</v>
      </c>
      <c r="J13" s="2">
        <f>'[1]ישיר מתוקן'!$W17</f>
        <v>183138</v>
      </c>
    </row>
    <row r="14" spans="1:10" x14ac:dyDescent="0.2">
      <c r="A14" s="26">
        <v>35431</v>
      </c>
      <c r="B14" s="2">
        <f>'[1]ישיר מתוקן'!$K18</f>
        <v>32151</v>
      </c>
      <c r="C14" s="2">
        <f>'[1]ישיר מתוקן'!$L18</f>
        <v>1070048</v>
      </c>
      <c r="D14" s="2">
        <f>-1*'[1]ישיר מתוקן'!$M18</f>
        <v>-3016</v>
      </c>
      <c r="E14" s="2">
        <f>'[1]ישיר מתוקן'!$E18</f>
        <v>1798056</v>
      </c>
      <c r="F14" s="2">
        <f>-1*'[1]ישיר מתוקן'!$AF18</f>
        <v>-323040</v>
      </c>
      <c r="G14" s="2">
        <f>'[1]ישיר מתוקן'!$AA18</f>
        <v>85327</v>
      </c>
      <c r="H14" s="2">
        <f>'[1]ישיר מתוקן'!$AD18</f>
        <v>45298</v>
      </c>
      <c r="I14" s="2">
        <f>-1*'[1]ישיר מתוקן'!$AE18</f>
        <v>-38336</v>
      </c>
      <c r="J14" s="2">
        <f>'[1]ישיר מתוקן'!$W18</f>
        <v>270770</v>
      </c>
    </row>
    <row r="15" spans="1:10" x14ac:dyDescent="0.2">
      <c r="A15" s="26">
        <v>35462</v>
      </c>
      <c r="B15" s="2">
        <f>'[1]ישיר מתוקן'!$K19</f>
        <v>821461</v>
      </c>
      <c r="C15" s="2">
        <f>'[1]ישיר מתוקן'!$L19</f>
        <v>682180</v>
      </c>
      <c r="D15" s="2">
        <f>-1*'[1]ישיר מתוקן'!$M19</f>
        <v>-3885</v>
      </c>
      <c r="E15" s="2">
        <f>'[1]ישיר מתוקן'!$E19</f>
        <v>2042972</v>
      </c>
      <c r="F15" s="2">
        <f>-1*'[1]ישיר מתוקן'!$AF19</f>
        <v>-409614</v>
      </c>
      <c r="G15" s="2">
        <f>'[1]ישיר מתוקן'!$AA19</f>
        <v>45220</v>
      </c>
      <c r="H15" s="2">
        <f>'[1]ישיר מתוקן'!$AD19</f>
        <v>12796</v>
      </c>
      <c r="I15" s="2">
        <f>-1*'[1]ישיר מתוקן'!$AE19</f>
        <v>-34611</v>
      </c>
      <c r="J15" s="2">
        <f>'[1]ישיר מתוקן'!$W19</f>
        <v>217761</v>
      </c>
    </row>
    <row r="16" spans="1:10" x14ac:dyDescent="0.2">
      <c r="A16" s="26">
        <v>35490</v>
      </c>
      <c r="B16" s="2">
        <f>'[1]ישיר מתוקן'!$K20</f>
        <v>860815</v>
      </c>
      <c r="C16" s="2">
        <f>'[1]ישיר מתוקן'!$L20</f>
        <v>301767</v>
      </c>
      <c r="D16" s="2">
        <f>-1*'[1]ישיר מתוקן'!$M20</f>
        <v>-3386</v>
      </c>
      <c r="E16" s="2">
        <f>'[1]ישיר מתוקן'!$E20</f>
        <v>1749877</v>
      </c>
      <c r="F16" s="2">
        <f>-1*'[1]ישיר מתוקן'!$AF20</f>
        <v>-248324</v>
      </c>
      <c r="G16" s="2">
        <f>'[1]ישיר מתוקן'!$AA20</f>
        <v>52280</v>
      </c>
      <c r="H16" s="2">
        <f>'[1]ישיר מתוקן'!$AD20</f>
        <v>26907</v>
      </c>
      <c r="I16" s="2">
        <f>-1*'[1]ישיר מתוקן'!$AE20</f>
        <v>-60798</v>
      </c>
      <c r="J16" s="2">
        <f>'[1]ישיר מתוקן'!$W20</f>
        <v>217669</v>
      </c>
    </row>
    <row r="17" spans="1:10" x14ac:dyDescent="0.2">
      <c r="A17" s="26">
        <v>35521</v>
      </c>
      <c r="B17" s="2">
        <f>'[1]ישיר מתוקן'!$K21</f>
        <v>943379</v>
      </c>
      <c r="C17" s="2">
        <f>'[1]ישיר מתוקן'!$L21</f>
        <v>208767</v>
      </c>
      <c r="D17" s="2">
        <f>-1*'[1]ישיר מתוקן'!$M21</f>
        <v>-1246</v>
      </c>
      <c r="E17" s="2">
        <f>'[1]ישיר מתוקן'!$E21</f>
        <v>1577755</v>
      </c>
      <c r="F17" s="2">
        <f>-1*'[1]ישיר מתוקן'!$AF21</f>
        <v>-97453</v>
      </c>
      <c r="G17" s="2">
        <f>'[1]ישיר מתוקן'!$AA21</f>
        <v>47935</v>
      </c>
      <c r="H17" s="2">
        <f>'[1]ישיר מתוקן'!$AD21</f>
        <v>14428</v>
      </c>
      <c r="I17" s="2">
        <f>-1*'[1]ישיר מתוקן'!$AE21</f>
        <v>-100842</v>
      </c>
      <c r="J17" s="2">
        <f>'[1]ישיר מתוקן'!$W21</f>
        <v>183250</v>
      </c>
    </row>
    <row r="18" spans="1:10" x14ac:dyDescent="0.2">
      <c r="A18" s="26">
        <v>35551</v>
      </c>
      <c r="B18" s="2">
        <f>'[1]ישיר מתוקן'!$K22</f>
        <v>928637</v>
      </c>
      <c r="C18" s="2">
        <f>'[1]ישיר מתוקן'!$L22</f>
        <v>222158</v>
      </c>
      <c r="D18" s="2">
        <f>-1*'[1]ישיר מתוקן'!$M22</f>
        <v>-22641</v>
      </c>
      <c r="E18" s="2">
        <f>'[1]ישיר מתוקן'!$E22</f>
        <v>1735151</v>
      </c>
      <c r="F18" s="2">
        <f>-1*'[1]ישיר מתוקן'!$AF22</f>
        <v>-108583</v>
      </c>
      <c r="G18" s="2">
        <f>'[1]ישיר מתוקן'!$AA22</f>
        <v>61080</v>
      </c>
      <c r="H18" s="2">
        <f>'[1]ישיר מתוקן'!$AD22</f>
        <v>30004</v>
      </c>
      <c r="I18" s="2">
        <f>-1*'[1]ישיר מתוקן'!$AE22</f>
        <v>-22627</v>
      </c>
      <c r="J18" s="2">
        <f>'[1]ישיר מתוקן'!$W22</f>
        <v>209190</v>
      </c>
    </row>
    <row r="19" spans="1:10" x14ac:dyDescent="0.2">
      <c r="A19" s="26">
        <v>35582</v>
      </c>
      <c r="B19" s="2">
        <f>'[1]ישיר מתוקן'!$K23</f>
        <v>867789</v>
      </c>
      <c r="C19" s="2">
        <f>'[1]ישיר מתוקן'!$L23</f>
        <v>198136</v>
      </c>
      <c r="D19" s="2">
        <f>-1*'[1]ישיר מתוקן'!$M23</f>
        <v>-22549</v>
      </c>
      <c r="E19" s="2">
        <f>'[1]ישיר מתוקן'!$E23</f>
        <v>1472678</v>
      </c>
      <c r="F19" s="2">
        <f>-1*'[1]ישיר מתוקן'!$AF23</f>
        <v>-163468</v>
      </c>
      <c r="G19" s="2">
        <f>'[1]ישיר מתוקן'!$AA23</f>
        <v>52228</v>
      </c>
      <c r="H19" s="2">
        <f>'[1]ישיר מתוקן'!$AD23</f>
        <v>9509</v>
      </c>
      <c r="I19" s="2">
        <f>-1*'[1]ישיר מתוקן'!$AE23</f>
        <v>-43743</v>
      </c>
      <c r="J19" s="2">
        <f>'[1]ישיר מתוקן'!$W23</f>
        <v>245072</v>
      </c>
    </row>
    <row r="20" spans="1:10" x14ac:dyDescent="0.2">
      <c r="A20" s="26">
        <v>35612</v>
      </c>
      <c r="B20" s="2">
        <f>'[1]ישיר מתוקן'!$K24</f>
        <v>1006369</v>
      </c>
      <c r="C20" s="2">
        <f>'[1]ישיר מתוקן'!$L24</f>
        <v>205879</v>
      </c>
      <c r="D20" s="2">
        <f>-1*'[1]ישיר מתוקן'!$M24</f>
        <v>-2169</v>
      </c>
      <c r="E20" s="2">
        <f>'[1]ישיר מתוקן'!$E24</f>
        <v>1827238</v>
      </c>
      <c r="F20" s="2">
        <f>-1*'[1]ישיר מתוקן'!$AF24</f>
        <v>-251970</v>
      </c>
      <c r="G20" s="2">
        <f>'[1]ישיר מתוקן'!$AA24</f>
        <v>57459</v>
      </c>
      <c r="H20" s="2">
        <f>'[1]ישיר מתוקן'!$AD24</f>
        <v>28119</v>
      </c>
      <c r="I20" s="2">
        <f>-1*'[1]ישיר מתוקן'!$AE24</f>
        <v>-42938</v>
      </c>
      <c r="J20" s="2">
        <f>'[1]ישיר מתוקן'!$W24</f>
        <v>240862</v>
      </c>
    </row>
    <row r="21" spans="1:10" x14ac:dyDescent="0.2">
      <c r="A21" s="26">
        <v>35643</v>
      </c>
      <c r="B21" s="2">
        <f>'[1]ישיר מתוקן'!$K25</f>
        <v>893807</v>
      </c>
      <c r="C21" s="2">
        <f>'[1]ישיר מתוקן'!$L25</f>
        <v>209593</v>
      </c>
      <c r="D21" s="2">
        <f>-1*'[1]ישיר מתוקן'!$M25</f>
        <v>-1330</v>
      </c>
      <c r="E21" s="2">
        <f>'[1]ישיר מתוקן'!$E25</f>
        <v>1609653</v>
      </c>
      <c r="F21" s="2">
        <f>-1*'[1]ישיר מתוקן'!$AF25</f>
        <v>-201829</v>
      </c>
      <c r="G21" s="2">
        <f>'[1]ישיר מתוקן'!$AA25</f>
        <v>51118</v>
      </c>
      <c r="H21" s="2">
        <f>'[1]ישיר מתוקן'!$AD25</f>
        <v>22459</v>
      </c>
      <c r="I21" s="2">
        <f>-1*'[1]ישיר מתוקן'!$AE25</f>
        <v>-36460</v>
      </c>
      <c r="J21" s="2">
        <f>'[1]ישיר מתוקן'!$W25</f>
        <v>217429</v>
      </c>
    </row>
    <row r="22" spans="1:10" x14ac:dyDescent="0.2">
      <c r="A22" s="26">
        <v>35674</v>
      </c>
      <c r="B22" s="2">
        <f>'[1]ישיר מתוקן'!$K26</f>
        <v>908586</v>
      </c>
      <c r="C22" s="2">
        <f>'[1]ישיר מתוקן'!$L26</f>
        <v>453057</v>
      </c>
      <c r="D22" s="2">
        <f>-1*'[1]ישיר מתוקן'!$M26</f>
        <v>-2800</v>
      </c>
      <c r="E22" s="2">
        <f>'[1]ישיר מתוקן'!$E26</f>
        <v>2015098</v>
      </c>
      <c r="F22" s="2">
        <f>-1*'[1]ישיר מתוקן'!$AF26</f>
        <v>-229151</v>
      </c>
      <c r="G22" s="2">
        <f>'[1]ישיר מתוקן'!$AA26</f>
        <v>57198</v>
      </c>
      <c r="H22" s="2">
        <f>'[1]ישיר מתוקן'!$AD26</f>
        <v>16373</v>
      </c>
      <c r="I22" s="2">
        <f>-1*'[1]ישיר מתוקן'!$AE26</f>
        <v>-102264</v>
      </c>
      <c r="J22" s="2">
        <f>'[1]ישיר מתוקן'!$W26</f>
        <v>228557</v>
      </c>
    </row>
    <row r="23" spans="1:10" x14ac:dyDescent="0.2">
      <c r="A23" s="26">
        <v>35704</v>
      </c>
      <c r="B23" s="2">
        <f>'[1]ישיר מתוקן'!$K27</f>
        <v>897119</v>
      </c>
      <c r="C23" s="2">
        <f>'[1]ישיר מתוקן'!$L27</f>
        <v>225884</v>
      </c>
      <c r="D23" s="2">
        <f>-1*'[1]ישיר מתוקן'!$M27</f>
        <v>-1374</v>
      </c>
      <c r="E23" s="2">
        <f>'[1]ישיר מתוקן'!$E27</f>
        <v>1563256</v>
      </c>
      <c r="F23" s="2">
        <f>-1*'[1]ישיר מתוקן'!$AF27</f>
        <v>-97355</v>
      </c>
      <c r="G23" s="2">
        <f>'[1]ישיר מתוקן'!$AA27</f>
        <v>56974</v>
      </c>
      <c r="H23" s="2">
        <f>'[1]ישיר מתוקן'!$AD27</f>
        <v>17541</v>
      </c>
      <c r="I23" s="2">
        <f>-1*'[1]ישיר מתוקן'!$AE27</f>
        <v>-49600</v>
      </c>
      <c r="J23" s="2">
        <f>'[1]ישיר מתוקן'!$W27</f>
        <v>197359</v>
      </c>
    </row>
    <row r="24" spans="1:10" x14ac:dyDescent="0.2">
      <c r="A24" s="26">
        <v>35735</v>
      </c>
      <c r="B24" s="2">
        <f>'[1]ישיר מתוקן'!$K28</f>
        <v>786808</v>
      </c>
      <c r="C24" s="2">
        <f>'[1]ישיר מתוקן'!$L28</f>
        <v>216684</v>
      </c>
      <c r="D24" s="2">
        <f>-1*'[1]ישיר מתוקן'!$M28</f>
        <v>-2959</v>
      </c>
      <c r="E24" s="2">
        <f>'[1]ישיר מתוקן'!$E28</f>
        <v>1626560</v>
      </c>
      <c r="F24" s="2">
        <f>-1*'[1]ישיר מתוקן'!$AF28</f>
        <v>-308592</v>
      </c>
      <c r="G24" s="2">
        <f>'[1]ישיר מתוקן'!$AA28</f>
        <v>63468</v>
      </c>
      <c r="H24" s="2">
        <f>'[1]ישיר מתוקן'!$AD28</f>
        <v>12047</v>
      </c>
      <c r="I24" s="2">
        <f>-1*'[1]ישיר מתוקן'!$AE28</f>
        <v>-47377</v>
      </c>
      <c r="J24" s="2">
        <f>'[1]ישיר מתוקן'!$W28</f>
        <v>267969</v>
      </c>
    </row>
    <row r="25" spans="1:10" x14ac:dyDescent="0.2">
      <c r="A25" s="26">
        <v>35765</v>
      </c>
      <c r="B25" s="2">
        <f>'[1]ישיר מתוקן'!$K29</f>
        <v>533958</v>
      </c>
      <c r="C25" s="2">
        <f>'[1]ישיר מתוקן'!$L29</f>
        <v>288508</v>
      </c>
      <c r="D25" s="2">
        <f>-1*'[1]ישיר מתוקן'!$M29</f>
        <v>-1597</v>
      </c>
      <c r="E25" s="2">
        <f>'[1]ישיר מתוקן'!$E29</f>
        <v>1325123</v>
      </c>
      <c r="F25" s="2">
        <f>-1*'[1]ישיר מתוקן'!$AF29</f>
        <v>-404840</v>
      </c>
      <c r="G25" s="2">
        <f>'[1]ישיר מתוקן'!$AA29</f>
        <v>58072</v>
      </c>
      <c r="H25" s="2">
        <f>'[1]ישיר מתוקן'!$AD29</f>
        <v>41899</v>
      </c>
      <c r="I25" s="2">
        <f>-1*'[1]ישיר מתוקן'!$AE29</f>
        <v>-18259</v>
      </c>
      <c r="J25" s="2">
        <f>'[1]ישיר מתוקן'!$W29</f>
        <v>195606</v>
      </c>
    </row>
    <row r="26" spans="1:10" x14ac:dyDescent="0.2">
      <c r="A26" s="26">
        <v>35796</v>
      </c>
      <c r="B26" s="2">
        <f>'[1]ישיר מתוקן'!$K30</f>
        <v>33810</v>
      </c>
      <c r="C26" s="2">
        <f>'[1]ישיר מתוקן'!$L30</f>
        <v>910329</v>
      </c>
      <c r="D26" s="2">
        <f>-1*'[1]ישיר מתוקן'!$M30</f>
        <v>-740</v>
      </c>
      <c r="E26" s="2">
        <f>'[1]ישיר מתוקן'!$E30</f>
        <v>1741435</v>
      </c>
      <c r="F26" s="2">
        <f>-1*'[1]ישיר מתוקן'!$AF30</f>
        <v>-115128</v>
      </c>
      <c r="G26" s="2">
        <f>'[1]ישיר מתוקן'!$AA30</f>
        <v>95981</v>
      </c>
      <c r="H26" s="2">
        <f>'[1]ישיר מתוקן'!$AD30</f>
        <v>18811</v>
      </c>
      <c r="I26" s="2">
        <f>-1*'[1]ישיר מתוקן'!$AE30</f>
        <v>-13753</v>
      </c>
      <c r="J26" s="2">
        <f>'[1]ישיר מתוקן'!$W30</f>
        <v>277677</v>
      </c>
    </row>
    <row r="27" spans="1:10" x14ac:dyDescent="0.2">
      <c r="A27" s="26">
        <v>35827</v>
      </c>
      <c r="B27" s="2">
        <f>'[1]ישיר מתוקן'!$K31</f>
        <v>347239</v>
      </c>
      <c r="C27" s="2">
        <f>'[1]ישיר מתוקן'!$L31</f>
        <v>557139</v>
      </c>
      <c r="D27" s="2">
        <f>-1*'[1]ישיר מתוקן'!$M31</f>
        <v>-10859</v>
      </c>
      <c r="E27" s="2">
        <f>'[1]ישיר מתוקן'!$E31</f>
        <v>1430296</v>
      </c>
      <c r="F27" s="2">
        <f>-1*'[1]ישיר מתוקן'!$AF31</f>
        <v>-405810</v>
      </c>
      <c r="G27" s="2">
        <f>'[1]ישיר מתוקן'!$AA31</f>
        <v>32825</v>
      </c>
      <c r="H27" s="2">
        <f>'[1]ישיר מתוקן'!$AD31</f>
        <v>36033</v>
      </c>
      <c r="I27" s="2">
        <f>-1*'[1]ישיר מתוקן'!$AE31</f>
        <v>-259985</v>
      </c>
      <c r="J27" s="2">
        <f>'[1]ישיר מתוקן'!$W31</f>
        <v>239951</v>
      </c>
    </row>
    <row r="28" spans="1:10" x14ac:dyDescent="0.2">
      <c r="A28" s="26">
        <v>35855</v>
      </c>
      <c r="B28" s="2">
        <f>'[1]ישיר מתוקן'!$K32</f>
        <v>1255894</v>
      </c>
      <c r="C28" s="2">
        <f>'[1]ישיר מתוקן'!$L32</f>
        <v>265760</v>
      </c>
      <c r="D28" s="2">
        <f>-1*'[1]ישיר מתוקן'!$M32</f>
        <v>-4709</v>
      </c>
      <c r="E28" s="2">
        <f>'[1]ישיר מתוקן'!$E32</f>
        <v>2299011</v>
      </c>
      <c r="F28" s="2">
        <f>-1*'[1]ישיר מתוקן'!$AF32</f>
        <v>-383377</v>
      </c>
      <c r="G28" s="2">
        <f>'[1]ישיר מתוקן'!$AA32</f>
        <v>56859</v>
      </c>
      <c r="H28" s="2">
        <f>'[1]ישיר מתוקן'!$AD32</f>
        <v>9429</v>
      </c>
      <c r="I28" s="2">
        <f>-1*'[1]ישיר מתוקן'!$AE32</f>
        <v>-61267</v>
      </c>
      <c r="J28" s="2">
        <f>'[1]ישיר מתוקן'!$W32</f>
        <v>963230</v>
      </c>
    </row>
    <row r="29" spans="1:10" x14ac:dyDescent="0.2">
      <c r="A29" s="26">
        <v>35886</v>
      </c>
      <c r="B29" s="2">
        <f>'[1]ישיר מתוקן'!$K33</f>
        <v>893092</v>
      </c>
      <c r="C29" s="2">
        <f>'[1]ישיר מתוקן'!$L33</f>
        <v>276245</v>
      </c>
      <c r="D29" s="2">
        <f>-1*'[1]ישיר מתוקן'!$M33</f>
        <v>-2262</v>
      </c>
      <c r="E29" s="2">
        <f>'[1]ישיר מתוקן'!$E33</f>
        <v>1770420</v>
      </c>
      <c r="F29" s="2">
        <f>-1*'[1]ישיר מתוקן'!$AF33</f>
        <v>-138531</v>
      </c>
      <c r="G29" s="2">
        <f>'[1]ישיר מתוקן'!$AA33</f>
        <v>45819</v>
      </c>
      <c r="H29" s="2">
        <f>'[1]ישיר מתוקן'!$AD33</f>
        <v>7946</v>
      </c>
      <c r="I29" s="2">
        <f>-1*'[1]ישיר מתוקן'!$AE33</f>
        <v>-55926</v>
      </c>
      <c r="J29" s="2">
        <f>'[1]ישיר מתוקן'!$W33</f>
        <v>530234</v>
      </c>
    </row>
    <row r="30" spans="1:10" x14ac:dyDescent="0.2">
      <c r="A30" s="26">
        <v>35916</v>
      </c>
      <c r="B30" s="2">
        <f>'[1]ישיר מתוקן'!$K34</f>
        <v>883697</v>
      </c>
      <c r="C30" s="2">
        <f>'[1]ישיר מתוקן'!$L34</f>
        <v>441799</v>
      </c>
      <c r="D30" s="2">
        <f>-1*'[1]ישיר מתוקן'!$M34</f>
        <v>-2381</v>
      </c>
      <c r="E30" s="2">
        <f>'[1]ישיר מתוקן'!$E34</f>
        <v>1958983</v>
      </c>
      <c r="F30" s="2">
        <f>-1*'[1]ישיר מתוקן'!$AF34</f>
        <v>-271458</v>
      </c>
      <c r="G30" s="2">
        <f>'[1]ישיר מתוקן'!$AA34</f>
        <v>59160</v>
      </c>
      <c r="H30" s="2">
        <f>'[1]ישיר מתוקן'!$AD34</f>
        <v>52656</v>
      </c>
      <c r="I30" s="2">
        <f>-1*'[1]ישיר מתוקן'!$AE34</f>
        <v>-98567</v>
      </c>
      <c r="J30" s="2">
        <f>'[1]ישיר מתוקן'!$W34</f>
        <v>431258</v>
      </c>
    </row>
    <row r="31" spans="1:10" x14ac:dyDescent="0.2">
      <c r="A31" s="26">
        <v>35947</v>
      </c>
      <c r="B31" s="2">
        <f>'[1]ישיר מתוקן'!$K35</f>
        <v>948104</v>
      </c>
      <c r="C31" s="2">
        <f>'[1]ישיר מתוקן'!$L35</f>
        <v>223874</v>
      </c>
      <c r="D31" s="2">
        <f>-1*'[1]ישיר מתוקן'!$M35</f>
        <v>-22848</v>
      </c>
      <c r="E31" s="2">
        <f>'[1]ישיר מתוקן'!$E35</f>
        <v>1610712</v>
      </c>
      <c r="F31" s="2">
        <f>-1*'[1]ישיר מתוקן'!$AF35</f>
        <v>-175428</v>
      </c>
      <c r="G31" s="2">
        <f>'[1]ישיר מתוקן'!$AA35</f>
        <v>47313</v>
      </c>
      <c r="H31" s="2">
        <f>'[1]ישיר מתוקן'!$AD35</f>
        <v>15114</v>
      </c>
      <c r="I31" s="2">
        <f>-1*'[1]ישיר מתוקן'!$AE35</f>
        <v>0</v>
      </c>
      <c r="J31" s="2">
        <f>'[1]ישיר מתוקן'!$W35</f>
        <v>375633</v>
      </c>
    </row>
    <row r="32" spans="1:10" x14ac:dyDescent="0.2">
      <c r="A32" s="26">
        <v>35977</v>
      </c>
      <c r="B32" s="2">
        <f>'[1]ישיר מתוקן'!$K36</f>
        <v>901472</v>
      </c>
      <c r="C32" s="2">
        <f>'[1]ישיר מתוקן'!$L36</f>
        <v>675127</v>
      </c>
      <c r="D32" s="2">
        <f>-1*'[1]ישיר מתוקן'!$M36</f>
        <v>-2884</v>
      </c>
      <c r="E32" s="2">
        <f>'[1]ישיר מתוקן'!$E36</f>
        <v>2239174</v>
      </c>
      <c r="F32" s="2">
        <f>-1*'[1]ישיר מתוקן'!$AF36</f>
        <v>-225144</v>
      </c>
      <c r="G32" s="2">
        <f>'[1]ישיר מתוקן'!$AA36</f>
        <v>55475</v>
      </c>
      <c r="H32" s="2">
        <f>'[1]ישיר מתוקן'!$AD36</f>
        <v>17255</v>
      </c>
      <c r="I32" s="2">
        <f>-1*'[1]ישיר מתוקן'!$AE36</f>
        <v>-2326</v>
      </c>
      <c r="J32" s="2">
        <f>'[1]ישיר מתוקן'!$W36</f>
        <v>436351</v>
      </c>
    </row>
    <row r="33" spans="1:10" x14ac:dyDescent="0.2">
      <c r="A33" s="26">
        <v>36008</v>
      </c>
      <c r="B33" s="2">
        <f>'[1]ישיר מתוקן'!$K37</f>
        <v>870653</v>
      </c>
      <c r="C33" s="2">
        <f>'[1]ישיר מתוקן'!$L37</f>
        <v>273559</v>
      </c>
      <c r="D33" s="2">
        <f>-1*'[1]ישיר מתוקן'!$M37</f>
        <v>-880</v>
      </c>
      <c r="E33" s="2">
        <f>'[1]ישיר מתוקן'!$E37</f>
        <v>1792518</v>
      </c>
      <c r="F33" s="2">
        <f>-1*'[1]ישיר מתוקן'!$AF37</f>
        <v>-70080</v>
      </c>
      <c r="G33" s="2">
        <f>'[1]ישיר מתוקן'!$AA37</f>
        <v>45157</v>
      </c>
      <c r="H33" s="2">
        <f>'[1]ישיר מתוקן'!$AD37</f>
        <v>55006</v>
      </c>
      <c r="I33" s="2">
        <f>-1*'[1]ישיר מתוקן'!$AE37</f>
        <v>-575</v>
      </c>
      <c r="J33" s="2">
        <f>'[1]ישיר מתוקן'!$W37</f>
        <v>357808</v>
      </c>
    </row>
    <row r="34" spans="1:10" x14ac:dyDescent="0.2">
      <c r="A34" s="26">
        <v>36039</v>
      </c>
      <c r="B34" s="2">
        <f>'[1]ישיר מתוקן'!$K38</f>
        <v>965729</v>
      </c>
      <c r="C34" s="2">
        <f>'[1]ישיר מתוקן'!$L38</f>
        <v>254534</v>
      </c>
      <c r="D34" s="2">
        <f>-1*'[1]ישיר מתוקן'!$M38</f>
        <v>-215</v>
      </c>
      <c r="E34" s="2">
        <f>'[1]ישיר מתוקן'!$E38</f>
        <v>1957584</v>
      </c>
      <c r="F34" s="2">
        <f>-1*'[1]ישיר מתוקן'!$AF38</f>
        <v>-20150</v>
      </c>
      <c r="G34" s="2">
        <f>'[1]ישיר מתוקן'!$AA38</f>
        <v>60658</v>
      </c>
      <c r="H34" s="2">
        <f>'[1]ישיר מתוקן'!$AD38</f>
        <v>15647</v>
      </c>
      <c r="I34" s="2">
        <f>-1*'[1]ישיר מתוקן'!$AE38</f>
        <v>-777</v>
      </c>
      <c r="J34" s="2">
        <f>'[1]ישיר מתוקן'!$W38</f>
        <v>372216</v>
      </c>
    </row>
    <row r="35" spans="1:10" x14ac:dyDescent="0.2">
      <c r="A35" s="26">
        <v>36069</v>
      </c>
      <c r="B35" s="2">
        <f>'[1]ישיר מתוקן'!$K39</f>
        <v>798363</v>
      </c>
      <c r="C35" s="2">
        <f>'[1]ישיר מתוקן'!$L39</f>
        <v>263660</v>
      </c>
      <c r="D35" s="2">
        <f>-1*'[1]ישיר מתוקן'!$M39</f>
        <v>-1934</v>
      </c>
      <c r="E35" s="2">
        <f>'[1]ישיר מתוקן'!$E39</f>
        <v>1520631</v>
      </c>
      <c r="F35" s="2">
        <f>-1*'[1]ישיר מתוקן'!$AF39</f>
        <v>-127971</v>
      </c>
      <c r="G35" s="2">
        <f>'[1]ישיר מתוקן'!$AA39</f>
        <v>56557</v>
      </c>
      <c r="H35" s="2">
        <f>'[1]ישיר מתוקן'!$AD39</f>
        <v>20152</v>
      </c>
      <c r="I35" s="2">
        <f>-1*'[1]ישיר מתוקן'!$AE39</f>
        <v>-7925</v>
      </c>
      <c r="J35" s="2">
        <f>'[1]ישיר מתוקן'!$W39</f>
        <v>326165</v>
      </c>
    </row>
    <row r="36" spans="1:10" x14ac:dyDescent="0.2">
      <c r="A36" s="26">
        <v>36100</v>
      </c>
      <c r="B36" s="2">
        <f>'[1]ישיר מתוקן'!$K40</f>
        <v>832616</v>
      </c>
      <c r="C36" s="2">
        <f>'[1]ישיר מתוקן'!$L40</f>
        <v>274603</v>
      </c>
      <c r="D36" s="2">
        <f>-1*'[1]ישיר מתוקן'!$M40</f>
        <v>-5458</v>
      </c>
      <c r="E36" s="2">
        <f>'[1]ישיר מתוקן'!$E40</f>
        <v>1757955</v>
      </c>
      <c r="F36" s="2">
        <f>-1*'[1]ישיר מתוקן'!$AF40</f>
        <v>-556808</v>
      </c>
      <c r="G36" s="2">
        <f>'[1]ישיר מתוקן'!$AA40</f>
        <v>60120</v>
      </c>
      <c r="H36" s="2">
        <f>'[1]ישיר מתוקן'!$AD40</f>
        <v>20517</v>
      </c>
      <c r="I36" s="2">
        <f>-1*'[1]ישיר מתוקן'!$AE40</f>
        <v>-17648</v>
      </c>
      <c r="J36" s="2">
        <f>'[1]ישיר מתוקן'!$W40</f>
        <v>281785</v>
      </c>
    </row>
    <row r="37" spans="1:10" x14ac:dyDescent="0.2">
      <c r="A37" s="26">
        <v>36130</v>
      </c>
      <c r="B37" s="2">
        <f>'[1]ישיר מתוקן'!$K41</f>
        <v>636028</v>
      </c>
      <c r="C37" s="2">
        <f>'[1]ישיר מתוקן'!$L41</f>
        <v>445902</v>
      </c>
      <c r="D37" s="2">
        <f>-1*'[1]ישיר מתוקן'!$M41</f>
        <v>-8475</v>
      </c>
      <c r="E37" s="2">
        <f>'[1]ישיר מתוקן'!$E41</f>
        <v>1563899</v>
      </c>
      <c r="F37" s="2">
        <f>-1*'[1]ישיר מתוקן'!$AF41</f>
        <v>-455295</v>
      </c>
      <c r="G37" s="2">
        <f>'[1]ישיר מתוקן'!$AA41</f>
        <v>65381</v>
      </c>
      <c r="H37" s="2">
        <f>'[1]ישיר מתוקן'!$AD41</f>
        <v>69935</v>
      </c>
      <c r="I37" s="2">
        <f>-1*'[1]ישיר מתוקן'!$AE41</f>
        <v>-12510</v>
      </c>
      <c r="J37" s="2">
        <f>'[1]ישיר מתוקן'!$W41</f>
        <v>297128</v>
      </c>
    </row>
    <row r="38" spans="1:10" x14ac:dyDescent="0.2">
      <c r="A38" s="26">
        <v>36161</v>
      </c>
      <c r="B38" s="2">
        <f>'[1]ישיר מתוקן'!$K42</f>
        <v>19895</v>
      </c>
      <c r="C38" s="2">
        <f>'[1]ישיר מתוקן'!$L42</f>
        <v>990794</v>
      </c>
      <c r="D38" s="2">
        <f>-1*'[1]ישיר מתוקן'!$M42</f>
        <v>-2450</v>
      </c>
      <c r="E38" s="2">
        <f>'[1]ישיר מתוקן'!$E42</f>
        <v>1687880</v>
      </c>
      <c r="F38" s="2">
        <f>-1*'[1]ישיר מתוקן'!$AF42</f>
        <v>-261335</v>
      </c>
      <c r="G38" s="2">
        <f>'[1]ישיר מתוקן'!$AA42</f>
        <v>94454</v>
      </c>
      <c r="H38" s="2">
        <f>'[1]ישיר מתוקן'!$AD42</f>
        <v>37571</v>
      </c>
      <c r="I38" s="2">
        <f>-1*'[1]ישיר מתוקן'!$AE42</f>
        <v>-7482</v>
      </c>
      <c r="J38" s="2">
        <f>'[1]ישיר מתוקן'!$W42</f>
        <v>394695</v>
      </c>
    </row>
    <row r="39" spans="1:10" x14ac:dyDescent="0.2">
      <c r="A39" s="26">
        <v>36192</v>
      </c>
      <c r="B39" s="2">
        <f>'[1]ישיר מתוקן'!$K43</f>
        <v>838632</v>
      </c>
      <c r="C39" s="2">
        <f>'[1]ישיר מתוקן'!$L43</f>
        <v>428570</v>
      </c>
      <c r="D39" s="2">
        <f>-1*'[1]ישיר מתוקן'!$M43</f>
        <v>-3247</v>
      </c>
      <c r="E39" s="2">
        <f>'[1]ישיר מתוקן'!$E43</f>
        <v>1822771</v>
      </c>
      <c r="F39" s="2">
        <f>-1*'[1]ישיר מתוקן'!$AF43</f>
        <v>-388969</v>
      </c>
      <c r="G39" s="2">
        <f>'[1]ישיר מתוקן'!$AA43</f>
        <v>51739</v>
      </c>
      <c r="H39" s="2">
        <f>'[1]ישיר מתוקן'!$AD43</f>
        <v>22038</v>
      </c>
      <c r="I39" s="2">
        <f>-1*'[1]ישיר מתוקן'!$AE43</f>
        <v>-5352</v>
      </c>
      <c r="J39" s="2">
        <f>'[1]ישיר מתוקן'!$W43</f>
        <v>321617</v>
      </c>
    </row>
    <row r="40" spans="1:10" x14ac:dyDescent="0.2">
      <c r="A40" s="26">
        <v>36220</v>
      </c>
      <c r="B40" s="2">
        <f>'[1]ישיר מתוקן'!$K44</f>
        <v>872593</v>
      </c>
      <c r="C40" s="2">
        <f>'[1]ישיר מתוקן'!$L44</f>
        <v>290672</v>
      </c>
      <c r="D40" s="2">
        <f>-1*'[1]ישיר מתוקן'!$M44</f>
        <v>-3882</v>
      </c>
      <c r="E40" s="2">
        <f>'[1]ישיר מתוקן'!$E44</f>
        <v>1827263</v>
      </c>
      <c r="F40" s="2">
        <f>-1*'[1]ישיר מתוקן'!$AF44</f>
        <v>-555088</v>
      </c>
      <c r="G40" s="2">
        <f>'[1]ישיר מתוקן'!$AA44</f>
        <v>54842</v>
      </c>
      <c r="H40" s="2">
        <f>'[1]ישיר מתוקן'!$AD44</f>
        <v>21126</v>
      </c>
      <c r="I40" s="2">
        <f>-1*'[1]ישיר מתוקן'!$AE44</f>
        <v>-20181</v>
      </c>
      <c r="J40" s="2">
        <f>'[1]ישיר מתוקן'!$W44</f>
        <v>316199</v>
      </c>
    </row>
    <row r="41" spans="1:10" x14ac:dyDescent="0.2">
      <c r="A41" s="26">
        <v>36251</v>
      </c>
      <c r="B41" s="2">
        <f>'[1]ישיר מתוקן'!$K45</f>
        <v>939534</v>
      </c>
      <c r="C41" s="2">
        <f>'[1]ישיר מתוקן'!$L45</f>
        <v>312560</v>
      </c>
      <c r="D41" s="2">
        <f>-1*'[1]ישיר מתוקן'!$M45</f>
        <v>-2222</v>
      </c>
      <c r="E41" s="2">
        <f>'[1]ישיר מתוקן'!$E45</f>
        <v>1721331</v>
      </c>
      <c r="F41" s="2">
        <f>-1*'[1]ישיר מתוקן'!$AF45</f>
        <v>-198044</v>
      </c>
      <c r="G41" s="2">
        <f>'[1]ישיר מתוקן'!$AA45</f>
        <v>55918</v>
      </c>
      <c r="H41" s="2">
        <f>'[1]ישיר מתוקן'!$AD45</f>
        <v>19311</v>
      </c>
      <c r="I41" s="2">
        <f>-1*'[1]ישיר מתוקן'!$AE45</f>
        <v>-16574</v>
      </c>
      <c r="J41" s="2">
        <f>'[1]ישיר מתוקן'!$W45</f>
        <v>376433</v>
      </c>
    </row>
    <row r="42" spans="1:10" x14ac:dyDescent="0.2">
      <c r="A42" s="26">
        <v>36281</v>
      </c>
      <c r="B42" s="2">
        <f>'[1]ישיר מתוקן'!$K46</f>
        <v>953902</v>
      </c>
      <c r="C42" s="2">
        <f>'[1]ישיר מתוקן'!$L46</f>
        <v>330442</v>
      </c>
      <c r="D42" s="2">
        <f>-1*'[1]ישיר מתוקן'!$M46</f>
        <v>-2610</v>
      </c>
      <c r="E42" s="2">
        <f>'[1]ישיר מתוקן'!$E46</f>
        <v>2033990</v>
      </c>
      <c r="F42" s="2">
        <f>-1*'[1]ישיר מתוקן'!$AF46</f>
        <v>-168122</v>
      </c>
      <c r="G42" s="2">
        <f>'[1]ישיר מתוקן'!$AA46</f>
        <v>58540</v>
      </c>
      <c r="H42" s="2">
        <f>'[1]ישיר מתוקן'!$AD46</f>
        <v>35025</v>
      </c>
      <c r="I42" s="2">
        <f>-1*'[1]ישיר מתוקן'!$AE46</f>
        <v>-7317</v>
      </c>
      <c r="J42" s="2">
        <f>'[1]ישיר מתוקן'!$W46</f>
        <v>314568</v>
      </c>
    </row>
    <row r="43" spans="1:10" x14ac:dyDescent="0.2">
      <c r="A43" s="26">
        <v>36312</v>
      </c>
      <c r="B43" s="2">
        <f>'[1]ישיר מתוקן'!$K47</f>
        <v>1077013</v>
      </c>
      <c r="C43" s="2">
        <f>'[1]ישיר מתוקן'!$L47</f>
        <v>425623</v>
      </c>
      <c r="D43" s="2">
        <f>-1*'[1]ישיר מתוקן'!$M47</f>
        <v>-2832</v>
      </c>
      <c r="E43" s="2">
        <f>'[1]ישיר מתוקן'!$E47</f>
        <v>2167054</v>
      </c>
      <c r="F43" s="2">
        <f>-1*'[1]ישיר מתוקן'!$AF47</f>
        <v>-284132</v>
      </c>
      <c r="G43" s="2">
        <f>'[1]ישיר מתוקן'!$AA47</f>
        <v>54729</v>
      </c>
      <c r="H43" s="2">
        <f>'[1]ישיר מתוקן'!$AD47</f>
        <v>116187</v>
      </c>
      <c r="I43" s="2">
        <f>-1*'[1]ישיר מתוקן'!$AE47</f>
        <v>-10678</v>
      </c>
      <c r="J43" s="2">
        <f>'[1]ישיר מתוקן'!$W47</f>
        <v>314554</v>
      </c>
    </row>
    <row r="44" spans="1:10" x14ac:dyDescent="0.2">
      <c r="A44" s="26">
        <v>36342</v>
      </c>
      <c r="B44" s="2">
        <f>'[1]ישיר מתוקן'!$K48</f>
        <v>1026217</v>
      </c>
      <c r="C44" s="2">
        <f>'[1]ישיר מתוקן'!$L48</f>
        <v>269683</v>
      </c>
      <c r="D44" s="2">
        <f>-1*'[1]ישיר מתוקן'!$M48</f>
        <v>-5432</v>
      </c>
      <c r="E44" s="2">
        <f>'[1]ישיר מתוקן'!$E48</f>
        <v>2299757</v>
      </c>
      <c r="F44" s="2">
        <f>-1*'[1]ישיר מתוקן'!$AF48</f>
        <v>-423324</v>
      </c>
      <c r="G44" s="2">
        <f>'[1]ישיר מתוקן'!$AA48</f>
        <v>67044</v>
      </c>
      <c r="H44" s="2">
        <f>'[1]ישיר מתוקן'!$AD48</f>
        <v>32012</v>
      </c>
      <c r="I44" s="2">
        <f>-1*'[1]ישיר מתוקן'!$AE48</f>
        <v>-16004</v>
      </c>
      <c r="J44" s="2">
        <f>'[1]ישיר מתוקן'!$W48</f>
        <v>338771</v>
      </c>
    </row>
    <row r="45" spans="1:10" x14ac:dyDescent="0.2">
      <c r="A45" s="26">
        <v>36373</v>
      </c>
      <c r="B45" s="2">
        <f>'[1]ישיר מתוקן'!$K49</f>
        <v>988304</v>
      </c>
      <c r="C45" s="2">
        <f>'[1]ישיר מתוקן'!$L49</f>
        <v>233810</v>
      </c>
      <c r="D45" s="2">
        <f>-1*'[1]ישיר מתוקן'!$M49</f>
        <v>-1402</v>
      </c>
      <c r="E45" s="2">
        <f>'[1]ישיר מתוקן'!$E49</f>
        <v>1817428</v>
      </c>
      <c r="F45" s="2">
        <f>-1*'[1]ישיר מתוקן'!$AF49</f>
        <v>-249983</v>
      </c>
      <c r="G45" s="2">
        <f>'[1]ישיר מתוקן'!$AA49</f>
        <v>77108</v>
      </c>
      <c r="H45" s="2">
        <f>'[1]ישיר מתוקן'!$AD49</f>
        <v>24414</v>
      </c>
      <c r="I45" s="2">
        <f>-1*'[1]ישיר מתוקן'!$AE49</f>
        <v>-12947</v>
      </c>
      <c r="J45" s="2">
        <f>'[1]ישיר מתוקן'!$W49</f>
        <v>309025</v>
      </c>
    </row>
    <row r="46" spans="1:10" x14ac:dyDescent="0.2">
      <c r="A46" s="26">
        <v>36404</v>
      </c>
      <c r="B46" s="2">
        <f>'[1]ישיר מתוקן'!$K50</f>
        <v>1179283</v>
      </c>
      <c r="C46" s="2">
        <f>'[1]ישיר מתוקן'!$L50</f>
        <v>343104</v>
      </c>
      <c r="D46" s="2">
        <f>-1*'[1]ישיר מתוקן'!$M50</f>
        <v>-1679</v>
      </c>
      <c r="E46" s="2">
        <f>'[1]ישיר מתוקן'!$E50</f>
        <v>2321384</v>
      </c>
      <c r="F46" s="2">
        <f>-1*'[1]ישיר מתוקן'!$AF50</f>
        <v>-259264</v>
      </c>
      <c r="G46" s="2">
        <f>'[1]ישיר מתוקן'!$AA50</f>
        <v>67775</v>
      </c>
      <c r="H46" s="2">
        <f>'[1]ישיר מתוקן'!$AD50</f>
        <v>23186</v>
      </c>
      <c r="I46" s="2">
        <f>-1*'[1]ישיר מתוקן'!$AE50</f>
        <v>-13616</v>
      </c>
      <c r="J46" s="2">
        <f>'[1]ישיר מתוקן'!$W50</f>
        <v>258923</v>
      </c>
    </row>
    <row r="47" spans="1:10" x14ac:dyDescent="0.2">
      <c r="A47" s="26">
        <v>36434</v>
      </c>
      <c r="B47" s="2">
        <f>'[1]ישיר מתוקן'!$K51</f>
        <v>1042235</v>
      </c>
      <c r="C47" s="2">
        <f>'[1]ישיר מתוקן'!$L51</f>
        <v>302475</v>
      </c>
      <c r="D47" s="2">
        <f>-1*'[1]ישיר מתוקן'!$M51</f>
        <v>-3891</v>
      </c>
      <c r="E47" s="2">
        <f>'[1]ישיר מתוקן'!$E51</f>
        <v>1912451</v>
      </c>
      <c r="F47" s="2">
        <f>-1*'[1]ישיר מתוקן'!$AF51</f>
        <v>-425505</v>
      </c>
      <c r="G47" s="2">
        <f>'[1]ישיר מתוקן'!$AA51</f>
        <v>67533</v>
      </c>
      <c r="H47" s="2">
        <f>'[1]ישיר מתוקן'!$AD51</f>
        <v>56601</v>
      </c>
      <c r="I47" s="2">
        <f>-1*'[1]ישיר מתוקן'!$AE51</f>
        <v>-17318</v>
      </c>
      <c r="J47" s="2">
        <f>'[1]ישיר מתוקן'!$W51</f>
        <v>313145</v>
      </c>
    </row>
    <row r="48" spans="1:10" x14ac:dyDescent="0.2">
      <c r="A48" s="26">
        <v>36465</v>
      </c>
      <c r="B48" s="2">
        <f>'[1]ישיר מתוקן'!$K52</f>
        <v>1049661</v>
      </c>
      <c r="C48" s="2">
        <f>'[1]ישיר מתוקן'!$L52</f>
        <v>427166</v>
      </c>
      <c r="D48" s="2">
        <f>-1*'[1]ישיר מתוקן'!$M52</f>
        <v>-13199</v>
      </c>
      <c r="E48" s="2">
        <f>'[1]ישיר מתוקן'!$E52</f>
        <v>2184393</v>
      </c>
      <c r="F48" s="2">
        <f>-1*'[1]ישיר מתוקן'!$AF52</f>
        <v>-274052</v>
      </c>
      <c r="G48" s="2">
        <f>'[1]ישיר מתוקן'!$AA52</f>
        <v>69486</v>
      </c>
      <c r="H48" s="2">
        <f>'[1]ישיר מתוקן'!$AD52</f>
        <v>51243</v>
      </c>
      <c r="I48" s="2">
        <f>-1*'[1]ישיר מתוקן'!$AE52</f>
        <v>-19264</v>
      </c>
      <c r="J48" s="2">
        <f>'[1]ישיר מתוקן'!$W52</f>
        <v>269824</v>
      </c>
    </row>
    <row r="49" spans="1:10" x14ac:dyDescent="0.2">
      <c r="A49" s="26">
        <v>36495</v>
      </c>
      <c r="B49" s="2">
        <f>'[1]ישיר מתוקן'!$K53</f>
        <v>612445</v>
      </c>
      <c r="C49" s="2">
        <f>'[1]ישיר מתוקן'!$L53</f>
        <v>634260</v>
      </c>
      <c r="D49" s="2">
        <f>-1*'[1]ישיר מתוקן'!$M53</f>
        <v>-3323</v>
      </c>
      <c r="E49" s="2">
        <f>'[1]ישיר מתוקן'!$E53</f>
        <v>1866197</v>
      </c>
      <c r="F49" s="2">
        <f>-1*'[1]ישיר מתוקן'!$AF53</f>
        <v>-957681</v>
      </c>
      <c r="G49" s="2">
        <f>'[1]ישיר מתוקן'!$AA53</f>
        <v>75397</v>
      </c>
      <c r="H49" s="2">
        <f>'[1]ישיר מתוקן'!$AD53</f>
        <v>24969</v>
      </c>
      <c r="I49" s="2">
        <f>-1*'[1]ישיר מתוקן'!$AE53</f>
        <v>-18991</v>
      </c>
      <c r="J49" s="2">
        <f>'[1]ישיר מתוקן'!$W53</f>
        <v>273333</v>
      </c>
    </row>
    <row r="50" spans="1:10" x14ac:dyDescent="0.2">
      <c r="A50" s="26">
        <v>36526</v>
      </c>
      <c r="B50" s="2">
        <f>'[1]ישיר מתוקן'!$K54</f>
        <v>172141</v>
      </c>
      <c r="C50" s="2">
        <f>'[1]ישיר מתוקן'!$L54</f>
        <v>1382495</v>
      </c>
      <c r="D50" s="2">
        <f>-1*'[1]ישיר מתוקן'!$M54</f>
        <v>-4432</v>
      </c>
      <c r="E50" s="2">
        <f>'[1]ישיר מתוקן'!$E54</f>
        <v>2477985</v>
      </c>
      <c r="F50" s="2">
        <f>-1*'[1]ישיר מתוקן'!$AF54</f>
        <v>-225536</v>
      </c>
      <c r="G50" s="2">
        <f>'[1]ישיר מתוקן'!$AA54</f>
        <v>101429</v>
      </c>
      <c r="H50" s="2">
        <f>'[1]ישיר מתוקן'!$AD54</f>
        <v>108050</v>
      </c>
      <c r="I50" s="2">
        <f>-1*'[1]ישיר מתוקן'!$AE54</f>
        <v>-80027</v>
      </c>
      <c r="J50" s="2">
        <f>'[1]ישיר מתוקן'!$W54</f>
        <v>350476</v>
      </c>
    </row>
    <row r="51" spans="1:10" x14ac:dyDescent="0.2">
      <c r="A51" s="26">
        <v>36557</v>
      </c>
      <c r="B51" s="2">
        <f>'[1]ישיר מתוקן'!$K55</f>
        <v>987264</v>
      </c>
      <c r="C51" s="2">
        <f>'[1]ישיר מתוקן'!$L55</f>
        <v>923603</v>
      </c>
      <c r="D51" s="2">
        <f>-1*'[1]ישיר מתוקן'!$M55</f>
        <v>-2849</v>
      </c>
      <c r="E51" s="2">
        <f>'[1]ישיר מתוקן'!$E55</f>
        <v>2504027</v>
      </c>
      <c r="F51" s="2">
        <f>-1*'[1]ישיר מתוקן'!$AF55</f>
        <v>-298612</v>
      </c>
      <c r="G51" s="2">
        <f>'[1]ישיר מתוקן'!$AA55</f>
        <v>62444</v>
      </c>
      <c r="H51" s="2">
        <f>'[1]ישיר מתוקן'!$AD55</f>
        <v>40006</v>
      </c>
      <c r="I51" s="2">
        <f>-1*'[1]ישיר מתוקן'!$AE55</f>
        <v>-12002</v>
      </c>
      <c r="J51" s="2">
        <f>'[1]ישיר מתוקן'!$W55</f>
        <v>374975</v>
      </c>
    </row>
    <row r="52" spans="1:10" x14ac:dyDescent="0.2">
      <c r="A52" s="26">
        <v>36586</v>
      </c>
      <c r="B52" s="2">
        <f>'[1]ישיר מתוקן'!$K56</f>
        <v>1106511</v>
      </c>
      <c r="C52" s="2">
        <f>'[1]ישיר מתוקן'!$L56</f>
        <v>568239</v>
      </c>
      <c r="D52" s="2">
        <f>-1*'[1]ישיר מתוקן'!$M56</f>
        <v>-2439</v>
      </c>
      <c r="E52" s="2">
        <f>'[1]ישיר מתוקן'!$E56</f>
        <v>2437724</v>
      </c>
      <c r="F52" s="2">
        <f>-1*'[1]ישיר מתוקן'!$AF56</f>
        <v>-230669</v>
      </c>
      <c r="G52" s="2">
        <f>'[1]ישיר מתוקן'!$AA56</f>
        <v>59601</v>
      </c>
      <c r="H52" s="2">
        <f>'[1]ישיר מתוקן'!$AD56</f>
        <v>43852</v>
      </c>
      <c r="I52" s="2">
        <f>-1*'[1]ישיר מתוקן'!$AE56</f>
        <v>-16049</v>
      </c>
      <c r="J52" s="2">
        <f>'[1]ישיר מתוקן'!$W56</f>
        <v>364529</v>
      </c>
    </row>
    <row r="53" spans="1:10" x14ac:dyDescent="0.2">
      <c r="A53" s="26">
        <v>36617</v>
      </c>
      <c r="B53" s="2">
        <f>'[1]ישיר מתוקן'!$K57</f>
        <v>1181425</v>
      </c>
      <c r="C53" s="2">
        <f>'[1]ישיר מתוקן'!$L57</f>
        <v>496103</v>
      </c>
      <c r="D53" s="2">
        <f>-1*'[1]ישיר מתוקן'!$M57</f>
        <v>-565</v>
      </c>
      <c r="E53" s="2">
        <f>'[1]ישיר מתוקן'!$E57</f>
        <v>2415264</v>
      </c>
      <c r="F53" s="2">
        <f>-1*'[1]ישיר מתוקן'!$AF57</f>
        <v>-138755</v>
      </c>
      <c r="G53" s="2">
        <f>'[1]ישיר מתוקן'!$AA57</f>
        <v>57234</v>
      </c>
      <c r="H53" s="2">
        <f>'[1]ישיר מתוקן'!$AD57</f>
        <v>58842</v>
      </c>
      <c r="I53" s="2">
        <f>-1*'[1]ישיר מתוקן'!$AE57</f>
        <v>-7443</v>
      </c>
      <c r="J53" s="2">
        <f>'[1]ישיר מתוקן'!$W57</f>
        <v>340344</v>
      </c>
    </row>
    <row r="54" spans="1:10" x14ac:dyDescent="0.2">
      <c r="A54" s="26">
        <v>36647</v>
      </c>
      <c r="B54" s="2">
        <f>'[1]ישיר מתוקן'!$K58</f>
        <v>1088904</v>
      </c>
      <c r="C54" s="2">
        <f>'[1]ישיר מתוקן'!$L58</f>
        <v>749819</v>
      </c>
      <c r="D54" s="2">
        <f>-1*'[1]ישיר מתוקן'!$M58</f>
        <v>-15673</v>
      </c>
      <c r="E54" s="2">
        <f>'[1]ישיר מתוקן'!$E58</f>
        <v>2674718</v>
      </c>
      <c r="F54" s="2">
        <f>-1*'[1]ישיר מתוקן'!$AF58</f>
        <v>-213477</v>
      </c>
      <c r="G54" s="2">
        <f>'[1]ישיר מתוקן'!$AA58</f>
        <v>65917</v>
      </c>
      <c r="H54" s="2">
        <f>'[1]ישיר מתוקן'!$AD58</f>
        <v>60276</v>
      </c>
      <c r="I54" s="2">
        <f>-1*'[1]ישיר מתוקן'!$AE58</f>
        <v>-30503</v>
      </c>
      <c r="J54" s="2">
        <f>'[1]ישיר מתוקן'!$W58</f>
        <v>256234</v>
      </c>
    </row>
    <row r="55" spans="1:10" x14ac:dyDescent="0.2">
      <c r="A55" s="26">
        <v>36678</v>
      </c>
      <c r="B55" s="2">
        <f>'[1]ישיר מתוקן'!$K59</f>
        <v>1246097</v>
      </c>
      <c r="C55" s="2">
        <f>'[1]ישיר מתוקן'!$L59</f>
        <v>707869</v>
      </c>
      <c r="D55" s="2">
        <f>-1*'[1]ישיר מתוקן'!$M59</f>
        <v>-3661</v>
      </c>
      <c r="E55" s="2">
        <f>'[1]ישיר מתוקן'!$E59</f>
        <v>2816217</v>
      </c>
      <c r="F55" s="2">
        <f>-1*'[1]ישיר מתוקן'!$AF59</f>
        <v>-133012</v>
      </c>
      <c r="G55" s="2">
        <f>'[1]ישיר מתוקן'!$AA59</f>
        <v>69872</v>
      </c>
      <c r="H55" s="2">
        <f>'[1]ישיר מתוקן'!$AD59</f>
        <v>59312</v>
      </c>
      <c r="I55" s="2">
        <f>-1*'[1]ישיר מתוקן'!$AE59</f>
        <v>-144246</v>
      </c>
      <c r="J55" s="2">
        <f>'[1]ישיר מתוקן'!$W59</f>
        <v>255193</v>
      </c>
    </row>
    <row r="56" spans="1:10" x14ac:dyDescent="0.2">
      <c r="A56" s="26">
        <v>36708</v>
      </c>
      <c r="B56" s="2">
        <f>'[1]ישיר מתוקן'!$K60</f>
        <v>1195483</v>
      </c>
      <c r="C56" s="2">
        <f>'[1]ישיר מתוקן'!$L60</f>
        <v>449945</v>
      </c>
      <c r="D56" s="2">
        <f>-1*'[1]ישיר מתוקן'!$M60</f>
        <v>-69980</v>
      </c>
      <c r="E56" s="2">
        <f>'[1]ישיר מתוקן'!$E60</f>
        <v>2404234</v>
      </c>
      <c r="F56" s="2">
        <f>-1*'[1]ישיר מתוקן'!$AF60</f>
        <v>-178976</v>
      </c>
      <c r="G56" s="2">
        <f>'[1]ישיר מתוקן'!$AA60</f>
        <v>69084</v>
      </c>
      <c r="H56" s="2">
        <f>'[1]ישיר מתוקן'!$AD60</f>
        <v>29541</v>
      </c>
      <c r="I56" s="2">
        <f>-1*'[1]ישיר מתוקן'!$AE60</f>
        <v>-14954</v>
      </c>
      <c r="J56" s="2">
        <f>'[1]ישיר מתוקן'!$W60</f>
        <v>291039</v>
      </c>
    </row>
    <row r="57" spans="1:10" x14ac:dyDescent="0.2">
      <c r="A57" s="26">
        <v>36739</v>
      </c>
      <c r="B57" s="2">
        <f>'[1]ישיר מתוקן'!$K61</f>
        <v>1355235</v>
      </c>
      <c r="C57" s="2">
        <f>'[1]ישיר מתוקן'!$L61</f>
        <v>536242</v>
      </c>
      <c r="D57" s="2">
        <f>-1*'[1]ישיר מתוקן'!$M61</f>
        <v>-866</v>
      </c>
      <c r="E57" s="2">
        <f>'[1]ישיר מתוקן'!$E61</f>
        <v>2519103</v>
      </c>
      <c r="F57" s="2">
        <f>-1*'[1]ישיר מתוקן'!$AF61</f>
        <v>-251298</v>
      </c>
      <c r="G57" s="2">
        <f>'[1]ישיר מתוקן'!$AA61</f>
        <v>64423</v>
      </c>
      <c r="H57" s="2">
        <f>'[1]ישיר מתוקן'!$AD61</f>
        <v>13316</v>
      </c>
      <c r="I57" s="2">
        <f>-1*'[1]ישיר מתוקן'!$AE61</f>
        <v>-8855</v>
      </c>
      <c r="J57" s="2">
        <f>'[1]ישיר מתוקן'!$W61</f>
        <v>334984</v>
      </c>
    </row>
    <row r="58" spans="1:10" x14ac:dyDescent="0.2">
      <c r="A58" s="26">
        <v>36770</v>
      </c>
      <c r="B58" s="2">
        <f>'[1]ישיר מתוקן'!$K62</f>
        <v>1269351</v>
      </c>
      <c r="C58" s="2">
        <f>'[1]ישיר מתוקן'!$L62</f>
        <v>464295</v>
      </c>
      <c r="D58" s="2">
        <f>-1*'[1]ישיר מתוקן'!$M62</f>
        <v>-3842</v>
      </c>
      <c r="E58" s="2">
        <f>'[1]ישיר מתוקן'!$E62</f>
        <v>2556665</v>
      </c>
      <c r="F58" s="2">
        <f>-1*'[1]ישיר מתוקן'!$AF62</f>
        <v>-204226</v>
      </c>
      <c r="G58" s="2">
        <f>'[1]ישיר מתוקן'!$AA62</f>
        <v>75508</v>
      </c>
      <c r="H58" s="2">
        <f>'[1]ישיר מתוקן'!$AD62</f>
        <v>64801</v>
      </c>
      <c r="I58" s="2">
        <f>-1*'[1]ישיר מתוקן'!$AE62</f>
        <v>-37763</v>
      </c>
      <c r="J58" s="2">
        <f>'[1]ישיר מתוקן'!$W62</f>
        <v>274374</v>
      </c>
    </row>
    <row r="59" spans="1:10" x14ac:dyDescent="0.2">
      <c r="A59" s="26">
        <v>36800</v>
      </c>
      <c r="B59" s="2">
        <f>'[1]ישיר מתוקן'!$K63</f>
        <v>1398916</v>
      </c>
      <c r="C59" s="2">
        <f>'[1]ישיר מתוקן'!$L63</f>
        <v>360499</v>
      </c>
      <c r="D59" s="2">
        <f>-1*'[1]ישיר מתוקן'!$M63</f>
        <v>-3588</v>
      </c>
      <c r="E59" s="2">
        <f>'[1]ישיר מתוקן'!$E63</f>
        <v>2427193</v>
      </c>
      <c r="F59" s="2">
        <f>-1*'[1]ישיר מתוקן'!$AF63</f>
        <v>-212782</v>
      </c>
      <c r="G59" s="2">
        <f>'[1]ישיר מתוקן'!$AA63</f>
        <v>73096</v>
      </c>
      <c r="H59" s="2">
        <f>'[1]ישיר מתוקן'!$AD63</f>
        <v>17877</v>
      </c>
      <c r="I59" s="2">
        <f>-1*'[1]ישיר מתוקן'!$AE63</f>
        <v>-19825</v>
      </c>
      <c r="J59" s="2">
        <f>'[1]ישיר מתוקן'!$W63</f>
        <v>342975</v>
      </c>
    </row>
    <row r="60" spans="1:10" x14ac:dyDescent="0.2">
      <c r="A60" s="26">
        <v>36831</v>
      </c>
      <c r="B60" s="2">
        <f>'[1]ישיר מתוקן'!$K64</f>
        <v>1191375</v>
      </c>
      <c r="C60" s="2">
        <f>'[1]ישיר מתוקן'!$L64</f>
        <v>415342</v>
      </c>
      <c r="D60" s="2">
        <f>-1*'[1]ישיר מתוקן'!$M64</f>
        <v>-7856</v>
      </c>
      <c r="E60" s="2">
        <f>'[1]ישיר מתוקן'!$E64</f>
        <v>2400855</v>
      </c>
      <c r="F60" s="2">
        <f>-1*'[1]ישיר מתוקן'!$AF64</f>
        <v>-261326</v>
      </c>
      <c r="G60" s="2">
        <f>'[1]ישיר מתוקן'!$AA64</f>
        <v>83930</v>
      </c>
      <c r="H60" s="2">
        <f>'[1]ישיר מתוקן'!$AD64</f>
        <v>22074</v>
      </c>
      <c r="I60" s="2">
        <f>-1*'[1]ישיר מתוקן'!$AE64</f>
        <v>-17854</v>
      </c>
      <c r="J60" s="2">
        <f>'[1]ישיר מתוקן'!$W64</f>
        <v>300935</v>
      </c>
    </row>
    <row r="61" spans="1:10" x14ac:dyDescent="0.2">
      <c r="A61" s="26">
        <v>36861</v>
      </c>
      <c r="B61" s="2">
        <f>'[1]ישיר מתוקן'!$K65</f>
        <v>655874</v>
      </c>
      <c r="C61" s="2">
        <f>'[1]ישיר מתוקן'!$L65</f>
        <v>382492</v>
      </c>
      <c r="D61" s="2">
        <f>-1*'[1]ישיר מתוקן'!$M65</f>
        <v>-3622</v>
      </c>
      <c r="E61" s="2">
        <f>'[1]ישיר מתוקן'!$E65</f>
        <v>1545190</v>
      </c>
      <c r="F61" s="2">
        <f>-1*'[1]ישיר מתוקן'!$AF65</f>
        <v>-613064</v>
      </c>
      <c r="G61" s="2">
        <f>'[1]ישיר מתוקן'!$AA65</f>
        <v>70453</v>
      </c>
      <c r="H61" s="2">
        <f>'[1]ישיר מתוקן'!$AD65</f>
        <v>84618</v>
      </c>
      <c r="I61" s="2">
        <f>-1*'[1]ישיר מתוקן'!$AE65</f>
        <v>-13080</v>
      </c>
      <c r="J61" s="2">
        <f>'[1]ישיר מתוקן'!$W65</f>
        <v>307462</v>
      </c>
    </row>
    <row r="62" spans="1:10" x14ac:dyDescent="0.2">
      <c r="A62" s="26">
        <v>36892</v>
      </c>
      <c r="B62" s="2">
        <f>'[1]ישיר מתוקן'!$K66</f>
        <v>25026</v>
      </c>
      <c r="C62" s="2">
        <f>'[1]ישיר מתוקן'!$L66</f>
        <v>1453340</v>
      </c>
      <c r="D62" s="2">
        <f>-1*'[1]ישיר מתוקן'!$M66</f>
        <v>-12358</v>
      </c>
      <c r="E62" s="2">
        <f>'[1]ישיר מתוקן'!$E66</f>
        <v>2764115</v>
      </c>
      <c r="F62" s="2">
        <f>-1*'[1]ישיר מתוקן'!$AF66</f>
        <v>-181077</v>
      </c>
      <c r="G62" s="2">
        <f>'[1]ישיר מתוקן'!$AA66</f>
        <v>126854</v>
      </c>
      <c r="H62" s="2">
        <f>'[1]ישיר מתוקן'!$AD66</f>
        <v>25599</v>
      </c>
      <c r="I62" s="2">
        <f>-1*'[1]ישיר מתוקן'!$AE66</f>
        <v>-21429</v>
      </c>
      <c r="J62" s="2">
        <f>'[1]ישיר מתוקן'!$W66</f>
        <v>302980</v>
      </c>
    </row>
    <row r="63" spans="1:10" x14ac:dyDescent="0.2">
      <c r="A63" s="26">
        <v>36923</v>
      </c>
      <c r="B63" s="2">
        <f>'[1]ישיר מתוקן'!$K67</f>
        <v>1066570</v>
      </c>
      <c r="C63" s="2">
        <f>'[1]ישיר מתוקן'!$L67</f>
        <v>665363</v>
      </c>
      <c r="D63" s="2">
        <f>-1*'[1]ישיר מתוקן'!$M67</f>
        <v>-2970</v>
      </c>
      <c r="E63" s="2">
        <f>'[1]ישיר מתוקן'!$E67</f>
        <v>2337798</v>
      </c>
      <c r="F63" s="2">
        <f>-1*'[1]ישיר מתוקן'!$AF67</f>
        <v>-335109</v>
      </c>
      <c r="G63" s="2">
        <f>'[1]ישיר מתוקן'!$AA67</f>
        <v>68446</v>
      </c>
      <c r="H63" s="2">
        <f>'[1]ישיר מתוקן'!$AD67</f>
        <v>46317</v>
      </c>
      <c r="I63" s="2">
        <f>-1*'[1]ישיר מתוקן'!$AE67</f>
        <v>-12947</v>
      </c>
      <c r="J63" s="2">
        <f>'[1]ישיר מתוקן'!$W67</f>
        <v>292042</v>
      </c>
    </row>
    <row r="64" spans="1:10" x14ac:dyDescent="0.2">
      <c r="A64" s="26">
        <v>36951</v>
      </c>
      <c r="B64" s="2">
        <f>'[1]ישיר מתוקן'!$K68</f>
        <v>1114669</v>
      </c>
      <c r="C64" s="2">
        <f>'[1]ישיר מתוקן'!$L68</f>
        <v>1042507</v>
      </c>
      <c r="D64" s="2">
        <f>-1*'[1]ישיר מתוקן'!$M68</f>
        <v>-3377</v>
      </c>
      <c r="E64" s="2">
        <f>'[1]ישיר מתוקן'!$E68</f>
        <v>2870426</v>
      </c>
      <c r="F64" s="2">
        <f>-1*'[1]ישיר מתוקן'!$AF68</f>
        <v>-171391</v>
      </c>
      <c r="G64" s="2">
        <f>'[1]ישיר מתוקן'!$AA68</f>
        <v>63701</v>
      </c>
      <c r="H64" s="2">
        <f>'[1]ישיר מתוקן'!$AD68</f>
        <v>18837</v>
      </c>
      <c r="I64" s="2">
        <f>-1*'[1]ישיר מתוקן'!$AE68</f>
        <v>-27069</v>
      </c>
      <c r="J64" s="2">
        <f>'[1]ישיר מתוקן'!$W68</f>
        <v>328128</v>
      </c>
    </row>
    <row r="65" spans="1:10" x14ac:dyDescent="0.2">
      <c r="A65" s="26">
        <v>36982</v>
      </c>
      <c r="B65" s="2">
        <f>'[1]ישיר מתוקן'!$K69</f>
        <v>1140878</v>
      </c>
      <c r="C65" s="2">
        <f>'[1]ישיר מתוקן'!$L69</f>
        <v>466023</v>
      </c>
      <c r="D65" s="2">
        <f>-1*'[1]ישיר מתוקן'!$M69</f>
        <v>-2653</v>
      </c>
      <c r="E65" s="2">
        <f>'[1]ישיר מתוקן'!$E69</f>
        <v>2107752</v>
      </c>
      <c r="F65" s="2">
        <f>-1*'[1]ישיר מתוקן'!$AF69</f>
        <v>-187877</v>
      </c>
      <c r="G65" s="2">
        <f>'[1]ישיר מתוקן'!$AA69</f>
        <v>68558</v>
      </c>
      <c r="H65" s="2">
        <f>'[1]ישיר מתוקן'!$AD69</f>
        <v>19793</v>
      </c>
      <c r="I65" s="2">
        <f>-1*'[1]ישיר מתוקן'!$AE69</f>
        <v>-14499</v>
      </c>
      <c r="J65" s="2">
        <f>'[1]ישיר מתוקן'!$W69</f>
        <v>241078</v>
      </c>
    </row>
    <row r="66" spans="1:10" x14ac:dyDescent="0.2">
      <c r="A66" s="26">
        <v>37012</v>
      </c>
      <c r="B66" s="2">
        <f>'[1]ישיר מתוקן'!$K70</f>
        <v>1093598</v>
      </c>
      <c r="C66" s="2">
        <f>'[1]ישיר מתוקן'!$L70</f>
        <v>393900</v>
      </c>
      <c r="D66" s="2">
        <f>-1*'[1]ישיר מתוקן'!$M70</f>
        <v>-2114</v>
      </c>
      <c r="E66" s="2">
        <f>'[1]ישיר מתוקן'!$E70</f>
        <v>2220363</v>
      </c>
      <c r="F66" s="2">
        <f>-1*'[1]ישיר מתוקן'!$AF70</f>
        <v>-219730</v>
      </c>
      <c r="G66" s="2">
        <f>'[1]ישיר מתוקן'!$AA70</f>
        <v>68546</v>
      </c>
      <c r="H66" s="2">
        <f>'[1]ישיר מתוקן'!$AD70</f>
        <v>39594</v>
      </c>
      <c r="I66" s="2">
        <f>-1*'[1]ישיר מתוקן'!$AE70</f>
        <v>-81038</v>
      </c>
      <c r="J66" s="2">
        <f>'[1]ישיר מתוקן'!$W70</f>
        <v>264772</v>
      </c>
    </row>
    <row r="67" spans="1:10" x14ac:dyDescent="0.2">
      <c r="A67" s="26">
        <v>37043</v>
      </c>
      <c r="B67" s="2">
        <f>'[1]ישיר מתוקן'!$K71</f>
        <v>1212126</v>
      </c>
      <c r="C67" s="2">
        <f>'[1]ישיר מתוקן'!$L71</f>
        <v>437678</v>
      </c>
      <c r="D67" s="2">
        <f>-1*'[1]ישיר מתוקן'!$M71</f>
        <v>-13100</v>
      </c>
      <c r="E67" s="2">
        <f>'[1]ישיר מתוקן'!$E71</f>
        <v>2267206</v>
      </c>
      <c r="F67" s="2">
        <f>-1*'[1]ישיר מתוקן'!$AF71</f>
        <v>-169726</v>
      </c>
      <c r="G67" s="2">
        <f>'[1]ישיר מתוקן'!$AA71</f>
        <v>66881</v>
      </c>
      <c r="H67" s="2">
        <f>'[1]ישיר מתוקן'!$AD71</f>
        <v>98876</v>
      </c>
      <c r="I67" s="2">
        <f>-1*'[1]ישיר מתוקן'!$AE71</f>
        <v>-47724</v>
      </c>
      <c r="J67" s="2">
        <f>'[1]ישיר מתוקן'!$W71</f>
        <v>280789</v>
      </c>
    </row>
    <row r="68" spans="1:10" x14ac:dyDescent="0.2">
      <c r="A68" s="26">
        <v>37073</v>
      </c>
      <c r="B68" s="2">
        <f>'[1]ישיר מתוקן'!$K72</f>
        <v>1149944</v>
      </c>
      <c r="C68" s="2">
        <f>'[1]ישיר מתוקן'!$L72</f>
        <v>601663</v>
      </c>
      <c r="D68" s="2">
        <f>-1*'[1]ישיר מתוקן'!$M72</f>
        <v>-3216</v>
      </c>
      <c r="E68" s="2">
        <f>'[1]ישיר מתוקן'!$E72</f>
        <v>2737180</v>
      </c>
      <c r="F68" s="2">
        <f>-1*'[1]ישיר מתוקן'!$AF72</f>
        <v>-273299</v>
      </c>
      <c r="G68" s="2">
        <f>'[1]ישיר מתוקן'!$AA72</f>
        <v>68722</v>
      </c>
      <c r="H68" s="2">
        <f>'[1]ישיר מתוקן'!$AD72</f>
        <v>26501</v>
      </c>
      <c r="I68" s="2">
        <f>-1*'[1]ישיר מתוקן'!$AE72</f>
        <v>-29927</v>
      </c>
      <c r="J68" s="2">
        <f>'[1]ישיר מתוקן'!$W72</f>
        <v>367923</v>
      </c>
    </row>
    <row r="69" spans="1:10" x14ac:dyDescent="0.2">
      <c r="A69" s="26">
        <v>37104</v>
      </c>
      <c r="B69" s="2">
        <f>'[1]ישיר מתוקן'!$K73</f>
        <v>1243319</v>
      </c>
      <c r="C69" s="2">
        <f>'[1]ישיר מתוקן'!$L73</f>
        <v>417201</v>
      </c>
      <c r="D69" s="2">
        <f>-1*'[1]ישיר מתוקן'!$M73</f>
        <v>-5914</v>
      </c>
      <c r="E69" s="2">
        <f>'[1]ישיר מתוקן'!$E73</f>
        <v>2200406</v>
      </c>
      <c r="F69" s="2">
        <f>-1*'[1]ישיר מתוקן'!$AF73</f>
        <v>-245350</v>
      </c>
      <c r="G69" s="2">
        <f>'[1]ישיר מתוקן'!$AA73</f>
        <v>72570</v>
      </c>
      <c r="H69" s="2">
        <f>'[1]ישיר מתוקן'!$AD73</f>
        <v>42875</v>
      </c>
      <c r="I69" s="2">
        <f>-1*'[1]ישיר מתוקן'!$AE73</f>
        <v>-17017</v>
      </c>
      <c r="J69" s="2">
        <f>'[1]ישיר מתוקן'!$W73</f>
        <v>222575</v>
      </c>
    </row>
    <row r="70" spans="1:10" x14ac:dyDescent="0.2">
      <c r="A70" s="26">
        <v>37135</v>
      </c>
      <c r="B70" s="2">
        <f>'[1]ישיר מתוקן'!$K74</f>
        <v>1077955</v>
      </c>
      <c r="C70" s="2">
        <f>'[1]ישיר מתוקן'!$L74</f>
        <v>454327</v>
      </c>
      <c r="D70" s="2">
        <f>-1*'[1]ישיר מתוקן'!$M74</f>
        <v>-2114</v>
      </c>
      <c r="E70" s="2">
        <f>'[1]ישיר מתוקן'!$E74</f>
        <v>2331688</v>
      </c>
      <c r="F70" s="2">
        <f>-1*'[1]ישיר מתוקן'!$AF74</f>
        <v>-247308</v>
      </c>
      <c r="G70" s="2">
        <f>'[1]ישיר מתוקן'!$AA74</f>
        <v>72343</v>
      </c>
      <c r="H70" s="2">
        <f>'[1]ישיר מתוקן'!$AD74</f>
        <v>8639</v>
      </c>
      <c r="I70" s="2">
        <f>-1*'[1]ישיר מתוקן'!$AE74</f>
        <v>-74240</v>
      </c>
      <c r="J70" s="2">
        <f>'[1]ישיר מתוקן'!$W74</f>
        <v>243898</v>
      </c>
    </row>
    <row r="71" spans="1:10" x14ac:dyDescent="0.2">
      <c r="A71" s="26">
        <v>37165</v>
      </c>
      <c r="B71" s="2">
        <f>'[1]ישיר מתוקן'!$K75</f>
        <v>964349</v>
      </c>
      <c r="C71" s="2">
        <f>'[1]ישיר מתוקן'!$L75</f>
        <v>383180</v>
      </c>
      <c r="D71" s="2">
        <f>-1*'[1]ישיר מתוקן'!$M75</f>
        <v>-5187</v>
      </c>
      <c r="E71" s="2">
        <f>'[1]ישיר מתוקן'!$E75</f>
        <v>1849430</v>
      </c>
      <c r="F71" s="2">
        <f>-1*'[1]ישיר מתוקן'!$AF75</f>
        <v>-269109</v>
      </c>
      <c r="G71" s="2">
        <f>'[1]ישיר מתוקן'!$AA75</f>
        <v>69640</v>
      </c>
      <c r="H71" s="2">
        <f>'[1]ישיר מתוקן'!$AD75</f>
        <v>20469</v>
      </c>
      <c r="I71" s="2">
        <f>-1*'[1]ישיר מתוקן'!$AE75</f>
        <v>-12075</v>
      </c>
      <c r="J71" s="2">
        <f>'[1]ישיר מתוקן'!$W75</f>
        <v>193640</v>
      </c>
    </row>
    <row r="72" spans="1:10" x14ac:dyDescent="0.2">
      <c r="A72" s="26">
        <v>37196</v>
      </c>
      <c r="B72" s="2">
        <f>'[1]ישיר מתוקן'!$K76</f>
        <v>934812</v>
      </c>
      <c r="C72" s="2">
        <f>'[1]ישיר מתוקן'!$L76</f>
        <v>419630</v>
      </c>
      <c r="D72" s="2">
        <f>-1*'[1]ישיר מתוקן'!$M76</f>
        <v>-3854</v>
      </c>
      <c r="E72" s="2">
        <f>'[1]ישיר מתוקן'!$E76</f>
        <v>2100919</v>
      </c>
      <c r="F72" s="2">
        <f>-1*'[1]ישיר מתוקן'!$AF76</f>
        <v>-430219</v>
      </c>
      <c r="G72" s="2">
        <f>'[1]ישיר מתוקן'!$AA76</f>
        <v>80051</v>
      </c>
      <c r="H72" s="2">
        <f>'[1]ישיר מתוקן'!$AD76</f>
        <v>51330</v>
      </c>
      <c r="I72" s="2">
        <f>-1*'[1]ישיר מתוקן'!$AE76</f>
        <v>-14803</v>
      </c>
      <c r="J72" s="2">
        <f>'[1]ישיר מתוקן'!$W76</f>
        <v>249638</v>
      </c>
    </row>
    <row r="73" spans="1:10" x14ac:dyDescent="0.2">
      <c r="A73" s="26">
        <v>37226</v>
      </c>
      <c r="B73" s="2">
        <f>'[1]ישיר מתוקן'!$K77</f>
        <v>580928</v>
      </c>
      <c r="C73" s="2">
        <f>'[1]ישיר מתוקן'!$L77</f>
        <v>469138</v>
      </c>
      <c r="D73" s="2">
        <f>-1*'[1]ישיר מתוקן'!$M77</f>
        <v>-2296</v>
      </c>
      <c r="E73" s="2">
        <f>'[1]ישיר מתוקן'!$E77</f>
        <v>1578501</v>
      </c>
      <c r="F73" s="2">
        <f>-1*'[1]ישיר מתוקן'!$AF77</f>
        <v>-507473</v>
      </c>
      <c r="G73" s="2">
        <f>'[1]ישיר מתוקן'!$AA77</f>
        <v>74873</v>
      </c>
      <c r="H73" s="2">
        <f>'[1]ישיר מתוקן'!$AD77</f>
        <v>22727</v>
      </c>
      <c r="I73" s="2">
        <f>-1*'[1]ישיר מתוקן'!$AE77</f>
        <v>-15383</v>
      </c>
      <c r="J73" s="2">
        <f>'[1]ישיר מתוקן'!$W77</f>
        <v>258835</v>
      </c>
    </row>
    <row r="74" spans="1:10" x14ac:dyDescent="0.2">
      <c r="A74" s="26">
        <v>37257</v>
      </c>
      <c r="B74" s="2">
        <f>'[1]ישיר מתוקן'!$K78</f>
        <v>19351</v>
      </c>
      <c r="C74" s="2">
        <f>'[1]ישיר מתוקן'!$L78</f>
        <v>1217904</v>
      </c>
      <c r="D74" s="2">
        <f>-1*'[1]ישיר מתוקן'!$M78</f>
        <v>-3740</v>
      </c>
      <c r="E74" s="2">
        <f>'[1]ישיר מתוקן'!$E78</f>
        <v>2114142</v>
      </c>
      <c r="F74" s="2">
        <f>-1*'[1]ישיר מתוקן'!$AF78</f>
        <v>-315525</v>
      </c>
      <c r="G74" s="2">
        <f>'[1]ישיר מתוקן'!$AA78</f>
        <v>119863</v>
      </c>
      <c r="H74" s="2">
        <f>'[1]ישיר מתוקן'!$AD78</f>
        <v>22389</v>
      </c>
      <c r="I74" s="2">
        <f>-1*'[1]ישיר מתוקן'!$AE78</f>
        <v>-27469</v>
      </c>
      <c r="J74" s="2">
        <f>'[1]ישיר מתוקן'!$W78</f>
        <v>314329</v>
      </c>
    </row>
    <row r="75" spans="1:10" x14ac:dyDescent="0.2">
      <c r="A75" s="26">
        <v>37288</v>
      </c>
      <c r="B75" s="2">
        <f>'[1]ישיר מתוקן'!$K79</f>
        <v>1041731</v>
      </c>
      <c r="C75" s="2">
        <f>'[1]ישיר מתוקן'!$L79</f>
        <v>813805</v>
      </c>
      <c r="D75" s="2">
        <f>-1*'[1]ישיר מתוקן'!$M79</f>
        <v>-2735</v>
      </c>
      <c r="E75" s="2">
        <f>'[1]ישיר מתוקן'!$E79</f>
        <v>2543390</v>
      </c>
      <c r="F75" s="2">
        <f>-1*'[1]ישיר מתוקן'!$AF79</f>
        <v>-546413</v>
      </c>
      <c r="G75" s="2">
        <f>'[1]ישיר מתוקן'!$AA79</f>
        <v>66467</v>
      </c>
      <c r="H75" s="2">
        <f>'[1]ישיר מתוקן'!$AD79</f>
        <v>68806</v>
      </c>
      <c r="I75" s="2">
        <f>-1*'[1]ישיר מתוקן'!$AE79</f>
        <v>-9346</v>
      </c>
      <c r="J75" s="2">
        <f>'[1]ישיר מתוקן'!$W79</f>
        <v>258212</v>
      </c>
    </row>
    <row r="76" spans="1:10" x14ac:dyDescent="0.2">
      <c r="A76" s="26">
        <v>37316</v>
      </c>
      <c r="B76" s="2">
        <f>'[1]ישיר מתוקן'!$K80</f>
        <v>1035849</v>
      </c>
      <c r="C76" s="2">
        <f>'[1]ישיר מתוקן'!$L80</f>
        <v>602770</v>
      </c>
      <c r="D76" s="2">
        <f>-1*'[1]ישיר מתוקן'!$M80</f>
        <v>-2489</v>
      </c>
      <c r="E76" s="2">
        <f>'[1]ישיר מתוקן'!$E80</f>
        <v>2424442</v>
      </c>
      <c r="F76" s="2">
        <f>-1*'[1]ישיר מתוקן'!$AF80</f>
        <v>-441297</v>
      </c>
      <c r="G76" s="2">
        <f>'[1]ישיר מתוקן'!$AA80</f>
        <v>63540</v>
      </c>
      <c r="H76" s="2">
        <f>'[1]ישיר מתוקן'!$AD80</f>
        <v>15140</v>
      </c>
      <c r="I76" s="2">
        <f>-1*'[1]ישיר מתוקן'!$AE80</f>
        <v>-35711</v>
      </c>
      <c r="J76" s="2">
        <f>'[1]ישיר מתוקן'!$W80</f>
        <v>209366</v>
      </c>
    </row>
    <row r="77" spans="1:10" x14ac:dyDescent="0.2">
      <c r="A77" s="26">
        <v>37347</v>
      </c>
      <c r="B77" s="2">
        <f>'[1]ישיר מתוקן'!$K81</f>
        <v>1125973</v>
      </c>
      <c r="C77" s="2">
        <f>'[1]ישיר מתוקן'!$L81</f>
        <v>381806</v>
      </c>
      <c r="D77" s="2">
        <f>-1*'[1]ישיר מתוקן'!$M81</f>
        <v>-3811</v>
      </c>
      <c r="E77" s="2">
        <f>'[1]ישיר מתוקן'!$E81</f>
        <v>2023100</v>
      </c>
      <c r="F77" s="2">
        <f>-1*'[1]ישיר מתוקן'!$AF81</f>
        <v>-166005</v>
      </c>
      <c r="G77" s="2">
        <f>'[1]ישיר מתוקן'!$AA81</f>
        <v>76809</v>
      </c>
      <c r="H77" s="2">
        <f>'[1]ישיר מתוקן'!$AD81</f>
        <v>11022</v>
      </c>
      <c r="I77" s="2">
        <f>-1*'[1]ישיר מתוקן'!$AE81</f>
        <v>-57106</v>
      </c>
      <c r="J77" s="2">
        <f>'[1]ישיר מתוקן'!$W81</f>
        <v>365898</v>
      </c>
    </row>
    <row r="78" spans="1:10" x14ac:dyDescent="0.2">
      <c r="A78" s="26">
        <v>37377</v>
      </c>
      <c r="B78" s="2">
        <f>'[1]ישיר מתוקן'!$K82</f>
        <v>977385</v>
      </c>
      <c r="C78" s="2">
        <f>'[1]ישיר מתוקן'!$L82</f>
        <v>437029</v>
      </c>
      <c r="D78" s="2">
        <f>-1*'[1]ישיר מתוקן'!$M82</f>
        <v>-18950</v>
      </c>
      <c r="E78" s="2">
        <f>'[1]ישיר מתוקן'!$E82</f>
        <v>2148764</v>
      </c>
      <c r="F78" s="2">
        <f>-1*'[1]ישיר מתוקן'!$AF82</f>
        <v>-185858</v>
      </c>
      <c r="G78" s="2">
        <f>'[1]ישיר מתוקן'!$AA82</f>
        <v>71258</v>
      </c>
      <c r="H78" s="2">
        <f>'[1]ישיר מתוקן'!$AD82</f>
        <v>12388</v>
      </c>
      <c r="I78" s="2">
        <f>-1*'[1]ישיר מתוקן'!$AE82</f>
        <v>-44560</v>
      </c>
      <c r="J78" s="2">
        <f>'[1]ישיר מתוקן'!$W82</f>
        <v>278689</v>
      </c>
    </row>
    <row r="79" spans="1:10" x14ac:dyDescent="0.2">
      <c r="A79" s="26">
        <v>37408</v>
      </c>
      <c r="B79" s="2">
        <f>'[1]ישיר מתוקן'!$K83</f>
        <v>964264</v>
      </c>
      <c r="C79" s="2">
        <f>'[1]ישיר מתוקן'!$L83</f>
        <v>318571</v>
      </c>
      <c r="D79" s="2">
        <f>-1*'[1]ישיר מתוקן'!$M83</f>
        <v>-2283</v>
      </c>
      <c r="E79" s="2">
        <f>'[1]ישיר מתוקן'!$E83</f>
        <v>1834833</v>
      </c>
      <c r="F79" s="2">
        <f>-1*'[1]ישיר מתוקן'!$AF83</f>
        <v>-185309</v>
      </c>
      <c r="G79" s="2">
        <f>'[1]ישיר מתוקן'!$AA83</f>
        <v>65169</v>
      </c>
      <c r="H79" s="2">
        <f>'[1]ישיר מתוקן'!$AD83</f>
        <v>14493</v>
      </c>
      <c r="I79" s="2">
        <f>-1*'[1]ישיר מתוקן'!$AE83</f>
        <v>-74938</v>
      </c>
      <c r="J79" s="2">
        <f>'[1]ישיר מתוקן'!$W83</f>
        <v>212451</v>
      </c>
    </row>
    <row r="80" spans="1:10" x14ac:dyDescent="0.2">
      <c r="A80" s="26">
        <v>37438</v>
      </c>
      <c r="B80" s="2">
        <f>'[1]ישיר מתוקן'!$K84</f>
        <v>1042717</v>
      </c>
      <c r="C80" s="2">
        <f>'[1]ישיר מתוקן'!$L84</f>
        <v>336997</v>
      </c>
      <c r="D80" s="2">
        <f>-1*'[1]ישיר מתוקן'!$M84</f>
        <v>-4388</v>
      </c>
      <c r="E80" s="2">
        <f>'[1]ישיר מתוקן'!$E84</f>
        <v>2196367</v>
      </c>
      <c r="F80" s="2">
        <f>-1*'[1]ישיר מתוקן'!$AF84</f>
        <v>-178177</v>
      </c>
      <c r="G80" s="2">
        <f>'[1]ישיר מתוקן'!$AA84</f>
        <v>73168</v>
      </c>
      <c r="H80" s="2">
        <f>'[1]ישיר מתוקן'!$AD84</f>
        <v>14430</v>
      </c>
      <c r="I80" s="2">
        <f>-1*'[1]ישיר מתוקן'!$AE84</f>
        <v>-156047</v>
      </c>
      <c r="J80" s="2">
        <f>'[1]ישיר מתוקן'!$W84</f>
        <v>220835</v>
      </c>
    </row>
    <row r="81" spans="1:10" x14ac:dyDescent="0.2">
      <c r="A81" s="26">
        <v>37469</v>
      </c>
      <c r="B81" s="2">
        <f>'[1]ישיר מתוקן'!$K85</f>
        <v>949359</v>
      </c>
      <c r="C81" s="2">
        <f>'[1]ישיר מתוקן'!$L85</f>
        <v>279429</v>
      </c>
      <c r="D81" s="2">
        <f>-1*'[1]ישיר מתוקן'!$M85</f>
        <v>-4646</v>
      </c>
      <c r="E81" s="2">
        <f>'[1]ישיר מתוקן'!$E85</f>
        <v>1711560</v>
      </c>
      <c r="F81" s="2">
        <f>-1*'[1]ישיר מתוקן'!$AF85</f>
        <v>-475248</v>
      </c>
      <c r="G81" s="2">
        <f>'[1]ישיר מתוקן'!$AA85</f>
        <v>67608</v>
      </c>
      <c r="H81" s="2">
        <f>'[1]ישיר מתוקן'!$AD85</f>
        <v>68329</v>
      </c>
      <c r="I81" s="2">
        <f>-1*'[1]ישיר מתוקן'!$AE85</f>
        <v>-141681</v>
      </c>
      <c r="J81" s="2">
        <f>'[1]ישיר מתוקן'!$W85</f>
        <v>286791</v>
      </c>
    </row>
    <row r="82" spans="1:10" x14ac:dyDescent="0.2">
      <c r="A82" s="26">
        <v>37500</v>
      </c>
      <c r="B82" s="2">
        <f>'[1]ישיר מתוקן'!$K86</f>
        <v>933113</v>
      </c>
      <c r="C82" s="2">
        <f>'[1]ישיר מתוקן'!$L86</f>
        <v>313984</v>
      </c>
      <c r="D82" s="2">
        <f>-1*'[1]ישיר מתוקן'!$M86</f>
        <v>-2734</v>
      </c>
      <c r="E82" s="2">
        <f>'[1]ישיר מתוקן'!$E86</f>
        <v>1925294</v>
      </c>
      <c r="F82" s="2">
        <f>-1*'[1]ישיר מתוקן'!$AF86</f>
        <v>-71256</v>
      </c>
      <c r="G82" s="2">
        <f>'[1]ישיר מתוקן'!$AA86</f>
        <v>66494</v>
      </c>
      <c r="H82" s="2">
        <f>'[1]ישיר מתוקן'!$AD86</f>
        <v>9636</v>
      </c>
      <c r="I82" s="2">
        <f>-1*'[1]ישיר מתוקן'!$AE86</f>
        <v>-96019</v>
      </c>
      <c r="J82" s="2">
        <f>'[1]ישיר מתוקן'!$W86</f>
        <v>198245</v>
      </c>
    </row>
    <row r="83" spans="1:10" x14ac:dyDescent="0.2">
      <c r="A83" s="26">
        <v>37530</v>
      </c>
      <c r="B83" s="2">
        <f>'[1]ישיר מתוקן'!$K87</f>
        <v>950412</v>
      </c>
      <c r="C83" s="2">
        <f>'[1]ישיר מתוקן'!$L87</f>
        <v>236127</v>
      </c>
      <c r="D83" s="2">
        <f>-1*'[1]ישיר מתוקן'!$M87</f>
        <v>-1217</v>
      </c>
      <c r="E83" s="2">
        <f>'[1]ישיר מתוקן'!$E87</f>
        <v>1565805</v>
      </c>
      <c r="F83" s="2">
        <f>-1*'[1]ישיר מתוקן'!$AF87</f>
        <v>-153292</v>
      </c>
      <c r="G83" s="2">
        <f>'[1]ישיר מתוקן'!$AA87</f>
        <v>64642</v>
      </c>
      <c r="H83" s="2">
        <f>'[1]ישיר מתוקן'!$AD87</f>
        <v>27944</v>
      </c>
      <c r="I83" s="2">
        <f>-1*'[1]ישיר מתוקן'!$AE87</f>
        <v>-168286</v>
      </c>
      <c r="J83" s="2">
        <f>'[1]ישיר מתוקן'!$W87</f>
        <v>177563</v>
      </c>
    </row>
    <row r="84" spans="1:10" x14ac:dyDescent="0.2">
      <c r="A84" s="26">
        <v>37561</v>
      </c>
      <c r="B84" s="2">
        <f>'[1]ישיר מתוקן'!$K88</f>
        <v>900876</v>
      </c>
      <c r="C84" s="2">
        <f>'[1]ישיר מתוקן'!$L88</f>
        <v>288429</v>
      </c>
      <c r="D84" s="2">
        <f>-1*'[1]ישיר מתוקן'!$M88</f>
        <v>-5099</v>
      </c>
      <c r="E84" s="2">
        <f>'[1]ישיר מתוקן'!$E88</f>
        <v>1794602</v>
      </c>
      <c r="F84" s="2">
        <f>-1*'[1]ישיר מתוקן'!$AF88</f>
        <v>-223139</v>
      </c>
      <c r="G84" s="2">
        <f>'[1]ישיר מתוקן'!$AA88</f>
        <v>79399</v>
      </c>
      <c r="H84" s="2">
        <f>'[1]ישיר מתוקן'!$AD88</f>
        <v>8976</v>
      </c>
      <c r="I84" s="2">
        <f>-1*'[1]ישיר מתוקן'!$AE88</f>
        <v>-20595</v>
      </c>
      <c r="J84" s="2">
        <f>'[1]ישיר מתוקן'!$W88</f>
        <v>214340</v>
      </c>
    </row>
    <row r="85" spans="1:10" x14ac:dyDescent="0.2">
      <c r="A85" s="26">
        <v>37591</v>
      </c>
      <c r="B85" s="2">
        <f>'[1]ישיר מתוקן'!$K89</f>
        <v>658714</v>
      </c>
      <c r="C85" s="2">
        <f>'[1]ישיר מתוקן'!$L89</f>
        <v>411310</v>
      </c>
      <c r="D85" s="2">
        <f>-1*'[1]ישיר מתוקן'!$M89</f>
        <v>-5659</v>
      </c>
      <c r="E85" s="2">
        <f>'[1]ישיר מתוקן'!$E89</f>
        <v>1503191</v>
      </c>
      <c r="F85" s="2">
        <f>-1*'[1]ישיר מתוקן'!$AF89</f>
        <v>-219826</v>
      </c>
      <c r="G85" s="2">
        <f>'[1]ישיר מתוקן'!$AA89</f>
        <v>76654</v>
      </c>
      <c r="H85" s="2">
        <f>'[1]ישיר מתוקן'!$AD89</f>
        <v>26621</v>
      </c>
      <c r="I85" s="2">
        <f>-1*'[1]ישיר מתוקן'!$AE89</f>
        <v>-17242</v>
      </c>
      <c r="J85" s="2">
        <f>'[1]ישיר מתוקן'!$W89</f>
        <v>242297</v>
      </c>
    </row>
    <row r="86" spans="1:10" x14ac:dyDescent="0.2">
      <c r="A86" s="26">
        <v>37622</v>
      </c>
      <c r="B86" s="2">
        <f>'[1]ישיר מתוקן'!$K90</f>
        <v>40503</v>
      </c>
      <c r="C86" s="2">
        <f>'[1]ישיר מתוקן'!$L90</f>
        <v>1266584</v>
      </c>
      <c r="D86" s="2">
        <f>-1*'[1]ישיר מתוקן'!$M90</f>
        <v>-7678</v>
      </c>
      <c r="E86" s="2">
        <f>'[1]ישיר מתוקן'!$E90</f>
        <v>2027748</v>
      </c>
      <c r="F86" s="2">
        <f>-1*'[1]ישיר מתוקן'!$AF90</f>
        <v>-799627</v>
      </c>
      <c r="G86" s="2">
        <f>'[1]ישיר מתוקן'!$AA90</f>
        <v>133860</v>
      </c>
      <c r="H86" s="2">
        <f>'[1]ישיר מתוקן'!$AD90</f>
        <v>16237</v>
      </c>
      <c r="I86" s="2">
        <f>-1*'[1]ישיר מתוקן'!$AE90</f>
        <v>-24044</v>
      </c>
      <c r="J86" s="2">
        <f>'[1]ישיר מתוקן'!$W90</f>
        <v>281208</v>
      </c>
    </row>
    <row r="87" spans="1:10" x14ac:dyDescent="0.2">
      <c r="A87" s="26">
        <v>37653</v>
      </c>
      <c r="B87" s="2">
        <f>'[1]ישיר מתוקן'!$K91</f>
        <v>897143</v>
      </c>
      <c r="C87" s="2">
        <f>'[1]ישיר מתוקן'!$L91</f>
        <v>592024</v>
      </c>
      <c r="D87" s="2">
        <f>-1*'[1]ישיר מתוקן'!$M91</f>
        <v>-2283</v>
      </c>
      <c r="E87" s="2">
        <f>'[1]ישיר מתוקן'!$E91</f>
        <v>1980191</v>
      </c>
      <c r="F87" s="2">
        <f>-1*'[1]ישיר מתוקן'!$AF91</f>
        <v>-508497</v>
      </c>
      <c r="G87" s="2">
        <f>'[1]ישיר מתוקן'!$AA91</f>
        <v>61173</v>
      </c>
      <c r="H87" s="2">
        <f>'[1]ישיר מתוקן'!$AD91</f>
        <v>29327</v>
      </c>
      <c r="I87" s="2">
        <f>-1*'[1]ישיר מתוקן'!$AE91</f>
        <v>-338079</v>
      </c>
      <c r="J87" s="2">
        <f>'[1]ישיר מתוקן'!$W91</f>
        <v>254752</v>
      </c>
    </row>
    <row r="88" spans="1:10" x14ac:dyDescent="0.2">
      <c r="A88" s="26">
        <v>37681</v>
      </c>
      <c r="B88" s="2">
        <f>'[1]ישיר מתוקן'!$K92</f>
        <v>962425</v>
      </c>
      <c r="C88" s="2">
        <f>'[1]ישיר מתוקן'!$L92</f>
        <v>484672</v>
      </c>
      <c r="D88" s="2">
        <f>-1*'[1]ישיר מתוקן'!$M92</f>
        <v>-5487</v>
      </c>
      <c r="E88" s="2">
        <f>'[1]ישיר מתוקן'!$E92</f>
        <v>2109429</v>
      </c>
      <c r="F88" s="2">
        <f>-1*'[1]ישיר מתוקן'!$AF92</f>
        <v>-349667</v>
      </c>
      <c r="G88" s="2">
        <f>'[1]ישיר מתוקן'!$AA92</f>
        <v>73072</v>
      </c>
      <c r="H88" s="2">
        <f>'[1]ישיר מתוקן'!$AD92</f>
        <v>12483</v>
      </c>
      <c r="I88" s="2">
        <f>-1*'[1]ישיר מתוקן'!$AE92</f>
        <v>-93388</v>
      </c>
      <c r="J88" s="2">
        <f>'[1]ישיר מתוקן'!$W92</f>
        <v>242962</v>
      </c>
    </row>
    <row r="89" spans="1:10" x14ac:dyDescent="0.2">
      <c r="A89" s="26">
        <v>37712</v>
      </c>
      <c r="B89" s="2">
        <f>'[1]ישיר מתוקן'!$K93</f>
        <v>1033712</v>
      </c>
      <c r="C89" s="2">
        <f>'[1]ישיר מתוקן'!$L93</f>
        <v>311622</v>
      </c>
      <c r="D89" s="2">
        <f>-1*'[1]ישיר מתוקן'!$M93</f>
        <v>-2116</v>
      </c>
      <c r="E89" s="2">
        <f>'[1]ישיר מתוקן'!$E93</f>
        <v>1720213</v>
      </c>
      <c r="F89" s="2">
        <f>-1*'[1]ישיר מתוקן'!$AF93</f>
        <v>-252122</v>
      </c>
      <c r="G89" s="2">
        <f>'[1]ישיר מתוקן'!$AA93</f>
        <v>65158</v>
      </c>
      <c r="H89" s="2">
        <f>'[1]ישיר מתוקן'!$AD93</f>
        <v>6791</v>
      </c>
      <c r="I89" s="2">
        <f>-1*'[1]ישיר מתוקן'!$AE93</f>
        <v>-5037</v>
      </c>
      <c r="J89" s="2">
        <f>'[1]ישיר מתוקן'!$W93</f>
        <v>182576</v>
      </c>
    </row>
    <row r="90" spans="1:10" x14ac:dyDescent="0.2">
      <c r="A90" s="26">
        <v>37742</v>
      </c>
      <c r="B90" s="2">
        <f>'[1]ישיר מתוקן'!$K94</f>
        <v>1123273</v>
      </c>
      <c r="C90" s="2">
        <f>'[1]ישיר מתוקן'!$L94</f>
        <v>258298</v>
      </c>
      <c r="D90" s="2">
        <f>-1*'[1]ישיר מתוקן'!$M94</f>
        <v>-8453</v>
      </c>
      <c r="E90" s="2">
        <f>'[1]ישיר מתוקן'!$E94</f>
        <v>2139822</v>
      </c>
      <c r="F90" s="2">
        <f>-1*'[1]ישיר מתוקן'!$AF94</f>
        <v>-372677</v>
      </c>
      <c r="G90" s="2">
        <f>'[1]ישיר מתוקן'!$AA94</f>
        <v>76757</v>
      </c>
      <c r="H90" s="2">
        <f>'[1]ישיר מתוקן'!$AD94</f>
        <v>10288</v>
      </c>
      <c r="I90" s="2">
        <f>-1*'[1]ישיר מתוקן'!$AE94</f>
        <v>-23961</v>
      </c>
      <c r="J90" s="2">
        <f>'[1]ישיר מתוקן'!$W94</f>
        <v>207680</v>
      </c>
    </row>
    <row r="91" spans="1:10" x14ac:dyDescent="0.2">
      <c r="A91" s="26">
        <v>37773</v>
      </c>
      <c r="B91" s="2">
        <f>'[1]ישיר מתוקן'!$K95</f>
        <v>1248760</v>
      </c>
      <c r="C91" s="2">
        <f>'[1]ישיר מתוקן'!$L95</f>
        <v>308401</v>
      </c>
      <c r="D91" s="2">
        <f>-1*'[1]ישיר מתוקן'!$M95</f>
        <v>-3297</v>
      </c>
      <c r="E91" s="2">
        <f>'[1]ישיר מתוקן'!$E95</f>
        <v>1981382</v>
      </c>
      <c r="F91" s="2">
        <f>-1*'[1]ישיר מתוקן'!$AF95</f>
        <v>-153451</v>
      </c>
      <c r="G91" s="2">
        <f>'[1]ישיר מתוקן'!$AA95</f>
        <v>150861</v>
      </c>
      <c r="H91" s="2">
        <f>'[1]ישיר מתוקן'!$AD95</f>
        <v>22157</v>
      </c>
      <c r="I91" s="2">
        <f>-1*'[1]ישיר מתוקן'!$AE95</f>
        <v>-16544</v>
      </c>
      <c r="J91" s="2">
        <f>'[1]ישיר מתוקן'!$W95</f>
        <v>203457</v>
      </c>
    </row>
    <row r="92" spans="1:10" x14ac:dyDescent="0.2">
      <c r="A92" s="26">
        <v>37803</v>
      </c>
      <c r="B92" s="2">
        <f>'[1]ישיר מתוקן'!$K96</f>
        <v>1290189</v>
      </c>
      <c r="C92" s="2">
        <f>'[1]ישיר מתוקן'!$L96</f>
        <v>369319</v>
      </c>
      <c r="D92" s="2">
        <f>-1*'[1]ישיר מתוקן'!$M96</f>
        <v>-4332</v>
      </c>
      <c r="E92" s="2">
        <f>'[1]ישיר מתוקן'!$E96</f>
        <v>2498585</v>
      </c>
      <c r="F92" s="2">
        <f>-1*'[1]ישיר מתוקן'!$AF96</f>
        <v>-244244</v>
      </c>
      <c r="G92" s="2">
        <f>'[1]ישיר מתוקן'!$AA96</f>
        <v>72946</v>
      </c>
      <c r="H92" s="2">
        <f>'[1]ישיר מתוקן'!$AD96</f>
        <v>10465</v>
      </c>
      <c r="I92" s="2">
        <f>-1*'[1]ישיר מתוקן'!$AE96</f>
        <v>-18893</v>
      </c>
      <c r="J92" s="2">
        <f>'[1]ישיר מתוקן'!$W96</f>
        <v>540774</v>
      </c>
    </row>
    <row r="93" spans="1:10" x14ac:dyDescent="0.2">
      <c r="A93" s="26">
        <v>37834</v>
      </c>
      <c r="B93" s="2">
        <f>'[1]ישיר מתוקן'!$K97</f>
        <v>1224187</v>
      </c>
      <c r="C93" s="2">
        <f>'[1]ישיר מתוקן'!$L97</f>
        <v>376355</v>
      </c>
      <c r="D93" s="2">
        <f>-1*'[1]ישיר מתוקן'!$M97</f>
        <v>-2503</v>
      </c>
      <c r="E93" s="2">
        <f>'[1]ישיר מתוקן'!$E97</f>
        <v>2389401</v>
      </c>
      <c r="F93" s="2">
        <f>-1*'[1]ישיר מתוקן'!$AF97</f>
        <v>-331583</v>
      </c>
      <c r="G93" s="2">
        <f>'[1]ישיר מתוקן'!$AA97</f>
        <v>71821</v>
      </c>
      <c r="H93" s="2">
        <f>'[1]ישיר מתוקן'!$AD97</f>
        <v>13270</v>
      </c>
      <c r="I93" s="2">
        <f>-1*'[1]ישיר מתוקן'!$AE97</f>
        <v>-24305</v>
      </c>
      <c r="J93" s="2">
        <f>'[1]ישיר מתוקן'!$W97</f>
        <v>221292</v>
      </c>
    </row>
    <row r="94" spans="1:10" x14ac:dyDescent="0.2">
      <c r="A94" s="26">
        <v>37865</v>
      </c>
      <c r="B94" s="2">
        <f>'[1]ישיר מתוקן'!$K98</f>
        <v>1182218</v>
      </c>
      <c r="C94" s="2">
        <f>'[1]ישיר מתוקן'!$L98</f>
        <v>385079</v>
      </c>
      <c r="D94" s="2">
        <f>-1*'[1]ישיר מתוקן'!$M98</f>
        <v>-2634</v>
      </c>
      <c r="E94" s="2">
        <f>'[1]ישיר מתוקן'!$E98</f>
        <v>2208614</v>
      </c>
      <c r="F94" s="2">
        <f>-1*'[1]ישיר מתוקן'!$AF98</f>
        <v>-301460</v>
      </c>
      <c r="G94" s="2">
        <f>'[1]ישיר מתוקן'!$AA98</f>
        <v>79803</v>
      </c>
      <c r="H94" s="2">
        <f>'[1]ישיר מתוקן'!$AD98</f>
        <v>4282</v>
      </c>
      <c r="I94" s="2">
        <f>-1*'[1]ישיר מתוקן'!$AE98</f>
        <v>-13547</v>
      </c>
      <c r="J94" s="2">
        <f>'[1]ישיר מתוקן'!$W98</f>
        <v>302807</v>
      </c>
    </row>
    <row r="95" spans="1:10" x14ac:dyDescent="0.2">
      <c r="A95" s="26">
        <v>37895</v>
      </c>
      <c r="B95" s="2">
        <f>'[1]ישיר מתוקן'!$K99</f>
        <v>1292295</v>
      </c>
      <c r="C95" s="2">
        <f>'[1]ישיר מתוקן'!$L99</f>
        <v>332106</v>
      </c>
      <c r="D95" s="2">
        <f>-1*'[1]ישיר מתוקן'!$M99</f>
        <v>-2251</v>
      </c>
      <c r="E95" s="2">
        <f>'[1]ישיר מתוקן'!$E99</f>
        <v>2033924</v>
      </c>
      <c r="F95" s="2">
        <f>-1*'[1]ישיר מתוקן'!$AF99</f>
        <v>-171436</v>
      </c>
      <c r="G95" s="2">
        <f>'[1]ישיר מתוקן'!$AA99</f>
        <v>66391</v>
      </c>
      <c r="H95" s="2">
        <f>'[1]ישיר מתוקן'!$AD99</f>
        <v>5550</v>
      </c>
      <c r="I95" s="2">
        <f>-1*'[1]ישיר מתוקן'!$AE99</f>
        <v>-13173</v>
      </c>
      <c r="J95" s="2">
        <f>'[1]ישיר מתוקן'!$W99</f>
        <v>179398</v>
      </c>
    </row>
    <row r="96" spans="1:10" x14ac:dyDescent="0.2">
      <c r="A96" s="26">
        <v>37926</v>
      </c>
      <c r="B96" s="2">
        <f>'[1]ישיר מתוקן'!$K100</f>
        <v>1133541</v>
      </c>
      <c r="C96" s="2">
        <f>'[1]ישיר מתוקן'!$L100</f>
        <v>252506</v>
      </c>
      <c r="D96" s="2">
        <f>-1*'[1]ישיר מתוקן'!$M100</f>
        <v>-14754</v>
      </c>
      <c r="E96" s="2">
        <f>'[1]ישיר מתוקן'!$E100</f>
        <v>1996443</v>
      </c>
      <c r="F96" s="2">
        <f>-1*'[1]ישיר מתוקן'!$AF100</f>
        <v>-212740</v>
      </c>
      <c r="G96" s="2">
        <f>'[1]ישיר מתוקן'!$AA100</f>
        <v>67907</v>
      </c>
      <c r="H96" s="2">
        <f>'[1]ישיר מתוקן'!$AD100</f>
        <v>6707</v>
      </c>
      <c r="I96" s="2">
        <f>-1*'[1]ישיר מתוקן'!$AE100</f>
        <v>-209925</v>
      </c>
      <c r="J96" s="2">
        <f>'[1]ישיר מתוקן'!$W100</f>
        <v>227253</v>
      </c>
    </row>
    <row r="97" spans="1:10" x14ac:dyDescent="0.2">
      <c r="A97" s="26">
        <v>37956</v>
      </c>
      <c r="B97" s="2">
        <f>'[1]ישיר מתוקן'!$K101</f>
        <v>807574</v>
      </c>
      <c r="C97" s="2">
        <f>'[1]ישיר מתוקן'!$L101</f>
        <v>405068</v>
      </c>
      <c r="D97" s="2">
        <f>-1*'[1]ישיר מתוקן'!$M101</f>
        <v>-3961</v>
      </c>
      <c r="E97" s="2">
        <f>'[1]ישיר מתוקן'!$E101</f>
        <v>1580956</v>
      </c>
      <c r="F97" s="2">
        <f>-1*'[1]ישיר מתוקן'!$AF101</f>
        <v>-449312</v>
      </c>
      <c r="G97" s="2">
        <f>'[1]ישיר מתוקן'!$AA101</f>
        <v>70807</v>
      </c>
      <c r="H97" s="2">
        <f>'[1]ישיר מתוקן'!$AD101</f>
        <v>8288</v>
      </c>
      <c r="I97" s="2">
        <f>-1*'[1]ישיר מתוקן'!$AE101</f>
        <v>-49469</v>
      </c>
      <c r="J97" s="2">
        <f>'[1]ישיר מתוקן'!$W101</f>
        <v>237988</v>
      </c>
    </row>
    <row r="98" spans="1:10" x14ac:dyDescent="0.2">
      <c r="A98" s="26">
        <v>37987</v>
      </c>
      <c r="B98" s="2">
        <f>'[1]ישיר מתוקן'!$K102</f>
        <v>33587</v>
      </c>
      <c r="C98" s="2">
        <f>'[1]ישיר מתוקן'!$L102</f>
        <v>1311527</v>
      </c>
      <c r="D98" s="2">
        <f>-1*'[1]ישיר מתוקן'!$M102</f>
        <v>-7640</v>
      </c>
      <c r="E98" s="2">
        <f>'[1]ישיר מתוקן'!$E102</f>
        <v>1983680</v>
      </c>
      <c r="F98" s="2">
        <f>-1*'[1]ישיר מתוקן'!$AF102</f>
        <v>-322706</v>
      </c>
      <c r="G98" s="2">
        <f>'[1]ישיר מתוקן'!$AA102</f>
        <v>124613</v>
      </c>
      <c r="H98" s="2">
        <f>'[1]ישיר מתוקן'!$AD102</f>
        <v>24134</v>
      </c>
      <c r="I98" s="2">
        <f>-1*'[1]ישיר מתוקן'!$AE102</f>
        <v>-41996</v>
      </c>
      <c r="J98" s="2">
        <f>'[1]ישיר מתוקן'!$W102</f>
        <v>296760</v>
      </c>
    </row>
    <row r="99" spans="1:10" x14ac:dyDescent="0.2">
      <c r="A99" s="26">
        <v>38018</v>
      </c>
      <c r="B99" s="2">
        <f>'[1]ישיר מתוקן'!$K103</f>
        <v>1100003</v>
      </c>
      <c r="C99" s="2">
        <f>'[1]ישיר מתוקן'!$L103</f>
        <v>880067</v>
      </c>
      <c r="D99" s="2">
        <f>-1*'[1]ישיר מתוקן'!$M103</f>
        <v>-27768</v>
      </c>
      <c r="E99" s="2">
        <f>'[1]ישיר מתוקן'!$E103</f>
        <v>2440476</v>
      </c>
      <c r="F99" s="2">
        <f>-1*'[1]ישיר מתוקן'!$AF103</f>
        <v>-412331</v>
      </c>
      <c r="G99" s="2">
        <f>'[1]ישיר מתוקן'!$AA103</f>
        <v>64466</v>
      </c>
      <c r="H99" s="2">
        <f>'[1]ישיר מתוקן'!$AD103</f>
        <v>22506</v>
      </c>
      <c r="I99" s="2">
        <f>-1*'[1]ישיר מתוקן'!$AE103</f>
        <v>-24192</v>
      </c>
      <c r="J99" s="2">
        <f>'[1]ישיר מתוקן'!$W103</f>
        <v>269625</v>
      </c>
    </row>
    <row r="100" spans="1:10" x14ac:dyDescent="0.2">
      <c r="A100" s="26">
        <v>38047</v>
      </c>
      <c r="B100" s="2">
        <f>'[1]ישיר מתוקן'!$K104</f>
        <v>1141817</v>
      </c>
      <c r="C100" s="2">
        <f>'[1]ישיר מתוקן'!$L104</f>
        <v>981580</v>
      </c>
      <c r="D100" s="2">
        <f>-1*'[1]ישיר מתוקן'!$M104</f>
        <v>-9687</v>
      </c>
      <c r="E100" s="2">
        <f>'[1]ישיר מתוקן'!$E104</f>
        <v>2777246</v>
      </c>
      <c r="F100" s="2">
        <f>-1*'[1]ישיר מתוקן'!$AF104</f>
        <v>-622730</v>
      </c>
      <c r="G100" s="2">
        <f>'[1]ישיר מתוקן'!$AA104</f>
        <v>68768</v>
      </c>
      <c r="H100" s="2">
        <f>'[1]ישיר מתוקן'!$AD104</f>
        <v>24940</v>
      </c>
      <c r="I100" s="2">
        <f>-1*'[1]ישיר מתוקן'!$AE104</f>
        <v>-323249</v>
      </c>
      <c r="J100" s="2">
        <f>'[1]ישיר מתוקן'!$W104</f>
        <v>373225</v>
      </c>
    </row>
    <row r="101" spans="1:10" x14ac:dyDescent="0.2">
      <c r="A101" s="26">
        <v>38078</v>
      </c>
      <c r="B101" s="2">
        <f>'[1]ישיר מתוקן'!$K105</f>
        <v>1331792</v>
      </c>
      <c r="C101" s="2">
        <f>'[1]ישיר מתוקן'!$L105</f>
        <v>574426</v>
      </c>
      <c r="D101" s="2">
        <f>-1*'[1]ישיר מתוקן'!$M105</f>
        <v>-1770</v>
      </c>
      <c r="E101" s="2">
        <f>'[1]ישיר מתוקן'!$E105</f>
        <v>2343411</v>
      </c>
      <c r="F101" s="2">
        <f>-1*'[1]ישיר מתוקן'!$AF105</f>
        <v>-356407</v>
      </c>
      <c r="G101" s="2">
        <f>'[1]ישיר מתוקן'!$AA105</f>
        <v>62719</v>
      </c>
      <c r="H101" s="2">
        <f>'[1]ישיר מתוקן'!$AD105</f>
        <v>6780</v>
      </c>
      <c r="I101" s="2">
        <f>-1*'[1]ישיר מתוקן'!$AE105</f>
        <v>-15781</v>
      </c>
      <c r="J101" s="2">
        <f>'[1]ישיר מתוקן'!$W105</f>
        <v>228495</v>
      </c>
    </row>
    <row r="102" spans="1:10" x14ac:dyDescent="0.2">
      <c r="A102" s="26">
        <v>38108</v>
      </c>
      <c r="B102" s="2">
        <f>'[1]ישיר מתוקן'!$K106</f>
        <v>1130869</v>
      </c>
      <c r="C102" s="2">
        <f>'[1]ישיר מתוקן'!$L106</f>
        <v>535810</v>
      </c>
      <c r="D102" s="2">
        <f>-1*'[1]ישיר מתוקן'!$M106</f>
        <v>-2039</v>
      </c>
      <c r="E102" s="2">
        <f>'[1]ישיר מתוקן'!$E106</f>
        <v>2348799</v>
      </c>
      <c r="F102" s="2">
        <f>-1*'[1]ישיר מתוקן'!$AF106</f>
        <v>-283343</v>
      </c>
      <c r="G102" s="2">
        <f>'[1]ישיר מתוקן'!$AA106</f>
        <v>73307</v>
      </c>
      <c r="H102" s="2">
        <f>'[1]ישיר מתוקן'!$AD106</f>
        <v>8484</v>
      </c>
      <c r="I102" s="2">
        <f>-1*'[1]ישיר מתוקן'!$AE106</f>
        <v>-127282</v>
      </c>
      <c r="J102" s="2">
        <f>'[1]ישיר מתוקן'!$W106</f>
        <v>216403</v>
      </c>
    </row>
    <row r="103" spans="1:10" x14ac:dyDescent="0.2">
      <c r="A103" s="26">
        <v>38139</v>
      </c>
      <c r="B103" s="2">
        <f>'[1]ישיר מתוקן'!$K107</f>
        <v>1298005</v>
      </c>
      <c r="C103" s="2">
        <f>'[1]ישיר מתוקן'!$L107</f>
        <v>493724</v>
      </c>
      <c r="D103" s="2">
        <f>-1*'[1]ישיר מתוקן'!$M107</f>
        <v>-14159</v>
      </c>
      <c r="E103" s="2">
        <f>'[1]ישיר מתוקן'!$E107</f>
        <v>2223174</v>
      </c>
      <c r="F103" s="2">
        <f>-1*'[1]ישיר מתוקן'!$AF107</f>
        <v>-362791</v>
      </c>
      <c r="G103" s="2">
        <f>'[1]ישיר מתוקן'!$AA107</f>
        <v>67754</v>
      </c>
      <c r="H103" s="2">
        <f>'[1]ישיר מתוקן'!$AD107</f>
        <v>6486</v>
      </c>
      <c r="I103" s="2">
        <f>-1*'[1]ישיר מתוקן'!$AE107</f>
        <v>-20956</v>
      </c>
      <c r="J103" s="2">
        <f>'[1]ישיר מתוקן'!$W107</f>
        <v>194984</v>
      </c>
    </row>
    <row r="104" spans="1:10" x14ac:dyDescent="0.2">
      <c r="A104" s="26">
        <v>38169</v>
      </c>
      <c r="B104" s="2">
        <f>'[1]ישיר מתוקן'!$K108</f>
        <v>1363589</v>
      </c>
      <c r="C104" s="2">
        <f>'[1]ישיר מתוקן'!$L108</f>
        <v>437225</v>
      </c>
      <c r="D104" s="2">
        <f>-1*'[1]ישיר מתוקן'!$M108</f>
        <v>-5853</v>
      </c>
      <c r="E104" s="2">
        <f>'[1]ישיר מתוקן'!$E108</f>
        <v>2540697</v>
      </c>
      <c r="F104" s="2">
        <f>-1*'[1]ישיר מתוקן'!$AF108</f>
        <v>-413368</v>
      </c>
      <c r="G104" s="2">
        <f>'[1]ישיר מתוקן'!$AA108</f>
        <v>79803</v>
      </c>
      <c r="H104" s="2">
        <f>'[1]ישיר מתוקן'!$AD108</f>
        <v>6362</v>
      </c>
      <c r="I104" s="2">
        <f>-1*'[1]ישיר מתוקן'!$AE108</f>
        <v>-18898</v>
      </c>
      <c r="J104" s="2">
        <f>'[1]ישיר מתוקן'!$W108</f>
        <v>216080</v>
      </c>
    </row>
    <row r="105" spans="1:10" x14ac:dyDescent="0.2">
      <c r="A105" s="26">
        <v>38200</v>
      </c>
      <c r="B105" s="2">
        <f>'[1]ישיר מתוקן'!$K109</f>
        <v>1311819</v>
      </c>
      <c r="C105" s="2">
        <f>'[1]ישיר מתוקן'!$L109</f>
        <v>418135</v>
      </c>
      <c r="D105" s="2">
        <f>-1*'[1]ישיר מתוקן'!$M109</f>
        <v>-3641</v>
      </c>
      <c r="E105" s="2">
        <f>'[1]ישיר מתוקן'!$E109</f>
        <v>2206190</v>
      </c>
      <c r="F105" s="2">
        <f>-1*'[1]ישיר מתוקן'!$AF109</f>
        <v>-285150</v>
      </c>
      <c r="G105" s="2">
        <f>'[1]ישיר מתוקן'!$AA109</f>
        <v>73560</v>
      </c>
      <c r="H105" s="2">
        <f>'[1]ישיר מתוקן'!$AD109</f>
        <v>38464</v>
      </c>
      <c r="I105" s="2">
        <f>-1*'[1]ישיר מתוקן'!$AE109</f>
        <v>-26912</v>
      </c>
      <c r="J105" s="2">
        <f>'[1]ישיר מתוקן'!$W109</f>
        <v>224290</v>
      </c>
    </row>
    <row r="106" spans="1:10" x14ac:dyDescent="0.2">
      <c r="A106" s="26">
        <v>38231</v>
      </c>
      <c r="B106" s="2">
        <f>'[1]ישיר מתוקן'!$K110</f>
        <v>1396033</v>
      </c>
      <c r="C106" s="2">
        <f>'[1]ישיר מתוקן'!$L110</f>
        <v>553066</v>
      </c>
      <c r="D106" s="2">
        <f>-1*'[1]ישיר מתוקן'!$M110</f>
        <v>-5726</v>
      </c>
      <c r="E106" s="2">
        <f>'[1]ישיר מתוקן'!$E110</f>
        <v>2632501</v>
      </c>
      <c r="F106" s="2">
        <f>-1*'[1]ישיר מתוקן'!$AF110</f>
        <v>-175602</v>
      </c>
      <c r="G106" s="2">
        <f>'[1]ישיר מתוקן'!$AA110</f>
        <v>68374</v>
      </c>
      <c r="H106" s="2">
        <f>'[1]ישיר מתוקן'!$AD110</f>
        <v>7481</v>
      </c>
      <c r="I106" s="2">
        <f>-1*'[1]ישיר מתוקן'!$AE110</f>
        <v>-8507</v>
      </c>
      <c r="J106" s="2">
        <f>'[1]ישיר מתוקן'!$W110</f>
        <v>217978</v>
      </c>
    </row>
    <row r="107" spans="1:10" x14ac:dyDescent="0.2">
      <c r="A107" s="26">
        <v>38261</v>
      </c>
      <c r="B107" s="2">
        <f>'[1]ישיר מתוקן'!$K111</f>
        <v>1345379</v>
      </c>
      <c r="C107" s="2">
        <f>'[1]ישיר מתוקן'!$L111</f>
        <v>551784</v>
      </c>
      <c r="D107" s="2">
        <f>-1*'[1]ישיר מתוקן'!$M111</f>
        <v>-64654</v>
      </c>
      <c r="E107" s="2">
        <f>'[1]ישיר מתוקן'!$E111</f>
        <v>2265905</v>
      </c>
      <c r="F107" s="2">
        <f>-1*'[1]ישיר מתוקן'!$AF111</f>
        <v>-169645</v>
      </c>
      <c r="G107" s="2">
        <f>'[1]ישיר מתוקן'!$AA111</f>
        <v>73507</v>
      </c>
      <c r="H107" s="2">
        <f>'[1]ישיר מתוקן'!$AD111</f>
        <v>9005</v>
      </c>
      <c r="I107" s="2">
        <f>-1*'[1]ישיר מתוקן'!$AE111</f>
        <v>-107894</v>
      </c>
      <c r="J107" s="2">
        <f>'[1]ישיר מתוקן'!$W111</f>
        <v>174188</v>
      </c>
    </row>
    <row r="108" spans="1:10" x14ac:dyDescent="0.2">
      <c r="A108" s="26">
        <v>38292</v>
      </c>
      <c r="B108" s="2">
        <f>'[1]ישיר מתוקן'!$K112</f>
        <v>1302573</v>
      </c>
      <c r="C108" s="2">
        <f>'[1]ישיר מתוקן'!$L112</f>
        <v>629746</v>
      </c>
      <c r="D108" s="2">
        <f>-1*'[1]ישיר מתוקן'!$M112</f>
        <v>-21123</v>
      </c>
      <c r="E108" s="2">
        <f>'[1]ישיר מתוקן'!$E112</f>
        <v>2567822</v>
      </c>
      <c r="F108" s="2">
        <f>-1*'[1]ישיר מתוקן'!$AF112</f>
        <v>-264517</v>
      </c>
      <c r="G108" s="2">
        <f>'[1]ישיר מתוקן'!$AA112</f>
        <v>83859</v>
      </c>
      <c r="H108" s="2">
        <f>'[1]ישיר מתוקן'!$AD112</f>
        <v>12031</v>
      </c>
      <c r="I108" s="2">
        <f>-1*'[1]ישיר מתוקן'!$AE112</f>
        <v>-13213</v>
      </c>
      <c r="J108" s="2">
        <f>'[1]ישיר מתוקן'!$W112</f>
        <v>204162</v>
      </c>
    </row>
    <row r="109" spans="1:10" x14ac:dyDescent="0.2">
      <c r="A109" s="26">
        <v>38322</v>
      </c>
      <c r="B109" s="2">
        <f>'[1]ישיר מתוקן'!$K113</f>
        <v>834044</v>
      </c>
      <c r="C109" s="2">
        <f>'[1]ישיר מתוקן'!$L113</f>
        <v>624071</v>
      </c>
      <c r="D109" s="2">
        <f>-1*'[1]ישיר מתוקן'!$M113</f>
        <v>-3571</v>
      </c>
      <c r="E109" s="2">
        <f>'[1]ישיר מתוקן'!$E113</f>
        <v>1912227</v>
      </c>
      <c r="F109" s="2">
        <f>-1*'[1]ישיר מתוקן'!$AF113</f>
        <v>-405667</v>
      </c>
      <c r="G109" s="2">
        <f>'[1]ישיר מתוקן'!$AA113</f>
        <v>79095</v>
      </c>
      <c r="H109" s="2">
        <f>'[1]ישיר מתוקן'!$AD113</f>
        <v>12535</v>
      </c>
      <c r="I109" s="2">
        <f>-1*'[1]ישיר מתוקן'!$AE113</f>
        <v>-17241</v>
      </c>
      <c r="J109" s="2">
        <f>'[1]ישיר מתוקן'!$W113</f>
        <v>230741</v>
      </c>
    </row>
    <row r="110" spans="1:10" x14ac:dyDescent="0.2">
      <c r="A110" s="26">
        <v>38353</v>
      </c>
      <c r="B110" s="2">
        <f>'[1]ישיר מתוקן'!$K114</f>
        <v>145803</v>
      </c>
      <c r="C110" s="2">
        <f>'[1]ישיר מתוקן'!$L114</f>
        <v>1852128</v>
      </c>
      <c r="D110" s="2">
        <f>-1*'[1]ישיר מתוקן'!$M114</f>
        <v>-4052</v>
      </c>
      <c r="E110" s="2">
        <f>'[1]ישיר מתוקן'!$E114</f>
        <v>2901843</v>
      </c>
      <c r="F110" s="2">
        <f>-1*'[1]ישיר מתוקן'!$AF114</f>
        <v>-285239</v>
      </c>
      <c r="G110" s="2">
        <f>'[1]ישיר מתוקן'!$AA114</f>
        <v>134746</v>
      </c>
      <c r="H110" s="2">
        <f>'[1]ישיר מתוקן'!$AD114</f>
        <v>13131</v>
      </c>
      <c r="I110" s="2">
        <f>-1*'[1]ישיר מתוקן'!$AE114</f>
        <v>-38330</v>
      </c>
      <c r="J110" s="2">
        <f>'[1]ישיר מתוקן'!$W114</f>
        <v>279460</v>
      </c>
    </row>
    <row r="111" spans="1:10" x14ac:dyDescent="0.2">
      <c r="A111" s="26">
        <v>38384</v>
      </c>
      <c r="B111" s="2">
        <f>'[1]ישיר מתוקן'!$K115</f>
        <v>1209655</v>
      </c>
      <c r="C111" s="2">
        <f>'[1]ישיר מתוקן'!$L115</f>
        <v>890160</v>
      </c>
      <c r="D111" s="2">
        <f>-1*'[1]ישיר מתוקן'!$M115</f>
        <v>-3919</v>
      </c>
      <c r="E111" s="2">
        <f>'[1]ישיר מתוקן'!$E115</f>
        <v>2609216</v>
      </c>
      <c r="F111" s="2">
        <f>-1*'[1]ישיר מתוקן'!$AF115</f>
        <v>-484733</v>
      </c>
      <c r="G111" s="2">
        <f>'[1]ישיר מתוקן'!$AA115</f>
        <v>65561</v>
      </c>
      <c r="H111" s="2">
        <f>'[1]ישיר מתוקן'!$AD115</f>
        <v>11850</v>
      </c>
      <c r="I111" s="2">
        <f>-1*'[1]ישיר מתוקן'!$AE115</f>
        <v>-10102</v>
      </c>
      <c r="J111" s="2">
        <f>'[1]ישיר מתוקן'!$W115</f>
        <v>201121</v>
      </c>
    </row>
    <row r="112" spans="1:10" x14ac:dyDescent="0.2">
      <c r="A112" s="26">
        <v>38412</v>
      </c>
      <c r="B112" s="2">
        <f>'[1]ישיר מתוקן'!$K116</f>
        <v>1479451</v>
      </c>
      <c r="C112" s="2">
        <f>'[1]ישיר מתוקן'!$L116</f>
        <v>873102</v>
      </c>
      <c r="D112" s="2">
        <f>-1*'[1]ישיר מתוקן'!$M116</f>
        <v>-2625</v>
      </c>
      <c r="E112" s="2">
        <f>'[1]ישיר מתוקן'!$E116</f>
        <v>3224382</v>
      </c>
      <c r="F112" s="2">
        <f>-1*'[1]ישיר מתוקן'!$AF116</f>
        <v>-265318</v>
      </c>
      <c r="G112" s="2">
        <f>'[1]ישיר מתוקן'!$AA116</f>
        <v>69750</v>
      </c>
      <c r="H112" s="2">
        <f>'[1]ישיר מתוקן'!$AD116</f>
        <v>41466</v>
      </c>
      <c r="I112" s="2">
        <f>-1*'[1]ישיר מתוקן'!$AE116</f>
        <v>-16699</v>
      </c>
      <c r="J112" s="2">
        <f>'[1]ישיר מתוקן'!$W116</f>
        <v>233753</v>
      </c>
    </row>
    <row r="113" spans="1:10" x14ac:dyDescent="0.2">
      <c r="A113" s="26">
        <v>38443</v>
      </c>
      <c r="B113" s="2">
        <f>'[1]ישיר מתוקן'!$K117</f>
        <v>1500927</v>
      </c>
      <c r="C113" s="2">
        <f>'[1]ישיר מתוקן'!$L117</f>
        <v>693998</v>
      </c>
      <c r="D113" s="2">
        <f>-1*'[1]ישיר מתוקן'!$M117</f>
        <v>-5581</v>
      </c>
      <c r="E113" s="2">
        <f>'[1]ישיר מתוקן'!$E117</f>
        <v>2660597</v>
      </c>
      <c r="F113" s="2">
        <f>-1*'[1]ישיר מתוקן'!$AF117</f>
        <v>-237449</v>
      </c>
      <c r="G113" s="2">
        <f>'[1]ישיר מתוקן'!$AA117</f>
        <v>67949</v>
      </c>
      <c r="H113" s="2">
        <f>'[1]ישיר מתוקן'!$AD117</f>
        <v>8164</v>
      </c>
      <c r="I113" s="2">
        <f>-1*'[1]ישיר מתוקן'!$AE117</f>
        <v>-41273</v>
      </c>
      <c r="J113" s="2">
        <f>'[1]ישיר מתוקן'!$W117</f>
        <v>209487</v>
      </c>
    </row>
    <row r="114" spans="1:10" x14ac:dyDescent="0.2">
      <c r="A114" s="26">
        <v>38473</v>
      </c>
      <c r="B114" s="2">
        <f>'[1]ישיר מתוקן'!$K118</f>
        <v>1359693</v>
      </c>
      <c r="C114" s="2">
        <f>'[1]ישיר מתוקן'!$L118</f>
        <v>449984</v>
      </c>
      <c r="D114" s="2">
        <f>-1*'[1]ישיר מתוקן'!$M118</f>
        <v>-5010</v>
      </c>
      <c r="E114" s="2">
        <f>'[1]ישיר מתוקן'!$E118</f>
        <v>2554199</v>
      </c>
      <c r="F114" s="2">
        <f>-1*'[1]ישיר מתוקן'!$AF118</f>
        <v>-171147</v>
      </c>
      <c r="G114" s="2">
        <f>'[1]ישיר מתוקן'!$AA118</f>
        <v>73886</v>
      </c>
      <c r="H114" s="2">
        <f>'[1]ישיר מתוקן'!$AD118</f>
        <v>11558</v>
      </c>
      <c r="I114" s="2">
        <f>-1*'[1]ישיר מתוקן'!$AE118</f>
        <v>-31819</v>
      </c>
      <c r="J114" s="2">
        <f>'[1]ישיר מתוקן'!$W118</f>
        <v>216529</v>
      </c>
    </row>
    <row r="115" spans="1:10" x14ac:dyDescent="0.2">
      <c r="A115" s="26">
        <v>38504</v>
      </c>
      <c r="B115" s="2">
        <f>'[1]ישיר מתוקן'!$K119</f>
        <v>1693786</v>
      </c>
      <c r="C115" s="2">
        <f>'[1]ישיר מתוקן'!$L119</f>
        <v>548628</v>
      </c>
      <c r="D115" s="2">
        <f>-1*'[1]ישיר מתוקן'!$M119</f>
        <v>-8360</v>
      </c>
      <c r="E115" s="2">
        <f>'[1]ישיר מתוקן'!$E119</f>
        <v>2758894</v>
      </c>
      <c r="F115" s="2">
        <f>-1*'[1]ישיר מתוקן'!$AF119</f>
        <v>-180434</v>
      </c>
      <c r="G115" s="2">
        <f>'[1]ישיר מתוקן'!$AA119</f>
        <v>67379</v>
      </c>
      <c r="H115" s="2">
        <f>'[1]ישיר מתוקן'!$AD119</f>
        <v>37874</v>
      </c>
      <c r="I115" s="2">
        <f>-1*'[1]ישיר מתוקן'!$AE119</f>
        <v>-23269</v>
      </c>
      <c r="J115" s="2">
        <f>'[1]ישיר מתוקן'!$W119</f>
        <v>262307</v>
      </c>
    </row>
    <row r="116" spans="1:10" x14ac:dyDescent="0.2">
      <c r="A116" s="26">
        <v>38534</v>
      </c>
      <c r="B116" s="2">
        <f>'[1]ישיר מתוקן'!$K120</f>
        <v>1498004</v>
      </c>
      <c r="C116" s="2">
        <f>'[1]ישיר מתוקן'!$L120</f>
        <v>606155</v>
      </c>
      <c r="D116" s="2">
        <f>-1*'[1]ישיר מתוקן'!$M120</f>
        <v>-7518</v>
      </c>
      <c r="E116" s="2">
        <f>'[1]ישיר מתוקן'!$E120</f>
        <v>2852159</v>
      </c>
      <c r="F116" s="2">
        <f>-1*'[1]ישיר מתוקן'!$AF120</f>
        <v>-280811</v>
      </c>
      <c r="G116" s="2">
        <f>'[1]ישיר מתוקן'!$AA120</f>
        <v>75399</v>
      </c>
      <c r="H116" s="2">
        <f>'[1]ישיר מתוקן'!$AD120</f>
        <v>9423</v>
      </c>
      <c r="I116" s="2">
        <f>-1*'[1]ישיר מתוקן'!$AE120</f>
        <v>-15494</v>
      </c>
      <c r="J116" s="2">
        <f>'[1]ישיר מתוקן'!$W120</f>
        <v>199241</v>
      </c>
    </row>
    <row r="117" spans="1:10" x14ac:dyDescent="0.2">
      <c r="A117" s="26">
        <v>38565</v>
      </c>
      <c r="B117" s="2">
        <f>'[1]ישיר מתוקן'!$K121</f>
        <v>1553492</v>
      </c>
      <c r="C117" s="2">
        <f>'[1]ישיר מתוקן'!$L121</f>
        <v>544813</v>
      </c>
      <c r="D117" s="2">
        <f>-1*'[1]ישיר מתוקן'!$M121</f>
        <v>-5811</v>
      </c>
      <c r="E117" s="2">
        <f>'[1]ישיר מתוקן'!$E121</f>
        <v>2725251</v>
      </c>
      <c r="F117" s="2">
        <f>-1*'[1]ישיר מתוקן'!$AF121</f>
        <v>-250235</v>
      </c>
      <c r="G117" s="2">
        <f>'[1]ישיר מתוקן'!$AA121</f>
        <v>76345</v>
      </c>
      <c r="H117" s="2">
        <f>'[1]ישיר מתוקן'!$AD121</f>
        <v>10356</v>
      </c>
      <c r="I117" s="2">
        <f>-1*'[1]ישיר מתוקן'!$AE121</f>
        <v>-49395</v>
      </c>
      <c r="J117" s="2">
        <f>'[1]ישיר מתוקן'!$W121</f>
        <v>216485</v>
      </c>
    </row>
    <row r="118" spans="1:10" x14ac:dyDescent="0.2">
      <c r="A118" s="26">
        <v>38596</v>
      </c>
      <c r="B118" s="2">
        <f>'[1]ישיר מתוקן'!$K122</f>
        <v>1636330</v>
      </c>
      <c r="C118" s="2">
        <f>'[1]ישיר מתוקן'!$L122</f>
        <v>895185</v>
      </c>
      <c r="D118" s="2">
        <f>-1*'[1]ישיר מתוקן'!$M122</f>
        <v>-3725</v>
      </c>
      <c r="E118" s="2">
        <f>'[1]ישיר מתוקן'!$E122</f>
        <v>3422557</v>
      </c>
      <c r="F118" s="2">
        <f>-1*'[1]ישיר מתוקן'!$AF122</f>
        <v>-252561</v>
      </c>
      <c r="G118" s="2">
        <f>'[1]ישיר מתוקן'!$AA122</f>
        <v>74493</v>
      </c>
      <c r="H118" s="2">
        <f>'[1]ישיר מתוקן'!$AD122</f>
        <v>10095</v>
      </c>
      <c r="I118" s="2">
        <f>-1*'[1]ישיר מתוקן'!$AE122</f>
        <v>-179225</v>
      </c>
      <c r="J118" s="2">
        <f>'[1]ישיר מתוקן'!$W122</f>
        <v>249641</v>
      </c>
    </row>
    <row r="119" spans="1:10" x14ac:dyDescent="0.2">
      <c r="A119" s="26">
        <v>38626</v>
      </c>
      <c r="B119" s="2">
        <f>'[1]ישיר מתוקן'!$K123</f>
        <v>1619026</v>
      </c>
      <c r="C119" s="2">
        <f>'[1]ישיר מתוקן'!$L123</f>
        <v>531268</v>
      </c>
      <c r="D119" s="2">
        <f>-1*'[1]ישיר מתוקן'!$M123</f>
        <v>-1631</v>
      </c>
      <c r="E119" s="2">
        <f>'[1]ישיר מתוקן'!$E123</f>
        <v>2584141</v>
      </c>
      <c r="F119" s="2">
        <f>-1*'[1]ישיר מתוקן'!$AF123</f>
        <v>-98669</v>
      </c>
      <c r="G119" s="2">
        <f>'[1]ישיר מתוקן'!$AA123</f>
        <v>73607</v>
      </c>
      <c r="H119" s="2">
        <f>'[1]ישיר מתוקן'!$AD123</f>
        <v>12434</v>
      </c>
      <c r="I119" s="2">
        <f>-1*'[1]ישיר מתוקן'!$AE123</f>
        <v>-168780</v>
      </c>
      <c r="J119" s="2">
        <f>'[1]ישיר מתוקן'!$W123</f>
        <v>188796</v>
      </c>
    </row>
    <row r="120" spans="1:10" x14ac:dyDescent="0.2">
      <c r="A120" s="26">
        <v>38657</v>
      </c>
      <c r="B120" s="2">
        <f>'[1]ישיר מתוקן'!$K124</f>
        <v>1817660</v>
      </c>
      <c r="C120" s="2">
        <f>'[1]ישיר מתוקן'!$L124</f>
        <v>406929</v>
      </c>
      <c r="D120" s="2">
        <f>-1*'[1]ישיר מתוקן'!$M124</f>
        <v>-9780</v>
      </c>
      <c r="E120" s="2">
        <f>'[1]ישיר מתוקן'!$E124</f>
        <v>2982737</v>
      </c>
      <c r="F120" s="2">
        <f>-1*'[1]ישיר מתוקן'!$AF124</f>
        <v>-231722</v>
      </c>
      <c r="G120" s="2">
        <f>'[1]ישיר מתוקן'!$AA124</f>
        <v>83197</v>
      </c>
      <c r="H120" s="2">
        <f>'[1]ישיר מתוקן'!$AD124</f>
        <v>51808</v>
      </c>
      <c r="I120" s="2">
        <f>-1*'[1]ישיר מתוקן'!$AE124</f>
        <v>-16547</v>
      </c>
      <c r="J120" s="2">
        <f>'[1]ישיר מתוקן'!$W124</f>
        <v>297793</v>
      </c>
    </row>
    <row r="121" spans="1:10" x14ac:dyDescent="0.2">
      <c r="A121" s="26">
        <v>38687</v>
      </c>
      <c r="B121" s="2">
        <f>'[1]ישיר מתוקן'!$K125</f>
        <v>915452</v>
      </c>
      <c r="C121" s="2">
        <f>'[1]ישיר מתוקן'!$L125</f>
        <v>717144</v>
      </c>
      <c r="D121" s="2">
        <f>-1*'[1]ישיר מתוקן'!$M125</f>
        <v>-3415</v>
      </c>
      <c r="E121" s="2">
        <f>'[1]ישיר מתוקן'!$E125</f>
        <v>2091348</v>
      </c>
      <c r="F121" s="2">
        <f>-1*'[1]ישיר מתוקן'!$AF125</f>
        <v>-798726</v>
      </c>
      <c r="G121" s="2">
        <f>'[1]ישיר מתוקן'!$AA125</f>
        <v>86575</v>
      </c>
      <c r="H121" s="2">
        <f>'[1]ישיר מתוקן'!$AD125</f>
        <v>38033</v>
      </c>
      <c r="I121" s="2">
        <f>-1*'[1]ישיר מתוקן'!$AE125</f>
        <v>-11728</v>
      </c>
      <c r="J121" s="2">
        <f>'[1]ישיר מתוקן'!$W125</f>
        <v>238793</v>
      </c>
    </row>
    <row r="122" spans="1:10" x14ac:dyDescent="0.2">
      <c r="A122" s="26">
        <v>38718</v>
      </c>
      <c r="B122" s="2">
        <f>'[1]ישיר מתוקן'!$K126</f>
        <v>98600</v>
      </c>
      <c r="C122" s="2">
        <f>'[1]ישיר מתוקן'!$L126</f>
        <v>2556761</v>
      </c>
      <c r="D122" s="2">
        <f>-1*'[1]ישיר מתוקן'!$M126</f>
        <v>-6839</v>
      </c>
      <c r="E122" s="2">
        <f>'[1]ישיר מתוקן'!$E126</f>
        <v>3688149</v>
      </c>
      <c r="F122" s="2">
        <f>-1*'[1]ישיר מתוקן'!$AF126</f>
        <v>-237679</v>
      </c>
      <c r="G122" s="2">
        <f>'[1]ישיר מתוקן'!$AA126</f>
        <v>132839</v>
      </c>
      <c r="H122" s="2">
        <f>'[1]ישיר מתוקן'!$AD126</f>
        <v>35000</v>
      </c>
      <c r="I122" s="2">
        <f>-1*'[1]ישיר מתוקן'!$AE126</f>
        <v>-40440</v>
      </c>
      <c r="J122" s="2">
        <f>'[1]ישיר מתוקן'!$W126</f>
        <v>297591</v>
      </c>
    </row>
    <row r="123" spans="1:10" x14ac:dyDescent="0.2">
      <c r="A123" s="26">
        <v>38749</v>
      </c>
      <c r="B123" s="2">
        <f>'[1]ישיר מתוקן'!$K127</f>
        <v>1555208</v>
      </c>
      <c r="C123" s="2">
        <f>'[1]ישיר מתוקן'!$L127</f>
        <v>1574596</v>
      </c>
      <c r="D123" s="2">
        <f>-1*'[1]ישיר מתוקן'!$M127</f>
        <v>-38354</v>
      </c>
      <c r="E123" s="2">
        <f>'[1]ישיר מתוקן'!$E127</f>
        <v>3809527</v>
      </c>
      <c r="F123" s="2">
        <f>-1*'[1]ישיר מתוקן'!$AF127</f>
        <v>-239144</v>
      </c>
      <c r="G123" s="2">
        <f>'[1]ישיר מתוקן'!$AA127</f>
        <v>64123</v>
      </c>
      <c r="H123" s="2">
        <f>'[1]ישיר מתוקן'!$AD127</f>
        <v>39782</v>
      </c>
      <c r="I123" s="2">
        <f>-1*'[1]ישיר מתוקן'!$AE127</f>
        <v>-9281</v>
      </c>
      <c r="J123" s="2">
        <f>'[1]ישיר מתוקן'!$W127</f>
        <v>259079</v>
      </c>
    </row>
    <row r="124" spans="1:10" x14ac:dyDescent="0.2">
      <c r="A124" s="26">
        <v>38777</v>
      </c>
      <c r="B124" s="2">
        <f>'[1]ישיר מתוקן'!$K128</f>
        <v>1627089</v>
      </c>
      <c r="C124" s="2">
        <f>'[1]ישיר מתוקן'!$L128</f>
        <v>1001783</v>
      </c>
      <c r="D124" s="2">
        <f>-1*'[1]ישיר מתוקן'!$M128</f>
        <v>-17155</v>
      </c>
      <c r="E124" s="2">
        <f>'[1]ישיר מתוקן'!$E128</f>
        <v>3413106</v>
      </c>
      <c r="F124" s="2">
        <f>-1*'[1]ישיר מתוקן'!$AF128</f>
        <v>-270393</v>
      </c>
      <c r="G124" s="2">
        <f>'[1]ישיר מתוקן'!$AA128</f>
        <v>67816</v>
      </c>
      <c r="H124" s="2">
        <f>'[1]ישיר מתוקן'!$AD128</f>
        <v>40990</v>
      </c>
      <c r="I124" s="2">
        <f>-1*'[1]ישיר מתוקן'!$AE128</f>
        <v>-32557</v>
      </c>
      <c r="J124" s="2">
        <f>'[1]ישיר מתוקן'!$W128</f>
        <v>233697</v>
      </c>
    </row>
    <row r="125" spans="1:10" x14ac:dyDescent="0.2">
      <c r="A125" s="26">
        <v>38808</v>
      </c>
      <c r="B125" s="2">
        <f>'[1]ישיר מתוקן'!$K129</f>
        <v>2582116</v>
      </c>
      <c r="C125" s="2">
        <f>'[1]ישיר מתוקן'!$L129</f>
        <v>652603</v>
      </c>
      <c r="D125" s="2">
        <f>-1*'[1]ישיר מתוקן'!$M129</f>
        <v>-5197</v>
      </c>
      <c r="E125" s="2">
        <f>'[1]ישיר מתוקן'!$E129</f>
        <v>4125385</v>
      </c>
      <c r="F125" s="2">
        <f>-1*'[1]ישיר מתוקן'!$AF129</f>
        <v>-317448</v>
      </c>
      <c r="G125" s="2">
        <f>'[1]ישיר מתוקן'!$AA129</f>
        <v>67967</v>
      </c>
      <c r="H125" s="2">
        <f>'[1]ישיר מתוקן'!$AD129</f>
        <v>26734</v>
      </c>
      <c r="I125" s="2">
        <f>-1*'[1]ישיר מתוקן'!$AE129</f>
        <v>-5328</v>
      </c>
      <c r="J125" s="2">
        <f>'[1]ישיר מתוקן'!$W129</f>
        <v>253149</v>
      </c>
    </row>
    <row r="126" spans="1:10" x14ac:dyDescent="0.2">
      <c r="A126" s="26">
        <v>38838</v>
      </c>
      <c r="B126" s="2">
        <f>'[1]ישיר מתוקן'!$K130</f>
        <v>1763475</v>
      </c>
      <c r="C126" s="2">
        <f>'[1]ישיר מתוקן'!$L130</f>
        <v>635751</v>
      </c>
      <c r="D126" s="2">
        <f>-1*'[1]ישיר מתוקן'!$M130</f>
        <v>-24330</v>
      </c>
      <c r="E126" s="2">
        <f>'[1]ישיר מתוקן'!$E130</f>
        <v>3408743</v>
      </c>
      <c r="F126" s="2">
        <f>-1*'[1]ישיר מתוקן'!$AF130</f>
        <v>-514364</v>
      </c>
      <c r="G126" s="2">
        <f>'[1]ישיר מתוקן'!$AA130</f>
        <v>75918</v>
      </c>
      <c r="H126" s="2">
        <f>'[1]ישיר מתוקן'!$AD130</f>
        <v>42718</v>
      </c>
      <c r="I126" s="2">
        <f>-1*'[1]ישיר מתוקן'!$AE130</f>
        <v>-14197</v>
      </c>
      <c r="J126" s="2">
        <f>'[1]ישיר מתוקן'!$W130</f>
        <v>258558</v>
      </c>
    </row>
    <row r="127" spans="1:10" x14ac:dyDescent="0.2">
      <c r="A127" s="26">
        <v>38869</v>
      </c>
      <c r="B127" s="2">
        <f>'[1]ישיר מתוקן'!$K131</f>
        <v>1679304</v>
      </c>
      <c r="C127" s="2">
        <f>'[1]ישיר מתוקן'!$L131</f>
        <v>677333</v>
      </c>
      <c r="D127" s="2">
        <f>-1*'[1]ישיר מתוקן'!$M131</f>
        <v>-24039</v>
      </c>
      <c r="E127" s="2">
        <f>'[1]ישיר מתוקן'!$E131</f>
        <v>2925865</v>
      </c>
      <c r="F127" s="2">
        <f>-1*'[1]ישיר מתוקן'!$AF131</f>
        <v>-333134</v>
      </c>
      <c r="G127" s="2">
        <f>'[1]ישיר מתוקן'!$AA131</f>
        <v>69502</v>
      </c>
      <c r="H127" s="2">
        <f>'[1]ישיר מתוקן'!$AD131</f>
        <v>39624</v>
      </c>
      <c r="I127" s="2">
        <f>-1*'[1]ישיר מתוקן'!$AE131</f>
        <v>-24739</v>
      </c>
      <c r="J127" s="2">
        <f>'[1]ישיר מתוקן'!$W131</f>
        <v>257536</v>
      </c>
    </row>
    <row r="128" spans="1:10" x14ac:dyDescent="0.2">
      <c r="A128" s="26">
        <v>38899</v>
      </c>
      <c r="B128" s="2">
        <f>'[1]ישיר מתוקן'!$K132</f>
        <v>1648604</v>
      </c>
      <c r="C128" s="2">
        <f>'[1]ישיר מתוקן'!$L132</f>
        <v>531213</v>
      </c>
      <c r="D128" s="2">
        <f>-1*'[1]ישיר מתוקן'!$M132</f>
        <v>-2963</v>
      </c>
      <c r="E128" s="2">
        <f>'[1]ישיר מתוקן'!$E132</f>
        <v>3140467</v>
      </c>
      <c r="F128" s="2">
        <f>-1*'[1]ישיר מתוקן'!$AF132</f>
        <v>-224675</v>
      </c>
      <c r="G128" s="2">
        <f>'[1]ישיר מתוקן'!$AA132</f>
        <v>75317</v>
      </c>
      <c r="H128" s="2">
        <f>'[1]ישיר מתוקן'!$AD132</f>
        <v>53028</v>
      </c>
      <c r="I128" s="2">
        <f>-1*'[1]ישיר מתוקן'!$AE132</f>
        <v>-12802</v>
      </c>
      <c r="J128" s="2">
        <f>'[1]ישיר מתוקן'!$W132</f>
        <v>244117</v>
      </c>
    </row>
    <row r="129" spans="1:10" x14ac:dyDescent="0.2">
      <c r="A129" s="26">
        <v>38930</v>
      </c>
      <c r="B129" s="2">
        <f>'[1]ישיר מתוקן'!$K133</f>
        <v>1713881</v>
      </c>
      <c r="C129" s="2">
        <f>'[1]ישיר מתוקן'!$L133</f>
        <v>4162368</v>
      </c>
      <c r="D129" s="2">
        <f>-1*'[1]ישיר מתוקן'!$M133</f>
        <v>-4669</v>
      </c>
      <c r="E129" s="2">
        <f>'[1]ישיר מתוקן'!$E133</f>
        <v>6467348</v>
      </c>
      <c r="F129" s="2">
        <f>-1*'[1]ישיר מתוקן'!$AF133</f>
        <v>-259446</v>
      </c>
      <c r="G129" s="2">
        <f>'[1]ישיר מתוקן'!$AA133</f>
        <v>72484</v>
      </c>
      <c r="H129" s="2">
        <f>'[1]ישיר מתוקן'!$AD133</f>
        <v>15519</v>
      </c>
      <c r="I129" s="2">
        <f>-1*'[1]ישיר מתוקן'!$AE133</f>
        <v>-11044</v>
      </c>
      <c r="J129" s="2">
        <f>'[1]ישיר מתוקן'!$W133</f>
        <v>220455</v>
      </c>
    </row>
    <row r="130" spans="1:10" x14ac:dyDescent="0.2">
      <c r="A130" s="26">
        <v>38961</v>
      </c>
      <c r="B130" s="2">
        <f>'[1]ישיר מתוקן'!$K134</f>
        <v>1823073</v>
      </c>
      <c r="C130" s="2">
        <f>'[1]ישיר מתוקן'!$L134</f>
        <v>357412</v>
      </c>
      <c r="D130" s="2">
        <f>-1*'[1]ישיר מתוקן'!$M134</f>
        <v>-2700</v>
      </c>
      <c r="E130" s="2">
        <f>'[1]ישיר מתוקן'!$E134</f>
        <v>2980431</v>
      </c>
      <c r="F130" s="2">
        <f>-1*'[1]ישיר מתוקן'!$AF134</f>
        <v>-318683</v>
      </c>
      <c r="G130" s="2">
        <f>'[1]ישיר מתוקן'!$AA134</f>
        <v>82020</v>
      </c>
      <c r="H130" s="2">
        <f>'[1]ישיר מתוקן'!$AD134</f>
        <v>52978</v>
      </c>
      <c r="I130" s="2">
        <f>-1*'[1]ישיר מתוקן'!$AE134</f>
        <v>-5237</v>
      </c>
      <c r="J130" s="2">
        <f>'[1]ישיר מתוקן'!$W134</f>
        <v>415669</v>
      </c>
    </row>
    <row r="131" spans="1:10" x14ac:dyDescent="0.2">
      <c r="A131" s="26">
        <v>38991</v>
      </c>
      <c r="B131" s="2">
        <f>'[1]ישיר מתוקן'!$K135</f>
        <v>1697152</v>
      </c>
      <c r="C131" s="2">
        <f>'[1]ישיר מתוקן'!$L135</f>
        <v>318813</v>
      </c>
      <c r="D131" s="2">
        <f>-1*'[1]ישיר מתוקן'!$M135</f>
        <v>-3755</v>
      </c>
      <c r="E131" s="2">
        <f>'[1]ישיר מתוקן'!$E135</f>
        <v>2511539</v>
      </c>
      <c r="F131" s="2">
        <f>-1*'[1]ישיר מתוקן'!$AF135</f>
        <v>-205130</v>
      </c>
      <c r="G131" s="2">
        <f>'[1]ישיר מתוקן'!$AA135</f>
        <v>82186</v>
      </c>
      <c r="H131" s="2">
        <f>'[1]ישיר מתוקן'!$AD135</f>
        <v>26868</v>
      </c>
      <c r="I131" s="2">
        <f>-1*'[1]ישיר מתוקן'!$AE135</f>
        <v>-7641</v>
      </c>
      <c r="J131" s="2">
        <f>'[1]ישיר מתוקן'!$W135</f>
        <v>330520</v>
      </c>
    </row>
    <row r="132" spans="1:10" x14ac:dyDescent="0.2">
      <c r="A132" s="26">
        <v>39022</v>
      </c>
      <c r="B132" s="2">
        <f>'[1]ישיר מתוקן'!$K136</f>
        <v>1976975</v>
      </c>
      <c r="C132" s="2">
        <f>'[1]ישיר מתוקן'!$L136</f>
        <v>963981</v>
      </c>
      <c r="D132" s="2">
        <f>-1*'[1]ישיר מתוקן'!$M136</f>
        <v>-2948</v>
      </c>
      <c r="E132" s="2">
        <f>'[1]ישיר מתוקן'!$E136</f>
        <v>3850688</v>
      </c>
      <c r="F132" s="2">
        <f>-1*'[1]ישיר מתוקן'!$AF136</f>
        <v>-524944</v>
      </c>
      <c r="G132" s="2">
        <f>'[1]ישיר מתוקן'!$AA136</f>
        <v>89749</v>
      </c>
      <c r="H132" s="2">
        <f>'[1]ישיר מתוקן'!$AD136</f>
        <v>17506</v>
      </c>
      <c r="I132" s="2">
        <f>-1*'[1]ישיר מתוקן'!$AE136</f>
        <v>-178190</v>
      </c>
      <c r="J132" s="2">
        <f>'[1]ישיר מתוקן'!$W136</f>
        <v>496109</v>
      </c>
    </row>
    <row r="133" spans="1:10" x14ac:dyDescent="0.2">
      <c r="A133" s="26">
        <v>39052</v>
      </c>
      <c r="B133" s="2">
        <f>'[1]ישיר מתוקן'!$K137</f>
        <v>1114615</v>
      </c>
      <c r="C133" s="2">
        <f>'[1]ישיר מתוקן'!$L137</f>
        <v>459121</v>
      </c>
      <c r="D133" s="2">
        <f>-1*'[1]ישיר מתוקן'!$M137</f>
        <v>-4773</v>
      </c>
      <c r="E133" s="2">
        <f>'[1]ישיר מתוקן'!$E137</f>
        <v>2161637</v>
      </c>
      <c r="F133" s="2">
        <f>-1*'[1]ישיר מתוקן'!$AF137</f>
        <v>-476038</v>
      </c>
      <c r="G133" s="2">
        <f>'[1]ישיר מתוקן'!$AA137</f>
        <v>94595</v>
      </c>
      <c r="H133" s="2">
        <f>'[1]ישיר מתוקן'!$AD137</f>
        <v>67128</v>
      </c>
      <c r="I133" s="2">
        <f>-1*'[1]ישיר מתוקן'!$AE137</f>
        <v>-12030</v>
      </c>
      <c r="J133" s="2">
        <f>'[1]ישיר מתוקן'!$W137</f>
        <v>435399</v>
      </c>
    </row>
    <row r="134" spans="1:10" x14ac:dyDescent="0.2">
      <c r="A134" s="26">
        <v>39083</v>
      </c>
      <c r="B134" s="2">
        <f>'[1]ישיר מתוקן'!$K138</f>
        <v>46445</v>
      </c>
      <c r="C134" s="2">
        <f>'[1]ישיר מתוקן'!$L138</f>
        <v>3667396</v>
      </c>
      <c r="D134" s="2">
        <f>-1*'[1]ישיר מתוקן'!$M138</f>
        <v>-3134</v>
      </c>
      <c r="E134" s="2">
        <f>'[1]ישיר מתוקן'!$E138</f>
        <v>4827728</v>
      </c>
      <c r="F134" s="2">
        <f>-1*'[1]ישיר מתוקן'!$AF138</f>
        <v>-220649</v>
      </c>
      <c r="G134" s="2">
        <f>'[1]ישיר מתוקן'!$AA138</f>
        <v>153976</v>
      </c>
      <c r="H134" s="2">
        <f>'[1]ישיר מתוקן'!$AD138</f>
        <v>20628</v>
      </c>
      <c r="I134" s="2">
        <f>-1*'[1]ישיר מתוקן'!$AE138</f>
        <v>-36823</v>
      </c>
      <c r="J134" s="2">
        <f>'[1]ישיר מתוקן'!$W138</f>
        <v>697459</v>
      </c>
    </row>
    <row r="135" spans="1:10" x14ac:dyDescent="0.2">
      <c r="A135" s="26">
        <v>39114</v>
      </c>
      <c r="B135" s="2">
        <f>'[1]ישיר מתוקן'!$K139</f>
        <v>1745188</v>
      </c>
      <c r="C135" s="2">
        <f>'[1]ישיר מתוקן'!$L139</f>
        <v>1697254</v>
      </c>
      <c r="D135" s="2">
        <f>-1*'[1]ישיר מתוקן'!$M139</f>
        <v>-4807</v>
      </c>
      <c r="E135" s="2">
        <f>'[1]ישיר מתוקן'!$E139</f>
        <v>4161022</v>
      </c>
      <c r="F135" s="2">
        <f>-1*'[1]ישיר מתוקן'!$AF139</f>
        <v>-251961</v>
      </c>
      <c r="G135" s="2">
        <f>'[1]ישיר מתוקן'!$AA139</f>
        <v>64287</v>
      </c>
      <c r="H135" s="2">
        <f>'[1]ישיר מתוקן'!$AD139</f>
        <v>18935</v>
      </c>
      <c r="I135" s="2">
        <f>-1*'[1]ישיר מתוקן'!$AE139</f>
        <v>-4980</v>
      </c>
      <c r="J135" s="2">
        <f>'[1]ישיר מתוקן'!$W139</f>
        <v>332723</v>
      </c>
    </row>
    <row r="136" spans="1:10" x14ac:dyDescent="0.2">
      <c r="A136" s="26">
        <v>39142</v>
      </c>
      <c r="B136" s="2">
        <f>'[1]ישיר מתוקן'!$K140</f>
        <v>1828844</v>
      </c>
      <c r="C136" s="2">
        <f>'[1]ישיר מתוקן'!$L140</f>
        <v>1011916</v>
      </c>
      <c r="D136" s="2">
        <f>-1*'[1]ישיר מתוקן'!$M140</f>
        <v>-12534</v>
      </c>
      <c r="E136" s="2">
        <f>'[1]ישיר מתוקן'!$E140</f>
        <v>3698583</v>
      </c>
      <c r="F136" s="2">
        <f>-1*'[1]ישיר מתוקן'!$AF140</f>
        <v>-422353</v>
      </c>
      <c r="G136" s="2">
        <f>'[1]ישיר מתוקן'!$AA140</f>
        <v>74064</v>
      </c>
      <c r="H136" s="2">
        <f>'[1]ישיר מתוקן'!$AD140</f>
        <v>270276</v>
      </c>
      <c r="I136" s="2">
        <f>-1*'[1]ישיר מתוקן'!$AE140</f>
        <v>-24123</v>
      </c>
      <c r="J136" s="2">
        <f>'[1]ישיר מתוקן'!$W140</f>
        <v>397070</v>
      </c>
    </row>
    <row r="137" spans="1:10" x14ac:dyDescent="0.2">
      <c r="A137" s="26">
        <v>39173</v>
      </c>
      <c r="B137" s="2">
        <f>'[1]ישיר מתוקן'!$K141</f>
        <v>2142290</v>
      </c>
      <c r="C137" s="2">
        <f>'[1]ישיר מתוקן'!$L141</f>
        <v>683404</v>
      </c>
      <c r="D137" s="2">
        <f>-1*'[1]ישיר מתוקן'!$M141</f>
        <v>-5262</v>
      </c>
      <c r="E137" s="2">
        <f>'[1]ישיר מתוקן'!$E141</f>
        <v>3669887</v>
      </c>
      <c r="F137" s="2">
        <f>-1*'[1]ישיר מתוקן'!$AF141</f>
        <v>-217261</v>
      </c>
      <c r="G137" s="2">
        <f>'[1]ישיר מתוקן'!$AA141</f>
        <v>78886</v>
      </c>
      <c r="H137" s="2">
        <f>'[1]ישיר מתוקן'!$AD141</f>
        <v>111644</v>
      </c>
      <c r="I137" s="2">
        <f>-1*'[1]ישיר מתוקן'!$AE141</f>
        <v>-61917</v>
      </c>
      <c r="J137" s="2">
        <f>'[1]ישיר מתוקן'!$W141</f>
        <v>337787</v>
      </c>
    </row>
    <row r="138" spans="1:10" x14ac:dyDescent="0.2">
      <c r="A138" s="26">
        <v>39203</v>
      </c>
      <c r="B138" s="2">
        <f>'[1]ישיר מתוקן'!$K142</f>
        <v>1912611</v>
      </c>
      <c r="C138" s="2">
        <f>'[1]ישיר מתוקן'!$L142</f>
        <v>476583</v>
      </c>
      <c r="D138" s="2">
        <f>-1*'[1]ישיר מתוקן'!$M142</f>
        <v>-7819</v>
      </c>
      <c r="E138" s="2">
        <f>'[1]ישיר מתוקן'!$E142</f>
        <v>3359647</v>
      </c>
      <c r="F138" s="2">
        <f>-1*'[1]ישיר מתוקן'!$AF142</f>
        <v>-939254</v>
      </c>
      <c r="G138" s="2">
        <f>'[1]ישיר מתוקן'!$AA142</f>
        <v>76159</v>
      </c>
      <c r="H138" s="2">
        <f>'[1]ישיר מתוקן'!$AD142</f>
        <v>32214</v>
      </c>
      <c r="I138" s="2">
        <f>-1*'[1]ישיר מתוקן'!$AE142</f>
        <v>-11137</v>
      </c>
      <c r="J138" s="2">
        <f>'[1]ישיר מתוקן'!$W142</f>
        <v>460360</v>
      </c>
    </row>
    <row r="139" spans="1:10" x14ac:dyDescent="0.2">
      <c r="A139" s="26">
        <v>39234</v>
      </c>
      <c r="B139" s="2">
        <f>'[1]ישיר מתוקן'!$K143</f>
        <v>2081913</v>
      </c>
      <c r="C139" s="2">
        <f>'[1]ישיר מתוקן'!$L143</f>
        <v>518197</v>
      </c>
      <c r="D139" s="2">
        <f>-1*'[1]ישיר מתוקן'!$M143</f>
        <v>-3463</v>
      </c>
      <c r="E139" s="2">
        <f>'[1]ישיר מתוקן'!$E143</f>
        <v>3314690</v>
      </c>
      <c r="F139" s="2">
        <f>-1*'[1]ישיר מתוקן'!$AF143</f>
        <v>-184293</v>
      </c>
      <c r="G139" s="2">
        <f>'[1]ישיר מתוקן'!$AA143</f>
        <v>68031</v>
      </c>
      <c r="H139" s="2">
        <f>'[1]ישיר מתוקן'!$AD143</f>
        <v>55636</v>
      </c>
      <c r="I139" s="2">
        <f>-1*'[1]ישיר מתוקן'!$AE143</f>
        <v>-6056</v>
      </c>
      <c r="J139" s="2">
        <f>'[1]ישיר מתוקן'!$W143</f>
        <v>414895</v>
      </c>
    </row>
    <row r="140" spans="1:10" x14ac:dyDescent="0.2">
      <c r="A140" s="26">
        <v>39264</v>
      </c>
      <c r="B140" s="2">
        <f>'[1]ישיר מתוקן'!$K144</f>
        <v>2121900</v>
      </c>
      <c r="C140" s="2">
        <f>'[1]ישיר מתוקן'!$L144</f>
        <v>568290</v>
      </c>
      <c r="D140" s="2">
        <f>-1*'[1]ישיר מתוקן'!$M144</f>
        <v>-3611</v>
      </c>
      <c r="E140" s="2">
        <f>'[1]ישיר מתוקן'!$E144</f>
        <v>3718236</v>
      </c>
      <c r="F140" s="2">
        <f>-1*'[1]ישיר מתוקן'!$AF144</f>
        <v>-244378</v>
      </c>
      <c r="G140" s="2">
        <f>'[1]ישיר מתוקן'!$AA144</f>
        <v>75923</v>
      </c>
      <c r="H140" s="2">
        <f>'[1]ישיר מתוקן'!$AD144</f>
        <v>35686</v>
      </c>
      <c r="I140" s="2">
        <f>-1*'[1]ישיר מתוקן'!$AE144</f>
        <v>-13315</v>
      </c>
      <c r="J140" s="2">
        <f>'[1]ישיר מתוקן'!$W144</f>
        <v>440838</v>
      </c>
    </row>
    <row r="141" spans="1:10" x14ac:dyDescent="0.2">
      <c r="A141" s="26">
        <v>39295</v>
      </c>
      <c r="B141" s="2">
        <f>'[1]ישיר מתוקן'!$K145</f>
        <v>2062696</v>
      </c>
      <c r="C141" s="2">
        <f>'[1]ישיר מתוקן'!$L145</f>
        <v>816099</v>
      </c>
      <c r="D141" s="2">
        <f>-1*'[1]ישיר מתוקן'!$M145</f>
        <v>-8598</v>
      </c>
      <c r="E141" s="2">
        <f>'[1]ישיר מתוקן'!$E145</f>
        <v>3590293</v>
      </c>
      <c r="F141" s="2">
        <f>-1*'[1]ישיר מתוקן'!$AF145</f>
        <v>-280758</v>
      </c>
      <c r="G141" s="2">
        <f>'[1]ישיר מתוקן'!$AA145</f>
        <v>66883</v>
      </c>
      <c r="H141" s="2">
        <f>'[1]ישיר מתוקן'!$AD145</f>
        <v>11812</v>
      </c>
      <c r="I141" s="2">
        <f>-1*'[1]ישיר מתוקן'!$AE145</f>
        <v>-5583</v>
      </c>
      <c r="J141" s="2">
        <f>'[1]ישיר מתוקן'!$W145</f>
        <v>386509</v>
      </c>
    </row>
    <row r="142" spans="1:10" x14ac:dyDescent="0.2">
      <c r="A142" s="26">
        <v>39326</v>
      </c>
      <c r="B142" s="2">
        <f>'[1]ישיר מתוקן'!$K146</f>
        <v>1933034</v>
      </c>
      <c r="C142" s="2">
        <f>'[1]ישיר מתוקן'!$L146</f>
        <v>371869</v>
      </c>
      <c r="D142" s="2">
        <f>-1*'[1]ישיר מתוקן'!$M146</f>
        <v>-3427</v>
      </c>
      <c r="E142" s="2">
        <f>'[1]ישיר מתוקן'!$E146</f>
        <v>3228264</v>
      </c>
      <c r="F142" s="2">
        <f>-1*'[1]ישיר מתוקן'!$AF146</f>
        <v>-187426</v>
      </c>
      <c r="G142" s="2">
        <f>'[1]ישיר מתוקן'!$AA146</f>
        <v>80484</v>
      </c>
      <c r="H142" s="2">
        <f>'[1]ישיר מתוקן'!$AD146</f>
        <v>74315</v>
      </c>
      <c r="I142" s="2">
        <f>-1*'[1]ישיר מתוקן'!$AE146</f>
        <v>-10002</v>
      </c>
      <c r="J142" s="2">
        <f>'[1]ישיר מתוקן'!$W146</f>
        <v>394046</v>
      </c>
    </row>
    <row r="143" spans="1:10" x14ac:dyDescent="0.2">
      <c r="A143" s="26">
        <v>39356</v>
      </c>
      <c r="B143" s="2">
        <f>'[1]ישיר מתוקן'!$K147</f>
        <v>2057115</v>
      </c>
      <c r="C143" s="2">
        <f>'[1]ישיר מתוקן'!$L147</f>
        <v>362859</v>
      </c>
      <c r="D143" s="2">
        <f>-1*'[1]ישיר מתוקן'!$M147</f>
        <v>-5941</v>
      </c>
      <c r="E143" s="2">
        <f>'[1]ישיר מתוקן'!$E147</f>
        <v>3037559</v>
      </c>
      <c r="F143" s="2">
        <f>-1*'[1]ישיר מתוקן'!$AF147</f>
        <v>-255940</v>
      </c>
      <c r="G143" s="2">
        <f>'[1]ישיר מתוקן'!$AA147</f>
        <v>72459</v>
      </c>
      <c r="H143" s="2">
        <f>'[1]ישיר מתוקן'!$AD147</f>
        <v>26834</v>
      </c>
      <c r="I143" s="2">
        <f>-1*'[1]ישיר מתוקן'!$AE147</f>
        <v>-7507</v>
      </c>
      <c r="J143" s="2">
        <f>'[1]ישיר מתוקן'!$W147</f>
        <v>436836</v>
      </c>
    </row>
    <row r="144" spans="1:10" x14ac:dyDescent="0.2">
      <c r="A144" s="26">
        <v>39387</v>
      </c>
      <c r="B144" s="2">
        <f>'[1]ישיר מתוקן'!$K148</f>
        <v>1749722</v>
      </c>
      <c r="C144" s="2">
        <f>'[1]ישיר מתוקן'!$L148</f>
        <v>517690</v>
      </c>
      <c r="D144" s="2">
        <f>-1*'[1]ישיר מתוקן'!$M148</f>
        <v>-5362</v>
      </c>
      <c r="E144" s="2">
        <f>'[1]ישיר מתוקן'!$E148</f>
        <v>3224871</v>
      </c>
      <c r="F144" s="2">
        <f>-1*'[1]ישיר מתוקן'!$AF148</f>
        <v>-516861</v>
      </c>
      <c r="G144" s="2">
        <f>'[1]ישיר מתוקן'!$AA148</f>
        <v>79195</v>
      </c>
      <c r="H144" s="2">
        <f>'[1]ישיר מתוקן'!$AD148</f>
        <v>9891</v>
      </c>
      <c r="I144" s="2">
        <f>-1*'[1]ישיר מתוקן'!$AE148</f>
        <v>-7716</v>
      </c>
      <c r="J144" s="2">
        <f>'[1]ישיר מתוקן'!$W148</f>
        <v>433089</v>
      </c>
    </row>
    <row r="145" spans="1:10" x14ac:dyDescent="0.2">
      <c r="A145" s="26">
        <v>39417</v>
      </c>
      <c r="B145" s="2">
        <f>'[1]ישיר מתוקן'!$K149</f>
        <v>1193689</v>
      </c>
      <c r="C145" s="2">
        <f>'[1]ישיר מתוקן'!$L149</f>
        <v>459159</v>
      </c>
      <c r="D145" s="2">
        <f>-1*'[1]ישיר מתוקן'!$M149</f>
        <v>-3564</v>
      </c>
      <c r="E145" s="2">
        <f>'[1]ישיר מתוקן'!$E149</f>
        <v>2270409</v>
      </c>
      <c r="F145" s="2">
        <f>-1*'[1]ישיר מתוקן'!$AF149</f>
        <v>-577452</v>
      </c>
      <c r="G145" s="2">
        <f>'[1]ישיר מתוקן'!$AA149</f>
        <v>83973</v>
      </c>
      <c r="H145" s="2">
        <f>'[1]ישיר מתוקן'!$AD149</f>
        <v>60485</v>
      </c>
      <c r="I145" s="2">
        <f>-1*'[1]ישיר מתוקן'!$AE149</f>
        <v>-6146</v>
      </c>
      <c r="J145" s="2">
        <f>'[1]ישיר מתוקן'!$W149</f>
        <v>520440</v>
      </c>
    </row>
    <row r="146" spans="1:10" x14ac:dyDescent="0.2">
      <c r="A146" s="26">
        <v>39448</v>
      </c>
      <c r="B146" s="2">
        <f>'[1]ישיר מתוקן'!$K150</f>
        <v>39586</v>
      </c>
      <c r="C146" s="2">
        <f>'[1]ישיר מתוקן'!$L150</f>
        <v>2412591</v>
      </c>
      <c r="D146" s="2">
        <f>-1*'[1]ישיר מתוקן'!$M150</f>
        <v>-2854</v>
      </c>
      <c r="E146" s="2">
        <f>'[1]ישיר מתוקן'!$E150</f>
        <v>3541477</v>
      </c>
      <c r="F146" s="2">
        <f>-1*'[1]ישיר מתוקן'!$AF150</f>
        <v>-367276</v>
      </c>
      <c r="G146" s="2">
        <f>'[1]ישיר מתוקן'!$AA150</f>
        <v>136981</v>
      </c>
      <c r="H146" s="2">
        <f>'[1]ישיר מתוקן'!$AD150</f>
        <v>24949</v>
      </c>
      <c r="I146" s="2">
        <f>-1*'[1]ישיר מתוקן'!$AE150</f>
        <v>-6364</v>
      </c>
      <c r="J146" s="2">
        <f>'[1]ישיר מתוקן'!$W150</f>
        <v>751793</v>
      </c>
    </row>
    <row r="147" spans="1:10" x14ac:dyDescent="0.2">
      <c r="A147" s="26">
        <v>39479</v>
      </c>
      <c r="B147" s="2">
        <f>'[1]ישיר מתוקן'!$K151</f>
        <v>1836971</v>
      </c>
      <c r="C147" s="2">
        <f>'[1]ישיר מתוקן'!$L151</f>
        <v>1212768</v>
      </c>
      <c r="D147" s="2">
        <f>-1*'[1]ישיר מתוקן'!$M151</f>
        <v>-5250</v>
      </c>
      <c r="E147" s="2">
        <f>'[1]ישיר מתוקן'!$E151</f>
        <v>3758477</v>
      </c>
      <c r="F147" s="2">
        <f>-1*'[1]ישיר מתוקן'!$AF151</f>
        <v>-275360</v>
      </c>
      <c r="G147" s="2">
        <f>'[1]ישיר מתוקן'!$AA151</f>
        <v>63013</v>
      </c>
      <c r="H147" s="2">
        <f>'[1]ישיר מתוקן'!$AD151</f>
        <v>23531</v>
      </c>
      <c r="I147" s="2">
        <f>-1*'[1]ישיר מתוקן'!$AE151</f>
        <v>-10575</v>
      </c>
      <c r="J147" s="2">
        <f>'[1]ישיר מתוקן'!$W151</f>
        <v>432005</v>
      </c>
    </row>
    <row r="148" spans="1:10" x14ac:dyDescent="0.2">
      <c r="A148" s="26">
        <v>39508</v>
      </c>
      <c r="B148" s="2">
        <f>'[1]ישיר מתוקן'!$K152</f>
        <v>1920957</v>
      </c>
      <c r="C148" s="2">
        <f>'[1]ישיר מתוקן'!$L152</f>
        <v>518830</v>
      </c>
      <c r="D148" s="2">
        <f>-1*'[1]ישיר מתוקן'!$M152</f>
        <v>-3274</v>
      </c>
      <c r="E148" s="2">
        <f>'[1]ישיר מתוקן'!$E152</f>
        <v>3290740</v>
      </c>
      <c r="F148" s="2">
        <f>-1*'[1]ישיר מתוקן'!$AF152</f>
        <v>-319197</v>
      </c>
      <c r="G148" s="2">
        <f>'[1]ישיר מתוקן'!$AA152</f>
        <v>65760</v>
      </c>
      <c r="H148" s="2">
        <f>'[1]ישיר מתוקן'!$AD152</f>
        <v>26315</v>
      </c>
      <c r="I148" s="2">
        <f>-1*'[1]ישיר מתוקן'!$AE152</f>
        <v>-10613</v>
      </c>
      <c r="J148" s="2">
        <f>'[1]ישיר מתוקן'!$W152</f>
        <v>483686</v>
      </c>
    </row>
    <row r="149" spans="1:10" x14ac:dyDescent="0.2">
      <c r="A149" s="26">
        <v>39539</v>
      </c>
      <c r="B149" s="2">
        <f>'[1]ישיר מתוקן'!$K153</f>
        <v>1867678</v>
      </c>
      <c r="C149" s="2">
        <f>'[1]ישיר מתוקן'!$L153</f>
        <v>737386</v>
      </c>
      <c r="D149" s="2">
        <f>-1*'[1]ישיר מתוקן'!$M153</f>
        <v>-3709</v>
      </c>
      <c r="E149" s="2">
        <f>'[1]ישיר מתוקן'!$E153</f>
        <v>3294217</v>
      </c>
      <c r="F149" s="2">
        <f>-1*'[1]ישיר מתוקן'!$AF153</f>
        <v>-252089</v>
      </c>
      <c r="G149" s="2">
        <f>'[1]ישיר מתוקן'!$AA153</f>
        <v>64992</v>
      </c>
      <c r="H149" s="2">
        <f>'[1]ישיר מתוקן'!$AD153</f>
        <v>33895</v>
      </c>
      <c r="I149" s="2">
        <f>-1*'[1]ישיר מתוקן'!$AE153</f>
        <v>-15536</v>
      </c>
      <c r="J149" s="2">
        <f>'[1]ישיר מתוקן'!$W153</f>
        <v>469230</v>
      </c>
    </row>
    <row r="150" spans="1:10" x14ac:dyDescent="0.2">
      <c r="A150" s="26">
        <v>39569</v>
      </c>
      <c r="B150" s="2">
        <f>'[1]ישיר מתוקן'!$K154</f>
        <v>1813098</v>
      </c>
      <c r="C150" s="2">
        <f>'[1]ישיר מתוקן'!$L154</f>
        <v>608423</v>
      </c>
      <c r="D150" s="2">
        <f>-1*'[1]ישיר מתוקן'!$M154</f>
        <v>-12811</v>
      </c>
      <c r="E150" s="2">
        <f>'[1]ישיר מתוקן'!$E154</f>
        <v>3341978</v>
      </c>
      <c r="F150" s="2">
        <f>-1*'[1]ישיר מתוקן'!$AF154</f>
        <v>-397323</v>
      </c>
      <c r="G150" s="2">
        <f>'[1]ישיר מתוקן'!$AA154</f>
        <v>64820</v>
      </c>
      <c r="H150" s="2">
        <f>'[1]ישיר מתוקן'!$AD154</f>
        <v>163977</v>
      </c>
      <c r="I150" s="2">
        <f>-1*'[1]ישיר מתוקן'!$AE154</f>
        <v>-30978</v>
      </c>
      <c r="J150" s="2">
        <f>'[1]ישיר מתוקן'!$W154</f>
        <v>536704</v>
      </c>
    </row>
    <row r="151" spans="1:10" x14ac:dyDescent="0.2">
      <c r="A151" s="26">
        <v>39600</v>
      </c>
      <c r="B151" s="2">
        <f>'[1]ישיר מתוקן'!$K155</f>
        <v>1843832</v>
      </c>
      <c r="C151" s="2">
        <f>'[1]ישיר מתוקן'!$L155</f>
        <v>497857</v>
      </c>
      <c r="D151" s="2">
        <f>-1*'[1]ישיר מתוקן'!$M155</f>
        <v>-6622</v>
      </c>
      <c r="E151" s="2">
        <f>'[1]ישיר מתוקן'!$E155</f>
        <v>2980509</v>
      </c>
      <c r="F151" s="2">
        <f>-1*'[1]ישיר מתוקן'!$AF155</f>
        <v>-851220</v>
      </c>
      <c r="G151" s="2">
        <f>'[1]ישיר מתוקן'!$AA155</f>
        <v>76878</v>
      </c>
      <c r="H151" s="2">
        <f>'[1]ישיר מתוקן'!$AD155</f>
        <v>31286</v>
      </c>
      <c r="I151" s="2">
        <f>-1*'[1]ישיר מתוקן'!$AE155</f>
        <v>-27037</v>
      </c>
      <c r="J151" s="2">
        <f>'[1]ישיר מתוקן'!$W155</f>
        <v>503691</v>
      </c>
    </row>
    <row r="152" spans="1:10" x14ac:dyDescent="0.2">
      <c r="A152" s="26">
        <v>39630</v>
      </c>
      <c r="B152" s="2">
        <f>'[1]ישיר מתוקן'!$K156</f>
        <v>1675675</v>
      </c>
      <c r="C152" s="2">
        <f>'[1]ישיר מתוקן'!$L156</f>
        <v>570177</v>
      </c>
      <c r="D152" s="2">
        <f>-1*'[1]ישיר מתוקן'!$M156</f>
        <v>-8721</v>
      </c>
      <c r="E152" s="2">
        <f>'[1]ישיר מתוקן'!$E156</f>
        <v>3286405</v>
      </c>
      <c r="F152" s="2">
        <f>-1*'[1]ישיר מתוקן'!$AF156</f>
        <v>-410303</v>
      </c>
      <c r="G152" s="2">
        <f>'[1]ישיר מתוקן'!$AA156</f>
        <v>81260</v>
      </c>
      <c r="H152" s="2">
        <f>'[1]ישיר מתוקן'!$AD156</f>
        <v>214685</v>
      </c>
      <c r="I152" s="2">
        <f>-1*'[1]ישיר מתוקן'!$AE156</f>
        <v>-20954</v>
      </c>
      <c r="J152" s="2">
        <f>'[1]ישיר מתוקן'!$W156</f>
        <v>333543</v>
      </c>
    </row>
    <row r="153" spans="1:10" x14ac:dyDescent="0.2">
      <c r="A153" s="26">
        <v>39661</v>
      </c>
      <c r="B153" s="2">
        <f>'[1]ישיר מתוקן'!$K157</f>
        <v>1767523</v>
      </c>
      <c r="C153" s="2">
        <f>'[1]ישיר מתוקן'!$L157</f>
        <v>732019</v>
      </c>
      <c r="D153" s="2">
        <f>-1*'[1]ישיר מתוקן'!$M157</f>
        <v>-4360</v>
      </c>
      <c r="E153" s="2">
        <f>'[1]ישיר מתוקן'!$E157</f>
        <v>3114685</v>
      </c>
      <c r="F153" s="2">
        <f>-1*'[1]ישיר מתוקן'!$AF157</f>
        <v>-602921</v>
      </c>
      <c r="G153" s="2">
        <f>'[1]ישיר מתוקן'!$AA157</f>
        <v>85449</v>
      </c>
      <c r="H153" s="2">
        <f>'[1]ישיר מתוקן'!$AD157</f>
        <v>171912</v>
      </c>
      <c r="I153" s="2">
        <f>-1*'[1]ישיר מתוקן'!$AE157</f>
        <v>-9228</v>
      </c>
      <c r="J153" s="2">
        <f>'[1]ישיר מתוקן'!$W157</f>
        <v>289141</v>
      </c>
    </row>
    <row r="154" spans="1:10" x14ac:dyDescent="0.2">
      <c r="A154" s="26">
        <v>39692</v>
      </c>
      <c r="B154" s="2">
        <f>'[1]ישיר מתוקן'!$K158</f>
        <v>1695377</v>
      </c>
      <c r="C154" s="2">
        <f>'[1]ישיר מתוקן'!$L158</f>
        <v>622367</v>
      </c>
      <c r="D154" s="2">
        <f>-1*'[1]ישיר מתוקן'!$M158</f>
        <v>-3468</v>
      </c>
      <c r="E154" s="2">
        <f>'[1]ישיר מתוקן'!$E158</f>
        <v>3272468</v>
      </c>
      <c r="F154" s="2">
        <f>-1*'[1]ישיר מתוקן'!$AF158</f>
        <v>-438113</v>
      </c>
      <c r="G154" s="2">
        <f>'[1]ישיר מתוקן'!$AA158</f>
        <v>87711</v>
      </c>
      <c r="H154" s="2">
        <f>'[1]ישיר מתוקן'!$AD158</f>
        <v>71543</v>
      </c>
      <c r="I154" s="2">
        <f>-1*'[1]ישיר מתוקן'!$AE158</f>
        <v>-22284</v>
      </c>
      <c r="J154" s="2">
        <f>'[1]ישיר מתוקן'!$W158</f>
        <v>334316</v>
      </c>
    </row>
    <row r="155" spans="1:10" x14ac:dyDescent="0.2">
      <c r="A155" s="26">
        <v>39722</v>
      </c>
      <c r="B155" s="2">
        <f>'[1]ישיר מתוקן'!$K159</f>
        <v>1508440</v>
      </c>
      <c r="C155" s="2">
        <f>'[1]ישיר מתוקן'!$L159</f>
        <v>365144</v>
      </c>
      <c r="D155" s="2">
        <f>-1*'[1]ישיר מתוקן'!$M159</f>
        <v>-5251</v>
      </c>
      <c r="E155" s="2">
        <f>'[1]ישיר מתוקן'!$E159</f>
        <v>2504583</v>
      </c>
      <c r="F155" s="2">
        <f>-1*'[1]ישיר מתוקן'!$AF159</f>
        <v>-197540</v>
      </c>
      <c r="G155" s="2">
        <f>'[1]ישיר מתוקן'!$AA159</f>
        <v>77219</v>
      </c>
      <c r="H155" s="2">
        <f>'[1]ישיר מתוקן'!$AD159</f>
        <v>215340</v>
      </c>
      <c r="I155" s="2">
        <f>-1*'[1]ישיר מתוקן'!$AE159</f>
        <v>-10021</v>
      </c>
      <c r="J155" s="2">
        <f>'[1]ישיר מתוקן'!$W159</f>
        <v>282512</v>
      </c>
    </row>
    <row r="156" spans="1:10" x14ac:dyDescent="0.2">
      <c r="A156" s="26">
        <v>39753</v>
      </c>
      <c r="B156" s="2">
        <f>'[1]ישיר מתוקן'!$K160</f>
        <v>1306465</v>
      </c>
      <c r="C156" s="2">
        <f>'[1]ישיר מתוקן'!$L160</f>
        <v>452341</v>
      </c>
      <c r="D156" s="2">
        <f>-1*'[1]ישיר מתוקן'!$M160</f>
        <v>-6254</v>
      </c>
      <c r="E156" s="2">
        <f>'[1]ישיר מתוקן'!$E160</f>
        <v>2624931</v>
      </c>
      <c r="F156" s="2">
        <f>-1*'[1]ישיר מתוקן'!$AF160</f>
        <v>-435817</v>
      </c>
      <c r="G156" s="2">
        <f>'[1]ישיר מתוקן'!$AA160</f>
        <v>92613</v>
      </c>
      <c r="H156" s="2">
        <f>'[1]ישיר מתוקן'!$AD160</f>
        <v>142002</v>
      </c>
      <c r="I156" s="2">
        <f>-1*'[1]ישיר מתוקן'!$AE160</f>
        <v>-16808</v>
      </c>
      <c r="J156" s="2">
        <f>'[1]ישיר מתוקן'!$W160</f>
        <v>306516</v>
      </c>
    </row>
    <row r="157" spans="1:10" x14ac:dyDescent="0.2">
      <c r="A157" s="26">
        <v>39783</v>
      </c>
      <c r="B157" s="2">
        <f>'[1]ישיר מתוקן'!$K161</f>
        <v>1119466</v>
      </c>
      <c r="C157" s="2">
        <f>'[1]ישיר מתוקן'!$L161</f>
        <v>455511</v>
      </c>
      <c r="D157" s="2">
        <f>-1*'[1]ישיר מתוקן'!$M161</f>
        <v>-6820</v>
      </c>
      <c r="E157" s="2">
        <f>'[1]ישיר מתוקן'!$E161</f>
        <v>2164642</v>
      </c>
      <c r="F157" s="2">
        <f>-1*'[1]ישיר מתוקן'!$AF161</f>
        <v>-762567</v>
      </c>
      <c r="G157" s="2">
        <f>'[1]ישיר מתוקן'!$AA161</f>
        <v>87248</v>
      </c>
      <c r="H157" s="2">
        <f>'[1]ישיר מתוקן'!$AD161</f>
        <v>279108</v>
      </c>
      <c r="I157" s="2">
        <f>-1*'[1]ישיר מתוקן'!$AE161</f>
        <v>-70373</v>
      </c>
      <c r="J157" s="2">
        <f>'[1]ישיר מתוקן'!$W161</f>
        <v>290028</v>
      </c>
    </row>
    <row r="158" spans="1:10" x14ac:dyDescent="0.2">
      <c r="A158" s="26">
        <v>39814</v>
      </c>
      <c r="B158" s="2">
        <f>'[1]ישיר מתוקן'!$K162</f>
        <v>49851</v>
      </c>
      <c r="C158" s="2">
        <f>'[1]ישיר מתוקן'!$L162</f>
        <v>2035325</v>
      </c>
      <c r="D158" s="2">
        <f>-1*'[1]ישיר מתוקן'!$M162</f>
        <v>-14595</v>
      </c>
      <c r="E158" s="2">
        <f>'[1]ישיר מתוקן'!$E162</f>
        <v>3064462</v>
      </c>
      <c r="F158" s="2">
        <f>-1*'[1]ישיר מתוקן'!$AF162</f>
        <v>-565489</v>
      </c>
      <c r="G158" s="2">
        <f>'[1]ישיר מתוקן'!$AA162</f>
        <v>146306</v>
      </c>
      <c r="H158" s="2">
        <f>'[1]ישיר מתוקן'!$AD162</f>
        <v>488005</v>
      </c>
      <c r="I158" s="2">
        <f>-1*'[1]ישיר מתוקן'!$AE162</f>
        <v>-64643</v>
      </c>
      <c r="J158" s="2">
        <f>'[1]ישיר מתוקן'!$W162</f>
        <v>412641</v>
      </c>
    </row>
    <row r="159" spans="1:10" x14ac:dyDescent="0.2">
      <c r="A159" s="26">
        <v>39845</v>
      </c>
      <c r="B159" s="2">
        <f>'[1]ישיר מתוקן'!$K163</f>
        <v>1408093</v>
      </c>
      <c r="C159" s="2">
        <f>'[1]ישיר מתוקן'!$L163</f>
        <v>677775</v>
      </c>
      <c r="D159" s="2">
        <f>-1*'[1]ישיר מתוקן'!$M163</f>
        <v>-2992</v>
      </c>
      <c r="E159" s="2">
        <f>'[1]ישיר מתוקן'!$E163</f>
        <v>2739110</v>
      </c>
      <c r="F159" s="2">
        <f>-1*'[1]ישיר מתוקן'!$AF163</f>
        <v>-531742</v>
      </c>
      <c r="G159" s="2">
        <f>'[1]ישיר מתוקן'!$AA163</f>
        <v>65316</v>
      </c>
      <c r="H159" s="2">
        <f>'[1]ישיר מתוקן'!$AD163</f>
        <v>61283</v>
      </c>
      <c r="I159" s="2">
        <f>-1*'[1]ישיר מתוקן'!$AE163</f>
        <v>-11734</v>
      </c>
      <c r="J159" s="2">
        <f>'[1]ישיר מתוקן'!$W163</f>
        <v>290766</v>
      </c>
    </row>
    <row r="160" spans="1:10" x14ac:dyDescent="0.2">
      <c r="A160" s="26">
        <v>39873</v>
      </c>
      <c r="B160" s="2">
        <f>'[1]ישיר מתוקן'!$K164</f>
        <v>1463267</v>
      </c>
      <c r="C160" s="2">
        <f>'[1]ישיר מתוקן'!$L164</f>
        <v>656780</v>
      </c>
      <c r="D160" s="2">
        <f>-1*'[1]ישיר מתוקן'!$M164</f>
        <v>-4640</v>
      </c>
      <c r="E160" s="2">
        <f>'[1]ישיר מתוקן'!$E164</f>
        <v>3080106</v>
      </c>
      <c r="F160" s="2">
        <f>-1*'[1]ישיר מתוקן'!$AF164</f>
        <v>-1049424</v>
      </c>
      <c r="G160" s="2">
        <f>'[1]ישיר מתוקן'!$AA164</f>
        <v>69859</v>
      </c>
      <c r="H160" s="2">
        <f>'[1]ישיר מתוקן'!$AD164</f>
        <v>107632</v>
      </c>
      <c r="I160" s="2">
        <f>-1*'[1]ישיר מתוקן'!$AE164</f>
        <v>-6112</v>
      </c>
      <c r="J160" s="2">
        <f>'[1]ישיר מתוקן'!$W164</f>
        <v>327045</v>
      </c>
    </row>
    <row r="161" spans="1:10" x14ac:dyDescent="0.2">
      <c r="A161" s="26">
        <v>39904</v>
      </c>
      <c r="B161" s="2">
        <f>'[1]ישיר מתוקן'!$K165</f>
        <v>3040602</v>
      </c>
      <c r="C161" s="2">
        <f>'[1]ישיר מתוקן'!$L165</f>
        <v>447846</v>
      </c>
      <c r="D161" s="2">
        <f>-1*'[1]ישיר מתוקן'!$M165</f>
        <v>-5404</v>
      </c>
      <c r="E161" s="2">
        <f>'[1]ישיר מתוקן'!$E165</f>
        <v>4126392</v>
      </c>
      <c r="F161" s="2">
        <f>-1*'[1]ישיר מתוקן'!$AF165</f>
        <v>-1094389</v>
      </c>
      <c r="G161" s="2">
        <f>'[1]ישיר מתוקן'!$AA165</f>
        <v>67325</v>
      </c>
      <c r="H161" s="2">
        <f>'[1]ישיר מתוקן'!$AD165</f>
        <v>107287</v>
      </c>
      <c r="I161" s="2">
        <f>-1*'[1]ישיר מתוקן'!$AE165</f>
        <v>-6273</v>
      </c>
      <c r="J161" s="2">
        <f>'[1]ישיר מתוקן'!$W165</f>
        <v>334406</v>
      </c>
    </row>
    <row r="162" spans="1:10" x14ac:dyDescent="0.2">
      <c r="A162" s="26">
        <v>39934</v>
      </c>
      <c r="B162" s="2">
        <f>'[1]ישיר מתוקן'!$K166</f>
        <v>1495530</v>
      </c>
      <c r="C162" s="2">
        <f>'[1]ישיר מתוקן'!$L166</f>
        <v>486120</v>
      </c>
      <c r="D162" s="2">
        <f>-1*'[1]ישיר מתוקן'!$M166</f>
        <v>-9217</v>
      </c>
      <c r="E162" s="2">
        <f>'[1]ישיר מתוקן'!$E166</f>
        <v>2873073</v>
      </c>
      <c r="F162" s="2">
        <f>-1*'[1]ישיר מתוקן'!$AF166</f>
        <v>-622897</v>
      </c>
      <c r="G162" s="2">
        <f>'[1]ישיר מתוקן'!$AA166</f>
        <v>72997</v>
      </c>
      <c r="H162" s="2">
        <f>'[1]ישיר מתוקן'!$AD166</f>
        <v>106037</v>
      </c>
      <c r="I162" s="2">
        <f>-1*'[1]ישיר מתוקן'!$AE166</f>
        <v>-11040</v>
      </c>
      <c r="J162" s="2">
        <f>'[1]ישיר מתוקן'!$W166</f>
        <v>402661</v>
      </c>
    </row>
    <row r="163" spans="1:10" x14ac:dyDescent="0.2">
      <c r="A163" s="26">
        <v>39965</v>
      </c>
      <c r="B163" s="2">
        <f>'[1]ישיר מתוקן'!$K167</f>
        <v>1446723</v>
      </c>
      <c r="C163" s="2">
        <f>'[1]ישיר מתוקן'!$L167</f>
        <v>547488</v>
      </c>
      <c r="D163" s="2">
        <f>-1*'[1]ישיר מתוקן'!$M167</f>
        <v>-5665</v>
      </c>
      <c r="E163" s="2">
        <f>'[1]ישיר מתוקן'!$E167</f>
        <v>2607870</v>
      </c>
      <c r="F163" s="2">
        <f>-1*'[1]ישיר מתוקן'!$AF167</f>
        <v>-716481</v>
      </c>
      <c r="G163" s="2">
        <f>'[1]ישיר מתוקן'!$AA167</f>
        <v>75756</v>
      </c>
      <c r="H163" s="2">
        <f>'[1]ישיר מתוקן'!$AD167</f>
        <v>309662</v>
      </c>
      <c r="I163" s="2">
        <f>-1*'[1]ישיר מתוקן'!$AE167</f>
        <v>-6539</v>
      </c>
      <c r="J163" s="2">
        <f>'[1]ישיר מתוקן'!$W167</f>
        <v>247873</v>
      </c>
    </row>
    <row r="164" spans="1:10" x14ac:dyDescent="0.2">
      <c r="A164" s="26">
        <v>39995</v>
      </c>
      <c r="B164" s="2">
        <f>'[1]ישיר מתוקן'!$K168</f>
        <v>1758156</v>
      </c>
      <c r="C164" s="2">
        <f>'[1]ישיר מתוקן'!$L168</f>
        <v>515165</v>
      </c>
      <c r="D164" s="2">
        <f>-1*'[1]ישיר מתוקן'!$M168</f>
        <v>-17751</v>
      </c>
      <c r="E164" s="2">
        <f>'[1]ישיר מתוקן'!$E168</f>
        <v>3212367</v>
      </c>
      <c r="F164" s="2">
        <f>-1*'[1]ישיר מתוקן'!$AF168</f>
        <v>-852489</v>
      </c>
      <c r="G164" s="2">
        <f>'[1]ישיר מתוקן'!$AA168</f>
        <v>70274</v>
      </c>
      <c r="H164" s="2">
        <f>'[1]ישיר מתוקן'!$AD168</f>
        <v>154233</v>
      </c>
      <c r="I164" s="2">
        <f>-1*'[1]ישיר מתוקן'!$AE168</f>
        <v>-9711</v>
      </c>
      <c r="J164" s="2">
        <f>'[1]ישיר מתוקן'!$W168</f>
        <v>376925</v>
      </c>
    </row>
    <row r="165" spans="1:10" x14ac:dyDescent="0.2">
      <c r="A165" s="26">
        <v>40026</v>
      </c>
      <c r="B165" s="2">
        <f>'[1]ישיר מתוקן'!$K169</f>
        <v>1691904</v>
      </c>
      <c r="C165" s="2">
        <f>'[1]ישיר מתוקן'!$L169</f>
        <v>416976</v>
      </c>
      <c r="D165" s="2">
        <f>-1*'[1]ישיר מתוקן'!$M169</f>
        <v>-8378</v>
      </c>
      <c r="E165" s="2">
        <f>'[1]ישיר מתוקן'!$E169</f>
        <v>2730925</v>
      </c>
      <c r="F165" s="2">
        <f>-1*'[1]ישיר מתוקן'!$AF169</f>
        <v>-754259</v>
      </c>
      <c r="G165" s="2">
        <f>'[1]ישיר מתוקן'!$AA169</f>
        <v>66271</v>
      </c>
      <c r="H165" s="2">
        <f>'[1]ישיר מתוקן'!$AD169</f>
        <v>214471</v>
      </c>
      <c r="I165" s="2">
        <f>-1*'[1]ישיר מתוקן'!$AE169</f>
        <v>-4317</v>
      </c>
      <c r="J165" s="2">
        <f>'[1]ישיר מתוקן'!$W169</f>
        <v>290926</v>
      </c>
    </row>
    <row r="166" spans="1:10" x14ac:dyDescent="0.2">
      <c r="A166" s="26">
        <v>40057</v>
      </c>
      <c r="B166" s="2">
        <f>'[1]ישיר מתוקן'!$K170</f>
        <v>1711644</v>
      </c>
      <c r="C166" s="2">
        <f>'[1]ישיר מתוקן'!$L170</f>
        <v>488340</v>
      </c>
      <c r="D166" s="2">
        <f>-1*'[1]ישיר מתוקן'!$M170</f>
        <v>-7998</v>
      </c>
      <c r="E166" s="2">
        <f>'[1]ישיר מתוקן'!$E170</f>
        <v>3088958</v>
      </c>
      <c r="F166" s="2">
        <f>-1*'[1]ישיר מתוקן'!$AF170</f>
        <v>-341649</v>
      </c>
      <c r="G166" s="2">
        <f>'[1]ישיר מתוקן'!$AA170</f>
        <v>70322</v>
      </c>
      <c r="H166" s="2">
        <f>'[1]ישיר מתוקן'!$AD170</f>
        <v>64324</v>
      </c>
      <c r="I166" s="2">
        <f>-1*'[1]ישיר מתוקן'!$AE170</f>
        <v>-3837</v>
      </c>
      <c r="J166" s="2">
        <f>'[1]ישיר מתוקן'!$W170</f>
        <v>305410</v>
      </c>
    </row>
    <row r="167" spans="1:10" x14ac:dyDescent="0.2">
      <c r="A167" s="26">
        <v>40087</v>
      </c>
      <c r="B167" s="2">
        <f>'[1]ישיר מתוקן'!$K171</f>
        <v>1910039</v>
      </c>
      <c r="C167" s="2">
        <f>'[1]ישיר מתוקן'!$L171</f>
        <v>342607</v>
      </c>
      <c r="D167" s="2">
        <f>-1*'[1]ישיר מתוקן'!$M171</f>
        <v>-6112</v>
      </c>
      <c r="E167" s="2">
        <f>'[1]ישיר מתוקן'!$E171</f>
        <v>2848095</v>
      </c>
      <c r="F167" s="2">
        <f>-1*'[1]ישיר מתוקן'!$AF171</f>
        <v>-612433</v>
      </c>
      <c r="G167" s="2">
        <f>'[1]ישיר מתוקן'!$AA171</f>
        <v>69717</v>
      </c>
      <c r="H167" s="2">
        <f>'[1]ישיר מתוקן'!$AD171</f>
        <v>163386</v>
      </c>
      <c r="I167" s="2">
        <f>-1*'[1]ישיר מתוקן'!$AE171</f>
        <v>-6496</v>
      </c>
      <c r="J167" s="2">
        <f>'[1]ישיר מתוקן'!$W171</f>
        <v>287649</v>
      </c>
    </row>
    <row r="168" spans="1:10" x14ac:dyDescent="0.2">
      <c r="A168" s="26">
        <v>40118</v>
      </c>
      <c r="B168" s="2">
        <f>'[1]ישיר מתוקן'!$K172</f>
        <v>2157262</v>
      </c>
      <c r="C168" s="2">
        <f>'[1]ישיר מתוקן'!$L172</f>
        <v>449883</v>
      </c>
      <c r="D168" s="2">
        <f>-1*'[1]ישיר מתוקן'!$M172</f>
        <v>-7773</v>
      </c>
      <c r="E168" s="2">
        <f>'[1]ישיר מתוקן'!$E172</f>
        <v>3460986</v>
      </c>
      <c r="F168" s="2">
        <f>-1*'[1]ישיר מתוקן'!$AF172</f>
        <v>-497976</v>
      </c>
      <c r="G168" s="2">
        <f>'[1]ישיר מתוקן'!$AA172</f>
        <v>81944</v>
      </c>
      <c r="H168" s="2">
        <f>'[1]ישיר מתוקן'!$AD172</f>
        <v>246207</v>
      </c>
      <c r="I168" s="2">
        <f>-1*'[1]ישיר מתוקן'!$AE172</f>
        <v>-5759</v>
      </c>
      <c r="J168" s="2">
        <f>'[1]ישיר מתוקן'!$W172</f>
        <v>298379</v>
      </c>
    </row>
    <row r="169" spans="1:10" x14ac:dyDescent="0.2">
      <c r="A169" s="26">
        <v>40148</v>
      </c>
      <c r="B169" s="2">
        <f>'[1]ישיר מתוקן'!$K173</f>
        <v>1360495</v>
      </c>
      <c r="C169" s="2">
        <f>'[1]ישיר מתוקן'!$L173</f>
        <v>613816</v>
      </c>
      <c r="D169" s="2">
        <f>-1*'[1]ישיר מתוקן'!$M173</f>
        <v>-6881</v>
      </c>
      <c r="E169" s="2">
        <f>'[1]ישיר מתוקן'!$E173</f>
        <v>2633100</v>
      </c>
      <c r="F169" s="2">
        <f>-1*'[1]ישיר מתוקן'!$AF173</f>
        <v>-861962</v>
      </c>
      <c r="G169" s="2">
        <f>'[1]ישיר מתוקן'!$AA173</f>
        <v>77552</v>
      </c>
      <c r="H169" s="2">
        <f>'[1]ישיר מתוקן'!$AD173</f>
        <v>251109</v>
      </c>
      <c r="I169" s="2">
        <f>-1*'[1]ישיר מתוקן'!$AE173</f>
        <v>-4710</v>
      </c>
      <c r="J169" s="2">
        <f>'[1]ישיר מתוקן'!$W173</f>
        <v>280405</v>
      </c>
    </row>
    <row r="170" spans="1:10" x14ac:dyDescent="0.2">
      <c r="A170" s="26">
        <v>40179</v>
      </c>
      <c r="B170" s="2">
        <f>'[1]ישיר מתוקן'!$K174</f>
        <v>1228639</v>
      </c>
      <c r="C170" s="2">
        <f>'[1]ישיר מתוקן'!$L174</f>
        <v>2320670</v>
      </c>
      <c r="D170" s="2">
        <f>-1*'[1]ישיר מתוקן'!$M174</f>
        <v>-1490409</v>
      </c>
      <c r="E170" s="2">
        <f>'[1]ישיר מתוקן'!$E174</f>
        <v>3094531</v>
      </c>
      <c r="F170" s="2">
        <f>-1*'[1]ישיר מתוקן'!$AF174</f>
        <v>-562008</v>
      </c>
      <c r="G170" s="2">
        <f>'[1]ישיר מתוקן'!$AA174</f>
        <v>142321</v>
      </c>
      <c r="H170" s="2">
        <f>'[1]ישיר מתוקן'!$AD174</f>
        <v>664600</v>
      </c>
      <c r="I170" s="2">
        <f>-1*'[1]ישיר מתוקן'!$AE174</f>
        <v>-17688</v>
      </c>
      <c r="J170" s="2">
        <f>'[1]ישיר מתוקן'!$W174</f>
        <v>502685</v>
      </c>
    </row>
    <row r="171" spans="1:10" x14ac:dyDescent="0.2">
      <c r="A171" s="26">
        <v>40210</v>
      </c>
      <c r="B171" s="2">
        <f>'[1]ישיר מתוקן'!$K175</f>
        <v>1703418</v>
      </c>
      <c r="C171" s="2">
        <f>'[1]ישיר מתוקן'!$L175</f>
        <v>932455</v>
      </c>
      <c r="D171" s="2">
        <f>-1*'[1]ישיר מתוקן'!$M175</f>
        <v>-28381</v>
      </c>
      <c r="E171" s="2">
        <f>'[1]ישיר מתוקן'!$E175</f>
        <v>3237497</v>
      </c>
      <c r="F171" s="2">
        <f>-1*'[1]ישיר מתוקן'!$AF175</f>
        <v>-721106</v>
      </c>
      <c r="G171" s="2">
        <f>'[1]ישיר מתוקן'!$AA175</f>
        <v>65714</v>
      </c>
      <c r="H171" s="2">
        <f>'[1]ישיר מתוקן'!$AD175</f>
        <v>152631</v>
      </c>
      <c r="I171" s="2">
        <f>-1*'[1]ישיר מתוקן'!$AE175</f>
        <v>-163884</v>
      </c>
      <c r="J171" s="2">
        <f>'[1]ישיר מתוקן'!$W175</f>
        <v>349509</v>
      </c>
    </row>
    <row r="172" spans="1:10" x14ac:dyDescent="0.2">
      <c r="A172" s="26">
        <v>40238</v>
      </c>
      <c r="B172" s="2">
        <f>'[1]ישיר מתוקן'!$K176</f>
        <v>1847628</v>
      </c>
      <c r="C172" s="2">
        <f>'[1]ישיר מתוקן'!$L176</f>
        <v>685975</v>
      </c>
      <c r="D172" s="2">
        <f>-1*'[1]ישיר מתוקן'!$M176</f>
        <v>-6507</v>
      </c>
      <c r="E172" s="2">
        <f>'[1]ישיר מתוקן'!$E176</f>
        <v>3416417</v>
      </c>
      <c r="F172" s="2">
        <f>-1*'[1]ישיר מתוקן'!$AF176</f>
        <v>-855337</v>
      </c>
      <c r="G172" s="2">
        <f>'[1]ישיר מתוקן'!$AA176</f>
        <v>70328</v>
      </c>
      <c r="H172" s="2">
        <f>'[1]ישיר מתוקן'!$AD176</f>
        <v>173840</v>
      </c>
      <c r="I172" s="2">
        <f>-1*'[1]ישיר מתוקן'!$AE176</f>
        <v>-3898</v>
      </c>
      <c r="J172" s="2">
        <f>'[1]ישיר מתוקן'!$W176</f>
        <v>279067</v>
      </c>
    </row>
    <row r="173" spans="1:10" x14ac:dyDescent="0.2">
      <c r="A173" s="26">
        <v>40269</v>
      </c>
      <c r="B173" s="2">
        <f>'[1]ישיר מתוקן'!$K177</f>
        <v>2139577</v>
      </c>
      <c r="C173" s="2">
        <f>'[1]ישיר מתוקן'!$L177</f>
        <v>480874</v>
      </c>
      <c r="D173" s="2">
        <f>-1*'[1]ישיר מתוקן'!$M177</f>
        <v>-4800</v>
      </c>
      <c r="E173" s="2">
        <f>'[1]ישיר מתוקן'!$E177</f>
        <v>3196158</v>
      </c>
      <c r="F173" s="2">
        <f>-1*'[1]ישיר מתוקן'!$AF177</f>
        <v>-859588</v>
      </c>
      <c r="G173" s="2">
        <f>'[1]ישיר מתוקן'!$AA177</f>
        <v>67680</v>
      </c>
      <c r="H173" s="2">
        <f>'[1]ישיר מתוקן'!$AD177</f>
        <v>180127</v>
      </c>
      <c r="I173" s="2">
        <f>-1*'[1]ישיר מתוקן'!$AE177</f>
        <v>-35949</v>
      </c>
      <c r="J173" s="2">
        <f>'[1]ישיר מתוקן'!$W177</f>
        <v>395696</v>
      </c>
    </row>
    <row r="174" spans="1:10" x14ac:dyDescent="0.2">
      <c r="A174" s="26">
        <v>40299</v>
      </c>
      <c r="B174" s="2">
        <f>'[1]ישיר מתוקן'!$K178</f>
        <v>1981143</v>
      </c>
      <c r="C174" s="2">
        <f>'[1]ישיר מתוקן'!$L178</f>
        <v>436546</v>
      </c>
      <c r="D174" s="2">
        <f>-1*'[1]ישיר מתוקן'!$M178</f>
        <v>-60455</v>
      </c>
      <c r="E174" s="2">
        <f>'[1]ישיר מתוקן'!$E178</f>
        <v>3233481</v>
      </c>
      <c r="F174" s="2">
        <f>-1*'[1]ישיר מתוקן'!$AF178</f>
        <v>-288495</v>
      </c>
      <c r="G174" s="2">
        <f>'[1]ישיר מתוקן'!$AA178</f>
        <v>70913</v>
      </c>
      <c r="H174" s="2">
        <f>'[1]ישיר מתוקן'!$AD178</f>
        <v>286863</v>
      </c>
      <c r="I174" s="2">
        <f>-1*'[1]ישיר מתוקן'!$AE178</f>
        <v>-9936</v>
      </c>
      <c r="J174" s="2">
        <f>'[1]ישיר מתוקן'!$W178</f>
        <v>478542</v>
      </c>
    </row>
    <row r="175" spans="1:10" x14ac:dyDescent="0.2">
      <c r="A175" s="26">
        <v>40330</v>
      </c>
      <c r="B175" s="2">
        <f>'[1]ישיר מתוקן'!$K179</f>
        <v>1795045</v>
      </c>
      <c r="C175" s="2">
        <f>'[1]ישיר מתוקן'!$L179</f>
        <v>433351</v>
      </c>
      <c r="D175" s="2">
        <f>-1*'[1]ישיר מתוקן'!$M179</f>
        <v>-3183</v>
      </c>
      <c r="E175" s="2">
        <f>'[1]ישיר מתוקן'!$E179</f>
        <v>2806246</v>
      </c>
      <c r="F175" s="2">
        <f>-1*'[1]ישיר מתוקן'!$AF179</f>
        <v>-812982</v>
      </c>
      <c r="G175" s="2">
        <f>'[1]ישיר מתוקן'!$AA179</f>
        <v>67245</v>
      </c>
      <c r="H175" s="2">
        <f>'[1]ישיר מתוקן'!$AD179</f>
        <v>402101</v>
      </c>
      <c r="I175" s="2">
        <f>-1*'[1]ישיר מתוקן'!$AE179</f>
        <v>-4712</v>
      </c>
      <c r="J175" s="2">
        <f>'[1]ישיר מתוקן'!$W179</f>
        <v>322263</v>
      </c>
    </row>
    <row r="176" spans="1:10" x14ac:dyDescent="0.2">
      <c r="A176" s="26">
        <v>40360</v>
      </c>
      <c r="B176" s="2">
        <f>'[1]ישיר מתוקן'!$K180</f>
        <v>2063118</v>
      </c>
      <c r="C176" s="2">
        <f>'[1]ישיר מתוקן'!$L180</f>
        <v>577974</v>
      </c>
      <c r="D176" s="2">
        <f>-1*'[1]ישיר מתוקן'!$M180</f>
        <v>-4867</v>
      </c>
      <c r="E176" s="2">
        <f>'[1]ישיר מתוקן'!$E180</f>
        <v>3590185</v>
      </c>
      <c r="F176" s="2">
        <f>-1*'[1]ישיר מתוקן'!$AF180</f>
        <v>-832628</v>
      </c>
      <c r="G176" s="2">
        <f>'[1]ישיר מתוקן'!$AA180</f>
        <v>76183</v>
      </c>
      <c r="H176" s="2">
        <f>'[1]ישיר מתוקן'!$AD180</f>
        <v>504592</v>
      </c>
      <c r="I176" s="2">
        <f>-1*'[1]ישיר מתוקן'!$AE180</f>
        <v>-6720</v>
      </c>
      <c r="J176" s="2">
        <f>'[1]ישיר מתוקן'!$W180</f>
        <v>388179</v>
      </c>
    </row>
    <row r="177" spans="1:10" x14ac:dyDescent="0.2">
      <c r="A177" s="26">
        <v>40391</v>
      </c>
      <c r="B177" s="2">
        <f>'[1]ישיר מתוקן'!$K181</f>
        <v>1920876</v>
      </c>
      <c r="C177" s="2">
        <f>'[1]ישיר מתוקן'!$L181</f>
        <v>433712</v>
      </c>
      <c r="D177" s="2">
        <f>-1*'[1]ישיר מתוקן'!$M181</f>
        <v>-4472</v>
      </c>
      <c r="E177" s="2">
        <f>'[1]ישיר מתוקן'!$E181</f>
        <v>2981904</v>
      </c>
      <c r="F177" s="2">
        <f>-1*'[1]ישיר מתוקן'!$AF181</f>
        <v>-767031</v>
      </c>
      <c r="G177" s="2">
        <f>'[1]ישיר מתוקן'!$AA181</f>
        <v>70743</v>
      </c>
      <c r="H177" s="2">
        <f>'[1]ישיר מתוקן'!$AD181</f>
        <v>296463</v>
      </c>
      <c r="I177" s="2">
        <f>-1*'[1]ישיר מתוקן'!$AE181</f>
        <v>-53393</v>
      </c>
      <c r="J177" s="2">
        <f>'[1]ישיר מתוקן'!$W181</f>
        <v>355222</v>
      </c>
    </row>
    <row r="178" spans="1:10" x14ac:dyDescent="0.2">
      <c r="A178" s="26">
        <v>40422</v>
      </c>
      <c r="B178" s="2">
        <f>'[1]ישיר מתוקן'!$K182</f>
        <v>1925254</v>
      </c>
      <c r="C178" s="2">
        <f>'[1]ישיר מתוקן'!$L182</f>
        <v>377480</v>
      </c>
      <c r="D178" s="2">
        <f>-1*'[1]ישיר מתוקן'!$M182</f>
        <v>-8788</v>
      </c>
      <c r="E178" s="2">
        <f>'[1]ישיר מתוקן'!$E182</f>
        <v>3130785</v>
      </c>
      <c r="F178" s="2">
        <f>-1*'[1]ישיר מתוקן'!$AF182</f>
        <v>-474260</v>
      </c>
      <c r="G178" s="2">
        <f>'[1]ישיר מתוקן'!$AA182</f>
        <v>65888</v>
      </c>
      <c r="H178" s="2">
        <f>'[1]ישיר מתוקן'!$AD182</f>
        <v>323646</v>
      </c>
      <c r="I178" s="2">
        <f>-1*'[1]ישיר מתוקן'!$AE182</f>
        <v>-3706</v>
      </c>
      <c r="J178" s="2">
        <f>'[1]ישיר מתוקן'!$W182</f>
        <v>339504</v>
      </c>
    </row>
    <row r="179" spans="1:10" x14ac:dyDescent="0.2">
      <c r="A179" s="26">
        <v>40452</v>
      </c>
      <c r="B179" s="2">
        <f>'[1]ישיר מתוקן'!$K183</f>
        <v>1987068</v>
      </c>
      <c r="C179" s="2">
        <f>'[1]ישיר מתוקן'!$L183</f>
        <v>383794</v>
      </c>
      <c r="D179" s="2">
        <f>-1*'[1]ישיר מתוקן'!$M183</f>
        <v>-6505</v>
      </c>
      <c r="E179" s="2">
        <f>'[1]ישיר מתוקן'!$E183</f>
        <v>2897588</v>
      </c>
      <c r="F179" s="2">
        <f>-1*'[1]ישיר מתוקן'!$AF183</f>
        <v>-329803</v>
      </c>
      <c r="G179" s="2">
        <f>'[1]ישיר מתוקן'!$AA183</f>
        <v>75785</v>
      </c>
      <c r="H179" s="2">
        <f>'[1]ישיר מתוקן'!$AD183</f>
        <v>615344</v>
      </c>
      <c r="I179" s="2">
        <f>-1*'[1]ישיר מתוקן'!$AE183</f>
        <v>-4309</v>
      </c>
      <c r="J179" s="2">
        <f>'[1]ישיר מתוקן'!$W183</f>
        <v>304572</v>
      </c>
    </row>
    <row r="180" spans="1:10" x14ac:dyDescent="0.2">
      <c r="A180" s="26">
        <v>40483</v>
      </c>
      <c r="B180" s="2">
        <f>'[1]ישיר מתוקן'!$K184</f>
        <v>2135196</v>
      </c>
      <c r="C180" s="2">
        <f>'[1]ישיר מתוקן'!$L184</f>
        <v>338342</v>
      </c>
      <c r="D180" s="2">
        <f>-1*'[1]ישיר מתוקן'!$M184</f>
        <v>-4576</v>
      </c>
      <c r="E180" s="2">
        <f>'[1]ישיר מתוקן'!$E184</f>
        <v>3401276</v>
      </c>
      <c r="F180" s="2">
        <f>-1*'[1]ישיר מתוקן'!$AF184</f>
        <v>-388158</v>
      </c>
      <c r="G180" s="2">
        <f>'[1]ישיר מתוקן'!$AA184</f>
        <v>76158</v>
      </c>
      <c r="H180" s="2">
        <f>'[1]ישיר מתוקן'!$AD184</f>
        <v>253709</v>
      </c>
      <c r="I180" s="2">
        <f>-1*'[1]ישיר מתוקן'!$AE184</f>
        <v>-13134</v>
      </c>
      <c r="J180" s="2">
        <f>'[1]ישיר מתוקן'!$W184</f>
        <v>402068</v>
      </c>
    </row>
    <row r="181" spans="1:10" x14ac:dyDescent="0.2">
      <c r="A181" s="26">
        <v>40513</v>
      </c>
      <c r="B181" s="2">
        <f>'[1]ישיר מתוקן'!$K185</f>
        <v>1551812</v>
      </c>
      <c r="C181" s="2">
        <f>'[1]ישיר מתוקן'!$L185</f>
        <v>695359</v>
      </c>
      <c r="D181" s="2">
        <f>-1*'[1]ישיר מתוקן'!$M185</f>
        <v>-9012</v>
      </c>
      <c r="E181" s="2">
        <f>'[1]ישיר מתוקן'!$E185</f>
        <v>2893256</v>
      </c>
      <c r="F181" s="2">
        <f>-1*'[1]ישיר מתוקן'!$AF185</f>
        <v>-1010211</v>
      </c>
      <c r="G181" s="2">
        <f>'[1]ישיר מתוקן'!$AA185</f>
        <v>78968</v>
      </c>
      <c r="H181" s="2">
        <f>'[1]ישיר מתוקן'!$AD185</f>
        <v>288419</v>
      </c>
      <c r="I181" s="2">
        <f>-1*'[1]ישיר מתוקן'!$AE185</f>
        <v>-7574</v>
      </c>
      <c r="J181" s="2">
        <f>'[1]ישיר מתוקן'!$W185</f>
        <v>360711</v>
      </c>
    </row>
    <row r="182" spans="1:10" x14ac:dyDescent="0.2">
      <c r="A182" s="26">
        <v>40544</v>
      </c>
      <c r="B182" s="2">
        <f>'[1]ישיר מתוקן'!$K186</f>
        <v>31293</v>
      </c>
      <c r="C182" s="2">
        <f>'[1]ישיר מתוקן'!$L186</f>
        <v>3053839</v>
      </c>
      <c r="D182" s="2">
        <f>-1*'[1]ישיר מתוקן'!$M186</f>
        <v>-2988</v>
      </c>
      <c r="E182" s="2">
        <f>'[1]ישיר מתוקן'!$E186</f>
        <v>4281161</v>
      </c>
      <c r="F182" s="2">
        <f>-1*'[1]ישיר מתוקן'!$AF186</f>
        <v>-551139</v>
      </c>
      <c r="G182" s="2">
        <f>'[1]ישיר מתוקן'!$AA186</f>
        <v>141863</v>
      </c>
      <c r="H182" s="2">
        <f>'[1]ישיר מתוקן'!$AD186</f>
        <v>464696</v>
      </c>
      <c r="I182" s="2">
        <f>-1*'[1]ישיר מתוקן'!$AE186</f>
        <v>-4037</v>
      </c>
      <c r="J182" s="2">
        <f>'[1]ישיר מתוקן'!$W186</f>
        <v>634871</v>
      </c>
    </row>
    <row r="183" spans="1:10" x14ac:dyDescent="0.2">
      <c r="A183" s="26">
        <v>40575</v>
      </c>
      <c r="B183" s="2">
        <f>'[1]ישיר מתוקן'!$K187</f>
        <v>1912296</v>
      </c>
      <c r="C183" s="2">
        <f>'[1]ישיר מתוקן'!$L187</f>
        <v>1661253</v>
      </c>
      <c r="D183" s="2">
        <f>-1*'[1]ישיר מתוקן'!$M187</f>
        <v>-102472</v>
      </c>
      <c r="E183" s="2">
        <f>'[1]ישיר מתוקן'!$E187</f>
        <v>4207686</v>
      </c>
      <c r="F183" s="2">
        <f>-1*'[1]ישיר מתוקן'!$AF187</f>
        <v>-664986</v>
      </c>
      <c r="G183" s="2">
        <f>'[1]ישיר מתוקן'!$AA187</f>
        <v>66228</v>
      </c>
      <c r="H183" s="2">
        <f>'[1]ישיר מתוקן'!$AD187</f>
        <v>296940</v>
      </c>
      <c r="I183" s="2">
        <f>-1*'[1]ישיר מתוקן'!$AE187</f>
        <v>-6413</v>
      </c>
      <c r="J183" s="2">
        <f>'[1]ישיר מתוקן'!$W187</f>
        <v>358397</v>
      </c>
    </row>
    <row r="184" spans="1:10" x14ac:dyDescent="0.2">
      <c r="A184" s="26">
        <v>40603</v>
      </c>
      <c r="B184" s="2">
        <f>'[1]ישיר מתוקן'!$K188</f>
        <v>1922680</v>
      </c>
      <c r="C184" s="2">
        <f>'[1]ישיר מתוקן'!$L188</f>
        <v>720575</v>
      </c>
      <c r="D184" s="2">
        <f>-1*'[1]ישיר מתוקן'!$M188</f>
        <v>-6370</v>
      </c>
      <c r="E184" s="2">
        <f>'[1]ישיר מתוקן'!$E188</f>
        <v>3533656</v>
      </c>
      <c r="F184" s="2">
        <f>-1*'[1]ישיר מתוקן'!$AF188</f>
        <v>-677124</v>
      </c>
      <c r="G184" s="2">
        <f>'[1]ישיר מתוקן'!$AA188</f>
        <v>70194</v>
      </c>
      <c r="H184" s="2">
        <f>'[1]ישיר מתוקן'!$AD188</f>
        <v>132483</v>
      </c>
      <c r="I184" s="2">
        <f>-1*'[1]ישיר מתוקן'!$AE188</f>
        <v>-11453</v>
      </c>
      <c r="J184" s="2">
        <f>'[1]ישיר מתוקן'!$W188</f>
        <v>336962</v>
      </c>
    </row>
    <row r="185" spans="1:10" x14ac:dyDescent="0.2">
      <c r="A185" s="26">
        <v>40634</v>
      </c>
      <c r="B185" s="2">
        <f>'[1]ישיר מתוקן'!$K189</f>
        <v>2333572</v>
      </c>
      <c r="C185" s="2">
        <f>'[1]ישיר מתוקן'!$L189</f>
        <v>508592</v>
      </c>
      <c r="D185" s="2">
        <f>-1*'[1]ישיר מתוקן'!$M189</f>
        <v>-3256</v>
      </c>
      <c r="E185" s="2">
        <f>'[1]ישיר מתוקן'!$E189</f>
        <v>3403496</v>
      </c>
      <c r="F185" s="2">
        <f>-1*'[1]ישיר מתוקן'!$AF189</f>
        <v>-562358</v>
      </c>
      <c r="G185" s="2">
        <f>'[1]ישיר מתוקן'!$AA189</f>
        <v>70805</v>
      </c>
      <c r="H185" s="2">
        <f>'[1]ישיר מתוקן'!$AD189</f>
        <v>171769</v>
      </c>
      <c r="I185" s="2">
        <f>-1*'[1]ישיר מתוקן'!$AE189</f>
        <v>-3404</v>
      </c>
      <c r="J185" s="2">
        <f>'[1]ישיר מתוקן'!$W189</f>
        <v>353946</v>
      </c>
    </row>
    <row r="186" spans="1:10" x14ac:dyDescent="0.2">
      <c r="A186" s="26">
        <v>40664</v>
      </c>
      <c r="B186" s="2">
        <f>'[1]ישיר מתוקן'!$K190</f>
        <v>2139535</v>
      </c>
      <c r="C186" s="2">
        <f>'[1]ישיר מתוקן'!$L190</f>
        <v>587004</v>
      </c>
      <c r="D186" s="2">
        <f>-1*'[1]ישיר מתוקן'!$M190</f>
        <v>-6542</v>
      </c>
      <c r="E186" s="2">
        <f>'[1]ישיר מתוקן'!$E190</f>
        <v>3617011</v>
      </c>
      <c r="F186" s="2">
        <f>-1*'[1]ישיר מתוקן'!$AF190</f>
        <v>-325417</v>
      </c>
      <c r="G186" s="2">
        <f>'[1]ישיר מתוקן'!$AA190</f>
        <v>70581</v>
      </c>
      <c r="H186" s="2">
        <f>'[1]ישיר מתוקן'!$AD190</f>
        <v>308480</v>
      </c>
      <c r="I186" s="2">
        <f>-1*'[1]ישיר מתוקן'!$AE190</f>
        <v>-3724</v>
      </c>
      <c r="J186" s="2">
        <f>'[1]ישיר מתוקן'!$W190</f>
        <v>433497</v>
      </c>
    </row>
    <row r="187" spans="1:10" x14ac:dyDescent="0.2">
      <c r="A187" s="26">
        <v>40695</v>
      </c>
      <c r="B187" s="2">
        <f>'[1]ישיר מתוקן'!$K191</f>
        <v>2310490</v>
      </c>
      <c r="C187" s="2">
        <f>'[1]ישיר מתוקן'!$L191</f>
        <v>447186</v>
      </c>
      <c r="D187" s="2">
        <f>-1*'[1]ישיר מתוקן'!$M191</f>
        <v>-3666</v>
      </c>
      <c r="E187" s="2">
        <f>'[1]ישיר מתוקן'!$E191</f>
        <v>3315184</v>
      </c>
      <c r="F187" s="2">
        <f>-1*'[1]ישיר מתוקן'!$AF191</f>
        <v>-724442</v>
      </c>
      <c r="G187" s="2">
        <f>'[1]ישיר מתוקן'!$AA191</f>
        <v>65881</v>
      </c>
      <c r="H187" s="2">
        <f>'[1]ישיר מתוקן'!$AD191</f>
        <v>341339</v>
      </c>
      <c r="I187" s="2">
        <f>-1*'[1]ישיר מתוקן'!$AE191</f>
        <v>-5129</v>
      </c>
      <c r="J187" s="2">
        <f>'[1]ישיר מתוקן'!$W191</f>
        <v>315880</v>
      </c>
    </row>
    <row r="188" spans="1:10" x14ac:dyDescent="0.2">
      <c r="A188" s="26">
        <v>40725</v>
      </c>
      <c r="B188" s="2">
        <f>'[1]ישיר מתוקן'!$K192</f>
        <v>2066369</v>
      </c>
      <c r="C188" s="2">
        <f>'[1]ישיר מתוקן'!$L192</f>
        <v>405404</v>
      </c>
      <c r="D188" s="2">
        <f>-1*'[1]ישיר מתוקן'!$M192</f>
        <v>-3683</v>
      </c>
      <c r="E188" s="2">
        <f>'[1]ישיר מתוקן'!$E192</f>
        <v>3739299</v>
      </c>
      <c r="F188" s="2">
        <f>-1*'[1]ישיר מתוקן'!$AF192</f>
        <v>-386792</v>
      </c>
      <c r="G188" s="2">
        <f>'[1]ישיר מתוקן'!$AA192</f>
        <v>75106</v>
      </c>
      <c r="H188" s="2">
        <f>'[1]ישיר מתוקן'!$AD192</f>
        <v>289684</v>
      </c>
      <c r="I188" s="2">
        <f>-1*'[1]ישיר מתוקן'!$AE192</f>
        <v>-15827</v>
      </c>
      <c r="J188" s="2">
        <f>'[1]ישיר מתוקן'!$W192</f>
        <v>359140</v>
      </c>
    </row>
    <row r="189" spans="1:10" x14ac:dyDescent="0.2">
      <c r="A189" s="26">
        <v>40756</v>
      </c>
      <c r="B189" s="2">
        <f>'[1]ישיר מתוקן'!$K193</f>
        <v>2069540</v>
      </c>
      <c r="C189" s="2">
        <f>'[1]ישיר מתוקן'!$L193</f>
        <v>454206</v>
      </c>
      <c r="D189" s="2">
        <f>-1*'[1]ישיר מתוקן'!$M193</f>
        <v>-4310</v>
      </c>
      <c r="E189" s="2">
        <f>'[1]ישיר מתוקן'!$E193</f>
        <v>3143461</v>
      </c>
      <c r="F189" s="2">
        <f>-1*'[1]ישיר מתוקן'!$AF193</f>
        <v>-405187</v>
      </c>
      <c r="G189" s="2">
        <f>'[1]ישיר מתוקן'!$AA193</f>
        <v>77618</v>
      </c>
      <c r="H189" s="2">
        <f>'[1]ישיר מתוקן'!$AD193</f>
        <v>326701</v>
      </c>
      <c r="I189" s="2">
        <f>-1*'[1]ישיר מתוקן'!$AE193</f>
        <v>-31467</v>
      </c>
      <c r="J189" s="2">
        <f>'[1]ישיר מתוקן'!$W193</f>
        <v>308036</v>
      </c>
    </row>
    <row r="190" spans="1:10" x14ac:dyDescent="0.2">
      <c r="A190" s="26">
        <v>40787</v>
      </c>
      <c r="B190" s="2">
        <f>'[1]ישיר מתוקן'!$K194</f>
        <v>1959358</v>
      </c>
      <c r="C190" s="2">
        <f>'[1]ישיר מתוקן'!$L194</f>
        <v>410528</v>
      </c>
      <c r="D190" s="2">
        <f>-1*'[1]ישיר מתוקן'!$M194</f>
        <v>-8051</v>
      </c>
      <c r="E190" s="2">
        <f>'[1]ישיר מתוקן'!$E194</f>
        <v>3287247</v>
      </c>
      <c r="F190" s="2">
        <f>-1*'[1]ישיר מתוקן'!$AF194</f>
        <v>-633643</v>
      </c>
      <c r="G190" s="2">
        <f>'[1]ישיר מתוקן'!$AA194</f>
        <v>76096</v>
      </c>
      <c r="H190" s="2">
        <f>'[1]ישיר מתוקן'!$AD194</f>
        <v>129373</v>
      </c>
      <c r="I190" s="2">
        <f>-1*'[1]ישיר מתוקן'!$AE194</f>
        <v>-3813</v>
      </c>
      <c r="J190" s="2">
        <f>'[1]ישיר מתוקן'!$W194</f>
        <v>399037</v>
      </c>
    </row>
    <row r="191" spans="1:10" x14ac:dyDescent="0.2">
      <c r="A191" s="26">
        <v>40817</v>
      </c>
      <c r="B191" s="2">
        <f>'[1]ישיר מתוקן'!$K195</f>
        <v>1784250</v>
      </c>
      <c r="C191" s="2">
        <f>'[1]ישיר מתוקן'!$L195</f>
        <v>454583</v>
      </c>
      <c r="D191" s="2">
        <f>-1*'[1]ישיר מתוקן'!$M195</f>
        <v>-3313</v>
      </c>
      <c r="E191" s="2">
        <f>'[1]ישיר מתוקן'!$E195</f>
        <v>2754656</v>
      </c>
      <c r="F191" s="2">
        <f>-1*'[1]ישיר מתוקן'!$AF195</f>
        <v>-241629</v>
      </c>
      <c r="G191" s="2">
        <f>'[1]ישיר מתוקן'!$AA195</f>
        <v>78547</v>
      </c>
      <c r="H191" s="2">
        <f>'[1]ישיר מתוקן'!$AD195</f>
        <v>308311</v>
      </c>
      <c r="I191" s="2">
        <f>-1*'[1]ישיר מתוקן'!$AE195</f>
        <v>-6758</v>
      </c>
      <c r="J191" s="2">
        <f>'[1]ישיר מתוקן'!$W195</f>
        <v>310941</v>
      </c>
    </row>
    <row r="192" spans="1:10" x14ac:dyDescent="0.2">
      <c r="A192" s="26">
        <v>40848</v>
      </c>
      <c r="B192" s="2">
        <f>'[1]ישיר מתוקן'!$K196</f>
        <v>1733666</v>
      </c>
      <c r="C192" s="2">
        <f>'[1]ישיר מתוקן'!$L196</f>
        <v>401708</v>
      </c>
      <c r="D192" s="2">
        <f>-1*'[1]ישיר מתוקן'!$M196</f>
        <v>-6919</v>
      </c>
      <c r="E192" s="2">
        <f>'[1]ישיר מתוקן'!$E196</f>
        <v>2982579</v>
      </c>
      <c r="F192" s="2">
        <f>-1*'[1]ישיר מתוקן'!$AF196</f>
        <v>-435292</v>
      </c>
      <c r="G192" s="2">
        <f>'[1]ישיר מתוקן'!$AA196</f>
        <v>82038</v>
      </c>
      <c r="H192" s="2">
        <f>'[1]ישיר מתוקן'!$AD196</f>
        <v>315324</v>
      </c>
      <c r="I192" s="2">
        <f>-1*'[1]ישיר מתוקן'!$AE196</f>
        <v>-3287</v>
      </c>
      <c r="J192" s="2">
        <f>'[1]ישיר מתוקן'!$W196</f>
        <v>329424</v>
      </c>
    </row>
    <row r="193" spans="1:10" x14ac:dyDescent="0.2">
      <c r="A193" s="26">
        <v>40878</v>
      </c>
      <c r="B193" s="2">
        <f>'[1]ישיר מתוקן'!$K197</f>
        <v>1473527</v>
      </c>
      <c r="C193" s="2">
        <f>'[1]ישיר מתוקן'!$L197</f>
        <v>672132</v>
      </c>
      <c r="D193" s="2">
        <f>-1*'[1]ישיר מתוקן'!$M197</f>
        <v>-3608</v>
      </c>
      <c r="E193" s="2">
        <f>'[1]ישיר מתוקן'!$E197</f>
        <v>2885601</v>
      </c>
      <c r="F193" s="2">
        <f>-1*'[1]ישיר מתוקן'!$AF197</f>
        <v>-422870</v>
      </c>
      <c r="G193" s="2">
        <f>'[1]ישיר מתוקן'!$AA197</f>
        <v>83776</v>
      </c>
      <c r="H193" s="2">
        <f>'[1]ישיר מתוקן'!$AD197</f>
        <v>1068190</v>
      </c>
      <c r="I193" s="2">
        <f>-1*'[1]ישיר מתוקן'!$AE197</f>
        <v>-5709</v>
      </c>
      <c r="J193" s="2">
        <f>'[1]ישיר מתוקן'!$W197</f>
        <v>358033</v>
      </c>
    </row>
    <row r="194" spans="1:10" x14ac:dyDescent="0.2">
      <c r="A194" s="26">
        <v>40909</v>
      </c>
      <c r="B194" s="2">
        <f>'[1]ישיר מתוקן'!$K198</f>
        <v>32298</v>
      </c>
      <c r="C194" s="2">
        <f>'[1]ישיר מתוקן'!$L198</f>
        <v>2401637</v>
      </c>
      <c r="D194" s="2">
        <f>-1*'[1]ישיר מתוקן'!$M198</f>
        <v>-5571</v>
      </c>
      <c r="E194" s="2">
        <f>'[1]ישיר מתוקן'!$E198</f>
        <v>4260065</v>
      </c>
      <c r="F194" s="2">
        <f>-1*'[1]ישיר מתוקן'!$AF198</f>
        <v>-1110852</v>
      </c>
      <c r="G194" s="2">
        <f>'[1]ישיר מתוקן'!$AA198</f>
        <v>137542</v>
      </c>
      <c r="H194" s="2">
        <f>'[1]ישיר מתוקן'!$AD198</f>
        <v>3957357</v>
      </c>
      <c r="I194" s="2">
        <f>-1*'[1]ישיר מתוקן'!$AE198</f>
        <v>-28471</v>
      </c>
      <c r="J194" s="2">
        <f>'[1]ישיר מתוקן'!$W198</f>
        <v>591234</v>
      </c>
    </row>
    <row r="195" spans="1:10" x14ac:dyDescent="0.2">
      <c r="A195" s="26">
        <v>40940</v>
      </c>
      <c r="B195" s="2">
        <f>'[1]ישיר מתוקן'!$K199</f>
        <v>1774953</v>
      </c>
      <c r="C195" s="2">
        <f>'[1]ישיר מתוקן'!$L199</f>
        <v>1187630</v>
      </c>
      <c r="D195" s="2">
        <f>-1*'[1]ישיר מתוקן'!$M199</f>
        <v>-15828</v>
      </c>
      <c r="E195" s="2">
        <f>'[1]ישיר מתוקן'!$E199</f>
        <v>3862101</v>
      </c>
      <c r="F195" s="2">
        <f>-1*'[1]ישיר מתוקן'!$AF199</f>
        <v>-434198</v>
      </c>
      <c r="G195" s="2">
        <f>'[1]ישיר מתוקן'!$AA199</f>
        <v>63880</v>
      </c>
      <c r="H195" s="2">
        <f>'[1]ישיר מתוקן'!$AD199</f>
        <v>51718</v>
      </c>
      <c r="I195" s="2">
        <f>-1*'[1]ישיר מתוקן'!$AE199</f>
        <v>-6459</v>
      </c>
      <c r="J195" s="2">
        <f>'[1]ישיר מתוקן'!$W199</f>
        <v>335872</v>
      </c>
    </row>
    <row r="196" spans="1:10" x14ac:dyDescent="0.2">
      <c r="A196" s="26">
        <v>40969</v>
      </c>
      <c r="B196" s="2">
        <f>'[1]ישיר מתוקן'!$K200</f>
        <v>2106419</v>
      </c>
      <c r="C196" s="2">
        <f>'[1]ישיר מתוקן'!$L200</f>
        <v>523024</v>
      </c>
      <c r="D196" s="2">
        <f>-1*'[1]ישיר מתוקן'!$M200</f>
        <v>-26785</v>
      </c>
      <c r="E196" s="2">
        <f>'[1]ישיר מתוקן'!$E200</f>
        <v>3567543</v>
      </c>
      <c r="F196" s="2">
        <f>-1*'[1]ישיר מתוקן'!$AF200</f>
        <v>-680526</v>
      </c>
      <c r="G196" s="2">
        <f>'[1]ישיר מתוקן'!$AA200</f>
        <v>73047</v>
      </c>
      <c r="H196" s="2">
        <f>'[1]ישיר מתוקן'!$AD200</f>
        <v>121359</v>
      </c>
      <c r="I196" s="2">
        <f>-1*'[1]ישיר מתוקן'!$AE200</f>
        <v>-28024</v>
      </c>
      <c r="J196" s="2">
        <f>'[1]ישיר מתוקן'!$W200</f>
        <v>326492</v>
      </c>
    </row>
    <row r="197" spans="1:10" x14ac:dyDescent="0.2">
      <c r="A197" s="26">
        <v>41000</v>
      </c>
      <c r="B197" s="2">
        <f>'[1]ישיר מתוקן'!$K201</f>
        <v>2189698</v>
      </c>
      <c r="C197" s="2">
        <f>'[1]ישיר מתוקן'!$L201</f>
        <v>500090</v>
      </c>
      <c r="D197" s="2">
        <f>-1*'[1]ישיר מתוקן'!$M201</f>
        <v>-4618</v>
      </c>
      <c r="E197" s="2">
        <f>'[1]ישיר מתוקן'!$E201</f>
        <v>3207958</v>
      </c>
      <c r="F197" s="2">
        <f>-1*'[1]ישיר מתוקן'!$AF201</f>
        <v>-369754</v>
      </c>
      <c r="G197" s="2">
        <f>'[1]ישיר מתוקן'!$AA201</f>
        <v>71685</v>
      </c>
      <c r="H197" s="2">
        <f>'[1]ישיר מתוקן'!$AD201</f>
        <v>277171</v>
      </c>
      <c r="I197" s="2">
        <f>-1*'[1]ישיר מתוקן'!$AE201</f>
        <v>-5009</v>
      </c>
      <c r="J197" s="2">
        <f>'[1]ישיר מתוקן'!$W201</f>
        <v>327776</v>
      </c>
    </row>
    <row r="198" spans="1:10" x14ac:dyDescent="0.2">
      <c r="A198" s="26">
        <v>41030</v>
      </c>
      <c r="B198" s="2">
        <f>'[1]ישיר מתוקן'!$K202</f>
        <v>2171944</v>
      </c>
      <c r="C198" s="2">
        <f>'[1]ישיר מתוקן'!$L202</f>
        <v>412857</v>
      </c>
      <c r="D198" s="2">
        <f>-1*'[1]ישיר מתוקן'!$M202</f>
        <v>-3291</v>
      </c>
      <c r="E198" s="2">
        <f>'[1]ישיר מתוקן'!$E202</f>
        <v>3516388</v>
      </c>
      <c r="F198" s="2">
        <f>-1*'[1]ישיר מתוקן'!$AF202</f>
        <v>-581776</v>
      </c>
      <c r="G198" s="2">
        <f>'[1]ישיר מתוקן'!$AA202</f>
        <v>76800</v>
      </c>
      <c r="H198" s="2">
        <f>'[1]ישיר מתוקן'!$AD202</f>
        <v>218852</v>
      </c>
      <c r="I198" s="2">
        <f>-1*'[1]ישיר מתוקן'!$AE202</f>
        <v>-4059</v>
      </c>
      <c r="J198" s="2">
        <f>'[1]ישיר מתוקן'!$W202</f>
        <v>465790</v>
      </c>
    </row>
    <row r="199" spans="1:10" x14ac:dyDescent="0.2">
      <c r="A199" s="26">
        <v>41061</v>
      </c>
      <c r="B199" s="2">
        <f>'[1]ישיר מתוקן'!$K203</f>
        <v>2077642</v>
      </c>
      <c r="C199" s="2">
        <f>'[1]ישיר מתוקן'!$L203</f>
        <v>739947</v>
      </c>
      <c r="D199" s="2">
        <f>-1*'[1]ישיר מתוקן'!$M203</f>
        <v>-5273</v>
      </c>
      <c r="E199" s="2">
        <f>'[1]ישיר מתוקן'!$E203</f>
        <v>3572808</v>
      </c>
      <c r="F199" s="2">
        <f>-1*'[1]ישיר מתוקן'!$AF203</f>
        <v>-454480</v>
      </c>
      <c r="G199" s="2">
        <f>'[1]ישיר מתוקן'!$AA203</f>
        <v>68420</v>
      </c>
      <c r="H199" s="2">
        <f>'[1]ישיר מתוקן'!$AD203</f>
        <v>178684</v>
      </c>
      <c r="I199" s="2">
        <f>-1*'[1]ישיר מתוקן'!$AE203</f>
        <v>-5777</v>
      </c>
      <c r="J199" s="2">
        <f>'[1]ישיר מתוקן'!$W203</f>
        <v>433184</v>
      </c>
    </row>
    <row r="200" spans="1:10" x14ac:dyDescent="0.2">
      <c r="A200" s="26">
        <v>41091</v>
      </c>
      <c r="B200" s="2">
        <f>'[1]ישיר מתוקן'!$K204</f>
        <v>2152219</v>
      </c>
      <c r="C200" s="2">
        <f>'[1]ישיר מתוקן'!$L204</f>
        <v>428434</v>
      </c>
      <c r="D200" s="2">
        <f>-1*'[1]ישיר מתוקן'!$M204</f>
        <v>-3657</v>
      </c>
      <c r="E200" s="2">
        <f>'[1]ישיר מתוקן'!$E204</f>
        <v>3613782</v>
      </c>
      <c r="F200" s="2">
        <f>-1*'[1]ישיר מתוקן'!$AF204</f>
        <v>-549135</v>
      </c>
      <c r="G200" s="2">
        <f>'[1]ישיר מתוקן'!$AA204</f>
        <v>82020</v>
      </c>
      <c r="H200" s="2">
        <f>'[1]ישיר מתוקן'!$AD204</f>
        <v>382314</v>
      </c>
      <c r="I200" s="2">
        <f>-1*'[1]ישיר מתוקן'!$AE204</f>
        <v>-4317</v>
      </c>
      <c r="J200" s="2">
        <f>'[1]ישיר מתוקן'!$W204</f>
        <v>439253</v>
      </c>
    </row>
    <row r="201" spans="1:10" x14ac:dyDescent="0.2">
      <c r="A201" s="26">
        <v>41122</v>
      </c>
      <c r="B201" s="2">
        <f>'[1]ישיר מתוקן'!$K205</f>
        <v>2208530</v>
      </c>
      <c r="C201" s="2">
        <f>'[1]ישיר מתוקן'!$L205</f>
        <v>428211</v>
      </c>
      <c r="D201" s="2">
        <f>-1*'[1]ישיר מתוקן'!$M205</f>
        <v>-13460</v>
      </c>
      <c r="E201" s="2">
        <f>'[1]ישיר מתוקן'!$E205</f>
        <v>3352574</v>
      </c>
      <c r="F201" s="2">
        <f>-1*'[1]ישיר מתוקן'!$AF205</f>
        <v>-622114</v>
      </c>
      <c r="G201" s="2">
        <f>'[1]ישיר מתוקן'!$AA205</f>
        <v>77847</v>
      </c>
      <c r="H201" s="2">
        <f>'[1]ישיר מתוקן'!$AD205</f>
        <v>147116</v>
      </c>
      <c r="I201" s="2">
        <f>-1*'[1]ישיר מתוקן'!$AE205</f>
        <v>-5795</v>
      </c>
      <c r="J201" s="2">
        <f>'[1]ישיר מתוקן'!$W205</f>
        <v>351966</v>
      </c>
    </row>
    <row r="202" spans="1:10" x14ac:dyDescent="0.2">
      <c r="A202" s="26">
        <v>41153</v>
      </c>
      <c r="B202" s="2">
        <f>'[1]ישיר מתוקן'!$K206</f>
        <v>2231689</v>
      </c>
      <c r="C202" s="2">
        <f>'[1]ישיר מתוקן'!$L206</f>
        <v>564616</v>
      </c>
      <c r="D202" s="2">
        <f>-1*'[1]ישיר מתוקן'!$M206</f>
        <v>-26911</v>
      </c>
      <c r="E202" s="2">
        <f>'[1]ישיר מתוקן'!$E206</f>
        <v>3697949</v>
      </c>
      <c r="F202" s="2">
        <f>-1*'[1]ישיר מתוקן'!$AF206</f>
        <v>-436627</v>
      </c>
      <c r="G202" s="2">
        <f>'[1]ישיר מתוקן'!$AA206</f>
        <v>75194</v>
      </c>
      <c r="H202" s="2">
        <f>'[1]ישיר מתוקן'!$AD206</f>
        <v>96156</v>
      </c>
      <c r="I202" s="2">
        <f>-1*'[1]ישיר מתוקן'!$AE206</f>
        <v>-2117</v>
      </c>
      <c r="J202" s="2">
        <f>'[1]ישיר מתוקן'!$W206</f>
        <v>360339</v>
      </c>
    </row>
    <row r="203" spans="1:10" x14ac:dyDescent="0.2">
      <c r="A203" s="26">
        <v>41183</v>
      </c>
      <c r="B203" s="2">
        <f>'[1]ישיר מתוקן'!$K207</f>
        <v>1949234</v>
      </c>
      <c r="C203" s="2">
        <f>'[1]ישיר מתוקן'!$L207</f>
        <v>380601</v>
      </c>
      <c r="D203" s="2">
        <f>-1*'[1]ישיר מתוקן'!$M207</f>
        <v>-4773</v>
      </c>
      <c r="E203" s="2">
        <f>'[1]ישיר מתוקן'!$E207</f>
        <v>2814488</v>
      </c>
      <c r="F203" s="2">
        <f>-1*'[1]ישיר מתוקן'!$AF207</f>
        <v>-377057</v>
      </c>
      <c r="G203" s="2">
        <f>'[1]ישיר מתוקן'!$AA207</f>
        <v>74557</v>
      </c>
      <c r="H203" s="2">
        <f>'[1]ישיר מתוקן'!$AD207</f>
        <v>330408</v>
      </c>
      <c r="I203" s="2">
        <f>-1*'[1]ישיר מתוקן'!$AE207</f>
        <v>-31790</v>
      </c>
      <c r="J203" s="2">
        <f>'[1]ישיר מתוקן'!$W207</f>
        <v>314585</v>
      </c>
    </row>
    <row r="204" spans="1:10" x14ac:dyDescent="0.2">
      <c r="A204" s="26">
        <v>41214</v>
      </c>
      <c r="B204" s="2">
        <f>'[1]ישיר מתוקן'!$K208</f>
        <v>2037266</v>
      </c>
      <c r="C204" s="2">
        <f>'[1]ישיר מתוקן'!$L208</f>
        <v>345903</v>
      </c>
      <c r="D204" s="2">
        <f>-1*'[1]ישיר מתוקן'!$M208</f>
        <v>-2574</v>
      </c>
      <c r="E204" s="2">
        <f>'[1]ישיר מתוקן'!$E208</f>
        <v>3287490</v>
      </c>
      <c r="F204" s="2">
        <f>-1*'[1]ישיר מתוקן'!$AF208</f>
        <v>-415687</v>
      </c>
      <c r="G204" s="2">
        <f>'[1]ישיר מתוקן'!$AA208</f>
        <v>89446</v>
      </c>
      <c r="H204" s="2">
        <f>'[1]ישיר מתוקן'!$AD208</f>
        <v>108386</v>
      </c>
      <c r="I204" s="2">
        <f>-1*'[1]ישיר מתוקן'!$AE208</f>
        <v>-6383</v>
      </c>
      <c r="J204" s="2">
        <f>'[1]ישיר מתוקן'!$W208</f>
        <v>498830</v>
      </c>
    </row>
    <row r="205" spans="1:10" x14ac:dyDescent="0.2">
      <c r="A205" s="26">
        <v>41244</v>
      </c>
      <c r="B205" s="2">
        <f>'[1]ישיר מתוקן'!$K209</f>
        <v>1593092</v>
      </c>
      <c r="C205" s="2">
        <f>'[1]ישיר מתוקן'!$L209</f>
        <v>692717</v>
      </c>
      <c r="D205" s="2">
        <f>-1*'[1]ישיר מתוקן'!$M209</f>
        <v>-3862</v>
      </c>
      <c r="E205" s="2">
        <f>'[1]ישיר מתוקן'!$E209</f>
        <v>3040022</v>
      </c>
      <c r="F205" s="2">
        <f>-1*'[1]ישיר מתוקן'!$AF209</f>
        <v>-351002</v>
      </c>
      <c r="G205" s="2">
        <f>'[1]ישיר מתוקן'!$AA209</f>
        <v>87539</v>
      </c>
      <c r="H205" s="2">
        <f>'[1]ישיר מתוקן'!$AD209</f>
        <v>1874999</v>
      </c>
      <c r="I205" s="2">
        <f>-1*'[1]ישיר מתוקן'!$AE209</f>
        <v>-229948</v>
      </c>
      <c r="J205" s="2">
        <f>'[1]ישיר מתוקן'!$W209</f>
        <v>378085</v>
      </c>
    </row>
    <row r="206" spans="1:10" x14ac:dyDescent="0.2">
      <c r="A206" s="26">
        <v>41275</v>
      </c>
      <c r="B206" s="2">
        <f>'[1]ישיר מתוקן'!$K210</f>
        <v>204990</v>
      </c>
      <c r="C206" s="2">
        <f>'[1]ישיר מתוקן'!$L210</f>
        <v>2770182</v>
      </c>
      <c r="D206" s="2">
        <f>-1*'[1]ישיר מתוקן'!$M210</f>
        <v>-3116</v>
      </c>
      <c r="E206" s="2">
        <f>'[1]ישיר מתוקן'!$E210</f>
        <v>4441382</v>
      </c>
      <c r="F206" s="2">
        <f>-1*'[1]ישיר מתוקן'!$AF210</f>
        <v>-743311</v>
      </c>
      <c r="G206" s="2">
        <f>'[1]ישיר מתוקן'!$AA210</f>
        <v>136936</v>
      </c>
      <c r="H206" s="2">
        <f>'[1]ישיר מתוקן'!$AD210</f>
        <v>1317217</v>
      </c>
      <c r="I206" s="2">
        <f>-1*'[1]ישיר מתוקן'!$AE210</f>
        <v>-3118</v>
      </c>
      <c r="J206" s="2">
        <f>'[1]ישיר מתוקן'!$W210</f>
        <v>822695</v>
      </c>
    </row>
    <row r="207" spans="1:10" x14ac:dyDescent="0.2">
      <c r="A207" s="26">
        <v>41306</v>
      </c>
      <c r="B207" s="2">
        <f>'[1]ישיר מתוקן'!$K211</f>
        <v>1994326</v>
      </c>
      <c r="C207" s="2">
        <f>'[1]ישיר מתוקן'!$L211</f>
        <v>1376580</v>
      </c>
      <c r="D207" s="2">
        <f>-1*'[1]ישיר מתוקן'!$M211</f>
        <v>-83787</v>
      </c>
      <c r="E207" s="2">
        <f>'[1]ישיר מתוקן'!$E211</f>
        <v>4466701</v>
      </c>
      <c r="F207" s="2">
        <f>-1*'[1]ישיר מתוקן'!$AF211</f>
        <v>-1838897</v>
      </c>
      <c r="G207" s="2">
        <f>'[1]ישיר מתוקן'!$AA211</f>
        <v>65827</v>
      </c>
      <c r="H207" s="2">
        <f>'[1]ישיר מתוקן'!$AD211</f>
        <v>69592</v>
      </c>
      <c r="I207" s="2">
        <f>-1*'[1]ישיר מתוקן'!$AE211</f>
        <v>-7179</v>
      </c>
      <c r="J207" s="2">
        <f>'[1]ישיר מתוקן'!$W211</f>
        <v>338400</v>
      </c>
    </row>
    <row r="208" spans="1:10" x14ac:dyDescent="0.2">
      <c r="A208" s="26">
        <v>41334</v>
      </c>
      <c r="B208" s="2">
        <f>'[1]ישיר מתוקן'!$K212</f>
        <v>2021640</v>
      </c>
      <c r="C208" s="2">
        <f>'[1]ישיר מתוקן'!$L212</f>
        <v>756977</v>
      </c>
      <c r="D208" s="2">
        <f>-1*'[1]ישיר מתוקן'!$M212</f>
        <v>-3120</v>
      </c>
      <c r="E208" s="2">
        <f>'[1]ישיר מתוקן'!$E212</f>
        <v>3708496</v>
      </c>
      <c r="F208" s="2">
        <f>-1*'[1]ישיר מתוקן'!$AF212</f>
        <v>-1197444</v>
      </c>
      <c r="G208" s="2">
        <f>'[1]ישיר מתוקן'!$AA212</f>
        <v>69843</v>
      </c>
      <c r="H208" s="2">
        <f>'[1]ישיר מתוקן'!$AD212</f>
        <v>58143</v>
      </c>
      <c r="I208" s="2">
        <f>-1*'[1]ישיר מתוקן'!$AE212</f>
        <v>-2038</v>
      </c>
      <c r="J208" s="2">
        <f>'[1]ישיר מתוקן'!$W212</f>
        <v>402118</v>
      </c>
    </row>
    <row r="209" spans="1:10" x14ac:dyDescent="0.2">
      <c r="A209" s="26">
        <v>41365</v>
      </c>
      <c r="B209" s="2">
        <f>'[1]ישיר מתוקן'!$K213</f>
        <v>2309568</v>
      </c>
      <c r="C209" s="2">
        <f>'[1]ישיר מתוקן'!$L213</f>
        <v>524925</v>
      </c>
      <c r="D209" s="2">
        <f>-1*'[1]ישיר מתוקן'!$M213</f>
        <v>-4076</v>
      </c>
      <c r="E209" s="2">
        <f>'[1]ישיר מתוקן'!$E213</f>
        <v>3427842</v>
      </c>
      <c r="F209" s="2">
        <f>-1*'[1]ישיר מתוקן'!$AF213</f>
        <v>-548352</v>
      </c>
      <c r="G209" s="2">
        <f>'[1]ישיר מתוקן'!$AA213</f>
        <v>68736</v>
      </c>
      <c r="H209" s="2">
        <f>'[1]ישיר מתוקן'!$AD213</f>
        <v>219095</v>
      </c>
      <c r="I209" s="2">
        <f>-1*'[1]ישיר מתוקן'!$AE213</f>
        <v>-4728</v>
      </c>
      <c r="J209" s="2">
        <f>'[1]ישיר מתוקן'!$W213</f>
        <v>380215</v>
      </c>
    </row>
    <row r="210" spans="1:10" x14ac:dyDescent="0.2">
      <c r="A210" s="26">
        <v>41395</v>
      </c>
      <c r="B210" s="2">
        <f>'[1]ישיר מתוקן'!$K214</f>
        <v>2206255</v>
      </c>
      <c r="C210" s="2">
        <f>'[1]ישיר מתוקן'!$L214</f>
        <v>2273397</v>
      </c>
      <c r="D210" s="2">
        <f>-1*'[1]ישיר מתוקן'!$M214</f>
        <v>-2576</v>
      </c>
      <c r="E210" s="2">
        <f>'[1]ישיר מתוקן'!$E214</f>
        <v>5459970</v>
      </c>
      <c r="F210" s="2">
        <f>-1*'[1]ישיר מתוקן'!$AF214</f>
        <v>-546592</v>
      </c>
      <c r="G210" s="2">
        <f>'[1]ישיר מתוקן'!$AA214</f>
        <v>69328</v>
      </c>
      <c r="H210" s="2">
        <f>'[1]ישיר מתוקן'!$AD214</f>
        <v>189754</v>
      </c>
      <c r="I210" s="2">
        <f>-1*'[1]ישיר מתוקן'!$AE214</f>
        <v>-3400</v>
      </c>
      <c r="J210" s="2">
        <f>'[1]ישיר מתוקן'!$W214</f>
        <v>640714</v>
      </c>
    </row>
    <row r="211" spans="1:10" x14ac:dyDescent="0.2">
      <c r="A211" s="26">
        <v>41426</v>
      </c>
      <c r="B211" s="2">
        <f>'[1]ישיר מתוקן'!$K215</f>
        <v>2292216</v>
      </c>
      <c r="C211" s="2">
        <f>'[1]ישיר מתוקן'!$L215</f>
        <v>1332094</v>
      </c>
      <c r="D211" s="2">
        <f>-1*'[1]ישיר מתוקן'!$M215</f>
        <v>-2497</v>
      </c>
      <c r="E211" s="2">
        <f>'[1]ישיר מתוקן'!$E215</f>
        <v>4313647</v>
      </c>
      <c r="F211" s="2">
        <f>-1*'[1]ישיר מתוקן'!$AF215</f>
        <v>-349581</v>
      </c>
      <c r="G211" s="2">
        <f>'[1]ישיר מתוקן'!$AA215</f>
        <v>66191</v>
      </c>
      <c r="H211" s="2">
        <f>'[1]ישיר מתוקן'!$AD215</f>
        <v>102634</v>
      </c>
      <c r="I211" s="2">
        <f>-1*'[1]ישיר מתוקן'!$AE215</f>
        <v>-7282</v>
      </c>
      <c r="J211" s="2">
        <f>'[1]ישיר מתוקן'!$W215</f>
        <v>357438</v>
      </c>
    </row>
    <row r="212" spans="1:10" x14ac:dyDescent="0.2">
      <c r="A212" s="26">
        <v>41456</v>
      </c>
      <c r="B212" s="2">
        <f>'[1]ישיר מתוקן'!$K216</f>
        <v>2191970</v>
      </c>
      <c r="C212" s="2">
        <f>'[1]ישיר מתוקן'!$L216</f>
        <v>1574662</v>
      </c>
      <c r="D212" s="2">
        <f>-1*'[1]ישיר מתוקן'!$M216</f>
        <v>-5856</v>
      </c>
      <c r="E212" s="2">
        <f>'[1]ישיר מתוקן'!$E216</f>
        <v>4940763</v>
      </c>
      <c r="F212" s="2">
        <f>-1*'[1]ישיר מתוקן'!$AF216</f>
        <v>-503519</v>
      </c>
      <c r="G212" s="2">
        <f>'[1]ישיר מתוקן'!$AA216</f>
        <v>75385</v>
      </c>
      <c r="H212" s="2">
        <f>'[1]ישיר מתוקן'!$AD216</f>
        <v>312825</v>
      </c>
      <c r="I212" s="2">
        <f>-1*'[1]ישיר מתוקן'!$AE216</f>
        <v>-6547</v>
      </c>
      <c r="J212" s="2">
        <f>'[1]ישיר מתוקן'!$W216</f>
        <v>370552</v>
      </c>
    </row>
    <row r="213" spans="1:10" x14ac:dyDescent="0.2">
      <c r="A213" s="26">
        <v>41487</v>
      </c>
      <c r="B213" s="2">
        <f>'[1]ישיר מתוקן'!$K217</f>
        <v>2316844</v>
      </c>
      <c r="C213" s="2">
        <f>'[1]ישיר מתוקן'!$L217</f>
        <v>957867</v>
      </c>
      <c r="D213" s="2">
        <f>-1*'[1]ישיר מתוקן'!$M217</f>
        <v>-2734</v>
      </c>
      <c r="E213" s="2">
        <f>'[1]ישיר מתוקן'!$E217</f>
        <v>4045754</v>
      </c>
      <c r="F213" s="2">
        <f>-1*'[1]ישיר מתוקן'!$AF217</f>
        <v>-422425</v>
      </c>
      <c r="G213" s="2">
        <f>'[1]ישיר מתוקן'!$AA217</f>
        <v>77117</v>
      </c>
      <c r="H213" s="2">
        <f>'[1]ישיר מתוקן'!$AD217</f>
        <v>191820</v>
      </c>
      <c r="I213" s="2">
        <f>-1*'[1]ישיר מתוקן'!$AE217</f>
        <v>-24699</v>
      </c>
      <c r="J213" s="2">
        <f>'[1]ישיר מתוקן'!$W217</f>
        <v>417552</v>
      </c>
    </row>
    <row r="214" spans="1:10" x14ac:dyDescent="0.2">
      <c r="A214" s="26">
        <v>41518</v>
      </c>
      <c r="B214" s="2">
        <f>'[1]ישיר מתוקן'!$K218</f>
        <v>2217612</v>
      </c>
      <c r="C214" s="2">
        <f>'[1]ישיר מתוקן'!$L218</f>
        <v>595653</v>
      </c>
      <c r="D214" s="2">
        <f>-1*'[1]ישיר מתוקן'!$M218</f>
        <v>-7500</v>
      </c>
      <c r="E214" s="2">
        <f>'[1]ישיר מתוקן'!$E218</f>
        <v>3811959</v>
      </c>
      <c r="F214" s="2">
        <f>-1*'[1]ישיר מתוקן'!$AF218</f>
        <v>-306018</v>
      </c>
      <c r="G214" s="2">
        <f>'[1]ישיר מתוקן'!$AA218</f>
        <v>76684</v>
      </c>
      <c r="H214" s="2">
        <f>'[1]ישיר מתוקן'!$AD218</f>
        <v>116158</v>
      </c>
      <c r="I214" s="2">
        <f>-1*'[1]ישיר מתוקן'!$AE218</f>
        <v>-19481</v>
      </c>
      <c r="J214" s="2">
        <f>'[1]ישיר מתוקן'!$W218</f>
        <v>435770</v>
      </c>
    </row>
    <row r="215" spans="1:10" x14ac:dyDescent="0.2">
      <c r="A215" s="26">
        <v>41548</v>
      </c>
      <c r="B215" s="2">
        <f>'[1]ישיר מתוקן'!$K219</f>
        <v>2491440</v>
      </c>
      <c r="C215" s="2">
        <f>'[1]ישיר מתוקן'!$L219</f>
        <v>711230</v>
      </c>
      <c r="D215" s="2">
        <f>-1*'[1]ישיר מתוקן'!$M219</f>
        <v>-3111</v>
      </c>
      <c r="E215" s="2">
        <f>'[1]ישיר מתוקן'!$E219</f>
        <v>3955501</v>
      </c>
      <c r="F215" s="2">
        <f>-1*'[1]ישיר מתוקן'!$AF219</f>
        <v>-562287</v>
      </c>
      <c r="G215" s="2">
        <f>'[1]ישיר מתוקן'!$AA219</f>
        <v>77254</v>
      </c>
      <c r="H215" s="2">
        <f>'[1]ישיר מתוקן'!$AD219</f>
        <v>288588</v>
      </c>
      <c r="I215" s="2">
        <f>-1*'[1]ישיר מתוקן'!$AE219</f>
        <v>-7300</v>
      </c>
      <c r="J215" s="2">
        <f>'[1]ישיר מתוקן'!$W219</f>
        <v>468018</v>
      </c>
    </row>
    <row r="216" spans="1:10" x14ac:dyDescent="0.2">
      <c r="A216" s="26">
        <v>41579</v>
      </c>
      <c r="B216" s="2">
        <f>'[1]ישיר מתוקן'!$K220</f>
        <v>2693340</v>
      </c>
      <c r="C216" s="2">
        <f>'[1]ישיר מתוקן'!$L220</f>
        <v>1454281</v>
      </c>
      <c r="D216" s="2">
        <f>-1*'[1]ישיר מתוקן'!$M220</f>
        <v>-4200</v>
      </c>
      <c r="E216" s="2">
        <f>'[1]ישיר מתוקן'!$E220</f>
        <v>5240410</v>
      </c>
      <c r="F216" s="2">
        <f>-1*'[1]ישיר מתוקן'!$AF220</f>
        <v>-566270</v>
      </c>
      <c r="G216" s="2">
        <f>'[1]ישיר מתוקן'!$AA220</f>
        <v>79923</v>
      </c>
      <c r="H216" s="2">
        <f>'[1]ישיר מתוקן'!$AD220</f>
        <v>206048</v>
      </c>
      <c r="I216" s="2">
        <f>-1*'[1]ישיר מתוקן'!$AE220</f>
        <v>-4346</v>
      </c>
      <c r="J216" s="2">
        <f>'[1]ישיר מתוקן'!$W220</f>
        <v>506607</v>
      </c>
    </row>
    <row r="217" spans="1:10" x14ac:dyDescent="0.2">
      <c r="A217" s="26">
        <v>41609</v>
      </c>
      <c r="B217" s="2">
        <f>'[1]ישיר מתוקן'!$K221</f>
        <v>1539829</v>
      </c>
      <c r="C217" s="2">
        <f>'[1]ישיר מתוקן'!$L221</f>
        <v>3819492</v>
      </c>
      <c r="D217" s="2">
        <f>-1*'[1]ישיר מתוקן'!$M221</f>
        <v>-7049</v>
      </c>
      <c r="E217" s="2">
        <f>'[1]ישיר מתוקן'!$E221</f>
        <v>6127269</v>
      </c>
      <c r="F217" s="2">
        <f>-1*'[1]ישיר מתוקן'!$AF221</f>
        <v>-884008</v>
      </c>
      <c r="G217" s="2">
        <f>'[1]ישיר מתוקן'!$AA221</f>
        <v>79676</v>
      </c>
      <c r="H217" s="2">
        <f>'[1]ישיר מתוקן'!$AD221</f>
        <v>1136649</v>
      </c>
      <c r="I217" s="2">
        <f>-1*'[1]ישיר מתוקן'!$AE221</f>
        <v>-12331</v>
      </c>
      <c r="J217" s="2">
        <f>'[1]ישיר מתוקן'!$W221</f>
        <v>418708</v>
      </c>
    </row>
    <row r="218" spans="1:10" x14ac:dyDescent="0.2">
      <c r="A218" s="26">
        <v>41640</v>
      </c>
      <c r="B218" s="2">
        <f>'[1]ישיר מתוקן'!$K222</f>
        <v>108647</v>
      </c>
      <c r="C218" s="2">
        <f>'[1]ישיר מתוקן'!$L222</f>
        <v>4652981</v>
      </c>
      <c r="D218" s="2">
        <f>-1*'[1]ישיר מתוקן'!$M222</f>
        <v>-2180</v>
      </c>
      <c r="E218" s="2">
        <f>'[1]ישיר מתוקן'!$E222</f>
        <v>6414137</v>
      </c>
      <c r="F218" s="2">
        <f>-1*'[1]ישיר מתוקן'!$AF222</f>
        <v>-851495</v>
      </c>
      <c r="G218" s="2">
        <f>'[1]ישיר מתוקן'!$AA222</f>
        <v>149374</v>
      </c>
      <c r="H218" s="2">
        <f>'[1]ישיר מתוקן'!$AD222</f>
        <v>910630</v>
      </c>
      <c r="I218" s="2">
        <f>-1*'[1]ישיר מתוקן'!$AE222</f>
        <v>-11546</v>
      </c>
      <c r="J218" s="2">
        <f>'[1]ישיר מתוקן'!$W222</f>
        <v>517620</v>
      </c>
    </row>
    <row r="219" spans="1:10" x14ac:dyDescent="0.2">
      <c r="A219" s="26">
        <v>41671</v>
      </c>
      <c r="B219" s="2">
        <f>'[1]ישיר מתוקן'!$K223</f>
        <v>2040456</v>
      </c>
      <c r="C219" s="2">
        <f>'[1]ישיר מתוקן'!$L223</f>
        <v>1356133</v>
      </c>
      <c r="D219" s="2">
        <f>-1*'[1]ישיר מתוקן'!$M223</f>
        <v>-16091</v>
      </c>
      <c r="E219" s="2">
        <f>'[1]ישיר מתוקן'!$E223</f>
        <v>4229622</v>
      </c>
      <c r="F219" s="2">
        <f>-1*'[1]ישיר מתוקן'!$AF223</f>
        <v>-551272</v>
      </c>
      <c r="G219" s="2">
        <f>'[1]ישיר מתוקן'!$AA223</f>
        <v>67796</v>
      </c>
      <c r="H219" s="2">
        <f>'[1]ישיר מתוקן'!$AD223</f>
        <v>178998</v>
      </c>
      <c r="I219" s="2">
        <f>-1*'[1]ישיר מתוקן'!$AE223</f>
        <v>-272838</v>
      </c>
      <c r="J219" s="2">
        <f>'[1]ישיר מתוקן'!$W223</f>
        <v>395867</v>
      </c>
    </row>
    <row r="220" spans="1:10" x14ac:dyDescent="0.2">
      <c r="A220" s="26">
        <v>41699</v>
      </c>
      <c r="B220" s="2">
        <f>'[1]ישיר מתוקן'!$K224</f>
        <v>2363123</v>
      </c>
      <c r="C220" s="2">
        <f>'[1]ישיר מתוקן'!$L224</f>
        <v>996389</v>
      </c>
      <c r="D220" s="2">
        <f>-1*'[1]ישיר מתוקן'!$M224</f>
        <v>-25851</v>
      </c>
      <c r="E220" s="2">
        <f>'[1]ישיר מתוקן'!$E224</f>
        <v>4333855</v>
      </c>
      <c r="F220" s="2">
        <f>-1*'[1]ישיר מתוקן'!$AF224</f>
        <v>-754830</v>
      </c>
      <c r="G220" s="2">
        <f>'[1]ישיר מתוקן'!$AA224</f>
        <v>81569</v>
      </c>
      <c r="H220" s="2">
        <f>'[1]ישיר מתוקן'!$AD224</f>
        <v>91877</v>
      </c>
      <c r="I220" s="2">
        <f>-1*'[1]ישיר מתוקן'!$AE224</f>
        <v>-8616</v>
      </c>
      <c r="J220" s="2">
        <f>'[1]ישיר מתוקן'!$W224</f>
        <v>435891</v>
      </c>
    </row>
    <row r="221" spans="1:10" x14ac:dyDescent="0.2">
      <c r="A221" s="26">
        <v>41730</v>
      </c>
      <c r="B221" s="2">
        <f>'[1]ישיר מתוקן'!$K225</f>
        <v>2417231</v>
      </c>
      <c r="C221" s="2">
        <f>'[1]ישיר מתוקן'!$L225</f>
        <v>495839</v>
      </c>
      <c r="D221" s="2">
        <f>-1*'[1]ישיר מתוקן'!$M225</f>
        <v>-2459</v>
      </c>
      <c r="E221" s="2">
        <f>'[1]ישיר מתוקן'!$E225</f>
        <v>3849420</v>
      </c>
      <c r="F221" s="2">
        <f>-1*'[1]ישיר מתוקן'!$AF225</f>
        <v>-310725</v>
      </c>
      <c r="G221" s="2">
        <f>'[1]ישיר מתוקן'!$AA225</f>
        <v>73389</v>
      </c>
      <c r="H221" s="2">
        <f>'[1]ישיר מתוקן'!$AD225</f>
        <v>369157</v>
      </c>
      <c r="I221" s="2">
        <f>-1*'[1]ישיר מתוקן'!$AE225</f>
        <v>-5403</v>
      </c>
      <c r="J221" s="2">
        <f>'[1]ישיר מתוקן'!$W225</f>
        <v>396149</v>
      </c>
    </row>
    <row r="222" spans="1:10" x14ac:dyDescent="0.2">
      <c r="A222" s="26">
        <v>41760</v>
      </c>
      <c r="B222" s="2">
        <f>'[1]ישיר מתוקן'!$K226</f>
        <v>2396885</v>
      </c>
      <c r="C222" s="2">
        <f>'[1]ישיר מתוקן'!$L226</f>
        <v>420760</v>
      </c>
      <c r="D222" s="2">
        <f>-1*'[1]ישיר מתוקן'!$M226</f>
        <v>-3775</v>
      </c>
      <c r="E222" s="2">
        <f>'[1]ישיר מתוקן'!$E226</f>
        <v>3937374</v>
      </c>
      <c r="F222" s="2">
        <f>-1*'[1]ישיר מתוקן'!$AF226</f>
        <v>-401676</v>
      </c>
      <c r="G222" s="2">
        <f>'[1]ישיר מתוקן'!$AA226</f>
        <v>69821</v>
      </c>
      <c r="H222" s="2">
        <f>'[1]ישיר מתוקן'!$AD226</f>
        <v>190303</v>
      </c>
      <c r="I222" s="2">
        <f>-1*'[1]ישיר מתוקן'!$AE226</f>
        <v>-5716</v>
      </c>
      <c r="J222" s="2">
        <f>'[1]ישיר מתוקן'!$W226</f>
        <v>486023</v>
      </c>
    </row>
    <row r="223" spans="1:10" x14ac:dyDescent="0.2">
      <c r="A223" s="26">
        <v>41791</v>
      </c>
      <c r="B223" s="2">
        <f>'[1]ישיר מתוקן'!$K227</f>
        <v>2383317</v>
      </c>
      <c r="C223" s="2">
        <f>'[1]ישיר מתוקן'!$L227</f>
        <v>438757</v>
      </c>
      <c r="D223" s="2">
        <f>-1*'[1]ישיר מתוקן'!$M227</f>
        <v>-7472</v>
      </c>
      <c r="E223" s="2">
        <f>'[1]ישיר מתוקן'!$E227</f>
        <v>3523191</v>
      </c>
      <c r="F223" s="2">
        <f>-1*'[1]ישיר מתוקן'!$AF227</f>
        <v>-537148</v>
      </c>
      <c r="G223" s="2">
        <f>'[1]ישיר מתוקן'!$AA227</f>
        <v>66261</v>
      </c>
      <c r="H223" s="2">
        <f>'[1]ישיר מתוקן'!$AD227</f>
        <v>169516</v>
      </c>
      <c r="I223" s="2">
        <f>-1*'[1]ישיר מתוקן'!$AE227</f>
        <v>-7388</v>
      </c>
      <c r="J223" s="2">
        <f>'[1]ישיר מתוקן'!$W227</f>
        <v>377419</v>
      </c>
    </row>
    <row r="224" spans="1:10" x14ac:dyDescent="0.2">
      <c r="A224" s="26">
        <v>41821</v>
      </c>
      <c r="B224" s="2">
        <f>'[1]ישיר מתוקן'!$K228</f>
        <v>2354170</v>
      </c>
      <c r="C224" s="2">
        <f>'[1]ישיר מתוקן'!$L228</f>
        <v>1214956</v>
      </c>
      <c r="D224" s="2">
        <f>-1*'[1]ישיר מתוקן'!$M228</f>
        <v>-5117</v>
      </c>
      <c r="E224" s="2">
        <f>'[1]ישיר מתוקן'!$E228</f>
        <v>4848366</v>
      </c>
      <c r="F224" s="2">
        <f>-1*'[1]ישיר מתוקן'!$AF228</f>
        <v>-471600</v>
      </c>
      <c r="G224" s="2">
        <f>'[1]ישיר מתוקן'!$AA228</f>
        <v>73923</v>
      </c>
      <c r="H224" s="2">
        <f>'[1]ישיר מתוקן'!$AD228</f>
        <v>290734</v>
      </c>
      <c r="I224" s="2">
        <f>-1*'[1]ישיר מתוקן'!$AE228</f>
        <v>-63589</v>
      </c>
      <c r="J224" s="2">
        <f>'[1]ישיר מתוקן'!$W228</f>
        <v>474882</v>
      </c>
    </row>
    <row r="225" spans="1:10" x14ac:dyDescent="0.2">
      <c r="A225" s="26">
        <v>41852</v>
      </c>
      <c r="B225" s="2">
        <f>'[1]ישיר מתוקן'!$K229</f>
        <v>2632660</v>
      </c>
      <c r="C225" s="2">
        <f>'[1]ישיר מתוקן'!$L229</f>
        <v>922862</v>
      </c>
      <c r="D225" s="2">
        <f>-1*'[1]ישיר מתוקן'!$M229</f>
        <v>-1888</v>
      </c>
      <c r="E225" s="2">
        <f>'[1]ישיר מתוקן'!$E229</f>
        <v>4733625</v>
      </c>
      <c r="F225" s="2">
        <f>-1*'[1]ישיר מתוקן'!$AF229</f>
        <v>-364625</v>
      </c>
      <c r="G225" s="2">
        <f>'[1]ישיר מתוקן'!$AA229</f>
        <v>78341</v>
      </c>
      <c r="H225" s="2">
        <f>'[1]ישיר מתוקן'!$AD229</f>
        <v>178061</v>
      </c>
      <c r="I225" s="2">
        <f>-1*'[1]ישיר מתוקן'!$AE229</f>
        <v>-13032</v>
      </c>
      <c r="J225" s="2">
        <f>'[1]ישיר מתוקן'!$W229</f>
        <v>488502</v>
      </c>
    </row>
    <row r="226" spans="1:10" x14ac:dyDescent="0.2">
      <c r="A226" s="26">
        <v>41883</v>
      </c>
      <c r="B226" s="2">
        <f>'[1]ישיר מתוקן'!$K230</f>
        <v>2338942</v>
      </c>
      <c r="C226" s="2">
        <f>'[1]ישיר מתוקן'!$L230</f>
        <v>529968</v>
      </c>
      <c r="D226" s="2">
        <f>-1*'[1]ישיר מתוקן'!$M230</f>
        <v>-4210</v>
      </c>
      <c r="E226" s="2">
        <f>'[1]ישיר מתוקן'!$E230</f>
        <v>4067864</v>
      </c>
      <c r="F226" s="2">
        <f>-1*'[1]ישיר מתוקן'!$AF230</f>
        <v>-1084490</v>
      </c>
      <c r="G226" s="2">
        <f>'[1]ישיר מתוקן'!$AA230</f>
        <v>73265</v>
      </c>
      <c r="H226" s="2">
        <f>'[1]ישיר מתוקן'!$AD230</f>
        <v>162553</v>
      </c>
      <c r="I226" s="2">
        <f>-1*'[1]ישיר מתוקן'!$AE230</f>
        <v>-3360</v>
      </c>
      <c r="J226" s="2">
        <f>'[1]ישיר מתוקן'!$W230</f>
        <v>470661</v>
      </c>
    </row>
    <row r="227" spans="1:10" x14ac:dyDescent="0.2">
      <c r="A227" s="26">
        <v>41913</v>
      </c>
      <c r="B227" s="2">
        <f>'[1]ישיר מתוקן'!$K231</f>
        <v>2510968</v>
      </c>
      <c r="C227" s="2">
        <f>'[1]ישיר מתוקן'!$L231</f>
        <v>956828</v>
      </c>
      <c r="D227" s="2">
        <f>-1*'[1]ישיר מתוקן'!$M231</f>
        <v>-2471</v>
      </c>
      <c r="E227" s="2">
        <f>'[1]ישיר מתוקן'!$E231</f>
        <v>4207370</v>
      </c>
      <c r="F227" s="2">
        <f>-1*'[1]ישיר מתוקן'!$AF231</f>
        <v>-341622</v>
      </c>
      <c r="G227" s="2">
        <f>'[1]ישיר מתוקן'!$AA231</f>
        <v>72877</v>
      </c>
      <c r="H227" s="2">
        <f>'[1]ישיר מתוקן'!$AD231</f>
        <v>328358</v>
      </c>
      <c r="I227" s="2">
        <f>-1*'[1]ישיר מתוקן'!$AE231</f>
        <v>-4960</v>
      </c>
      <c r="J227" s="2">
        <f>'[1]ישיר מתוקן'!$W231</f>
        <v>432095</v>
      </c>
    </row>
    <row r="228" spans="1:10" x14ac:dyDescent="0.2">
      <c r="A228" s="26">
        <v>41944</v>
      </c>
      <c r="B228" s="2">
        <f>'[1]ישיר מתוקן'!$K232</f>
        <v>2176056</v>
      </c>
      <c r="C228" s="2">
        <f>'[1]ישיר מתוקן'!$L232</f>
        <v>389914</v>
      </c>
      <c r="D228" s="2">
        <f>-1*'[1]ישיר מתוקן'!$M232</f>
        <v>-2892</v>
      </c>
      <c r="E228" s="2">
        <f>'[1]ישיר מתוקן'!$E232</f>
        <v>3692162</v>
      </c>
      <c r="F228" s="2">
        <f>-1*'[1]ישיר מתוקן'!$AF232</f>
        <v>-362682</v>
      </c>
      <c r="G228" s="2">
        <f>'[1]ישיר מתוקן'!$AA232</f>
        <v>76285</v>
      </c>
      <c r="H228" s="2">
        <f>'[1]ישיר מתוקן'!$AD232</f>
        <v>152039</v>
      </c>
      <c r="I228" s="2">
        <f>-1*'[1]ישיר מתוקן'!$AE232</f>
        <v>-4604</v>
      </c>
      <c r="J228" s="2">
        <f>'[1]ישיר מתוקן'!$W232</f>
        <v>432470</v>
      </c>
    </row>
    <row r="229" spans="1:10" x14ac:dyDescent="0.2">
      <c r="A229" s="26">
        <v>41974</v>
      </c>
      <c r="B229" s="2">
        <f>'[1]ישיר מתוקן'!$K233</f>
        <v>1736196</v>
      </c>
      <c r="C229" s="2">
        <f>'[1]ישיר מתוקן'!$L233</f>
        <v>1273472</v>
      </c>
      <c r="D229" s="2">
        <f>-1*'[1]ישיר מתוקן'!$M233</f>
        <v>-10675</v>
      </c>
      <c r="E229" s="2">
        <f>'[1]ישיר מתוקן'!$E233</f>
        <v>3902393</v>
      </c>
      <c r="F229" s="2">
        <f>-1*'[1]ישיר מתוקן'!$AF233</f>
        <v>-475806</v>
      </c>
      <c r="G229" s="2">
        <f>'[1]ישיר מתוקן'!$AA233</f>
        <v>81080</v>
      </c>
      <c r="H229" s="2">
        <f>'[1]ישיר מתוקן'!$AD233</f>
        <v>289205</v>
      </c>
      <c r="I229" s="2">
        <f>-1*'[1]ישיר מתוקן'!$AE233</f>
        <v>-30365</v>
      </c>
      <c r="J229" s="2">
        <f>'[1]ישיר מתוקן'!$W233</f>
        <v>500415</v>
      </c>
    </row>
    <row r="230" spans="1:10" x14ac:dyDescent="0.2">
      <c r="A230" s="26">
        <v>42005</v>
      </c>
      <c r="B230" s="2">
        <f>'[1]ישיר מתוקן'!$K234</f>
        <v>88750</v>
      </c>
      <c r="C230" s="2">
        <f>'[1]ישיר מתוקן'!$L234</f>
        <v>3583234</v>
      </c>
      <c r="D230" s="2">
        <f>-1*'[1]ישיר מתוקן'!$M234</f>
        <v>-5901</v>
      </c>
      <c r="E230" s="2">
        <f>'[1]ישיר מתוקן'!$E234</f>
        <v>5591408</v>
      </c>
      <c r="F230" s="2">
        <f>-1*'[1]ישיר מתוקן'!$AF234</f>
        <v>-521954</v>
      </c>
      <c r="G230" s="2">
        <f>'[1]ישיר מתוקן'!$AA234</f>
        <v>137253</v>
      </c>
      <c r="H230" s="2">
        <f>'[1]ישיר מתוקן'!$AD234</f>
        <v>1592820</v>
      </c>
      <c r="I230" s="2">
        <f>-1*'[1]ישיר מתוקן'!$AE234</f>
        <v>-6172</v>
      </c>
      <c r="J230" s="2">
        <f>'[1]ישיר מתוקן'!$W234</f>
        <v>1054514</v>
      </c>
    </row>
    <row r="231" spans="1:10" x14ac:dyDescent="0.2">
      <c r="A231" s="26">
        <v>42036</v>
      </c>
      <c r="B231" s="2">
        <f>'[1]ישיר מתוקן'!$K235</f>
        <v>2334823</v>
      </c>
      <c r="C231" s="2">
        <f>'[1]ישיר מתוקן'!$L235</f>
        <v>831745</v>
      </c>
      <c r="D231" s="2">
        <f>-1*'[1]ישיר מתוקן'!$M235</f>
        <v>-7759</v>
      </c>
      <c r="E231" s="2">
        <f>'[1]ישיר מתוקן'!$E235</f>
        <v>4238825</v>
      </c>
      <c r="F231" s="2">
        <f>-1*'[1]ישיר מתוקן'!$AF235</f>
        <v>-759342</v>
      </c>
      <c r="G231" s="2">
        <f>'[1]ישיר מתוקן'!$AA235</f>
        <v>67398</v>
      </c>
      <c r="H231" s="2">
        <f>'[1]ישיר מתוקן'!$AD235</f>
        <v>133442</v>
      </c>
      <c r="I231" s="2">
        <f>-1*'[1]ישיר מתוקן'!$AE235</f>
        <v>-37332</v>
      </c>
      <c r="J231" s="2">
        <f>'[1]ישיר מתוקן'!$W235</f>
        <v>378925</v>
      </c>
    </row>
    <row r="232" spans="1:10" x14ac:dyDescent="0.2">
      <c r="A232" s="26">
        <v>42064</v>
      </c>
      <c r="B232" s="2">
        <f>'[1]ישיר מתוקן'!$K236</f>
        <v>2317649</v>
      </c>
      <c r="C232" s="2">
        <f>'[1]ישיר מתוקן'!$L236</f>
        <v>929420</v>
      </c>
      <c r="D232" s="2">
        <f>-1*'[1]ישיר מתוקן'!$M236</f>
        <v>-6577</v>
      </c>
      <c r="E232" s="2">
        <f>'[1]ישיר מתוקן'!$E236</f>
        <v>4726625</v>
      </c>
      <c r="F232" s="2">
        <f>-1*'[1]ישיר מתוקן'!$AF236</f>
        <v>-816018</v>
      </c>
      <c r="G232" s="2">
        <f>'[1]ישיר מתוקן'!$AA236</f>
        <v>70046</v>
      </c>
      <c r="H232" s="2">
        <f>'[1]ישיר מתוקן'!$AD236</f>
        <v>140823</v>
      </c>
      <c r="I232" s="2">
        <f>-1*'[1]ישיר מתוקן'!$AE236</f>
        <v>-10673</v>
      </c>
      <c r="J232" s="2">
        <f>'[1]ישיר מתוקן'!$W236</f>
        <v>707881</v>
      </c>
    </row>
    <row r="233" spans="1:10" x14ac:dyDescent="0.2">
      <c r="A233" s="26">
        <v>42095</v>
      </c>
      <c r="B233" s="2">
        <f>'[1]ישיר מתוקן'!$K237</f>
        <v>2416989</v>
      </c>
      <c r="C233" s="2">
        <f>'[1]ישיר מתוקן'!$L237</f>
        <v>795490</v>
      </c>
      <c r="D233" s="2">
        <f>-1*'[1]ישיר מתוקן'!$M237</f>
        <v>-3170</v>
      </c>
      <c r="E233" s="2">
        <f>'[1]ישיר מתוקן'!$E237</f>
        <v>4349027</v>
      </c>
      <c r="F233" s="2">
        <f>-1*'[1]ישיר מתוקן'!$AF237</f>
        <v>-584785</v>
      </c>
      <c r="G233" s="2">
        <f>'[1]ישיר מתוקן'!$AA237</f>
        <v>76301</v>
      </c>
      <c r="H233" s="2">
        <f>'[1]ישיר מתוקן'!$AD237</f>
        <v>296112</v>
      </c>
      <c r="I233" s="2">
        <f>-1*'[1]ישיר מתוקן'!$AE237</f>
        <v>-8615</v>
      </c>
      <c r="J233" s="2">
        <f>'[1]ישיר מתוקן'!$W237</f>
        <v>488420</v>
      </c>
    </row>
    <row r="234" spans="1:10" x14ac:dyDescent="0.2">
      <c r="A234" s="26">
        <v>42125</v>
      </c>
      <c r="B234" s="2">
        <f>'[1]ישיר מתוקן'!$K238</f>
        <v>2478905</v>
      </c>
      <c r="C234" s="2">
        <f>'[1]ישיר מתוקן'!$L238</f>
        <v>570358</v>
      </c>
      <c r="D234" s="2">
        <f>-1*'[1]ישיר מתוקן'!$M238</f>
        <v>-10889</v>
      </c>
      <c r="E234" s="2">
        <f>'[1]ישיר מתוקן'!$E238</f>
        <v>4309326</v>
      </c>
      <c r="F234" s="2">
        <f>-1*'[1]ישיר מתוקן'!$AF238</f>
        <v>-963311</v>
      </c>
      <c r="G234" s="2">
        <f>'[1]ישיר מתוקן'!$AA238</f>
        <v>69769</v>
      </c>
      <c r="H234" s="2">
        <f>'[1]ישיר מתוקן'!$AD238</f>
        <v>272616</v>
      </c>
      <c r="I234" s="2">
        <f>-1*'[1]ישיר מתוקן'!$AE238</f>
        <v>-4016</v>
      </c>
      <c r="J234" s="2">
        <f>'[1]ישיר מתוקן'!$W238</f>
        <v>929799</v>
      </c>
    </row>
    <row r="235" spans="1:10" x14ac:dyDescent="0.2">
      <c r="A235" s="26">
        <v>42156</v>
      </c>
      <c r="B235" s="2">
        <f>'[1]ישיר מתוקן'!$K239</f>
        <v>2327349</v>
      </c>
      <c r="C235" s="2">
        <f>'[1]ישיר מתוקן'!$L239</f>
        <v>577204</v>
      </c>
      <c r="D235" s="2">
        <f>-1*'[1]ישיר מתוקן'!$M239</f>
        <v>-7240</v>
      </c>
      <c r="E235" s="2">
        <f>'[1]ישיר מתוקן'!$E239</f>
        <v>3954376</v>
      </c>
      <c r="F235" s="2">
        <f>-1*'[1]ישיר מתוקן'!$AF239</f>
        <v>-632715</v>
      </c>
      <c r="G235" s="2">
        <f>'[1]ישיר מתוקן'!$AA239</f>
        <v>73190</v>
      </c>
      <c r="H235" s="2">
        <f>'[1]ישיר מתוקן'!$AD239</f>
        <v>210676</v>
      </c>
      <c r="I235" s="2">
        <f>-1*'[1]ישיר מתוקן'!$AE239</f>
        <v>-19623</v>
      </c>
      <c r="J235" s="2">
        <f>'[1]ישיר מתוקן'!$W239</f>
        <v>504935</v>
      </c>
    </row>
    <row r="236" spans="1:10" x14ac:dyDescent="0.2">
      <c r="A236" s="26">
        <v>42186</v>
      </c>
      <c r="B236" s="2">
        <f>'[1]ישיר מתוקן'!$K240</f>
        <v>2747455</v>
      </c>
      <c r="C236" s="2">
        <f>'[1]ישיר מתוקן'!$L240</f>
        <v>1381542</v>
      </c>
      <c r="D236" s="2">
        <f>-1*'[1]ישיר מתוקן'!$M240</f>
        <v>-4308</v>
      </c>
      <c r="E236" s="2">
        <f>'[1]ישיר מתוקן'!$E240</f>
        <v>5570454</v>
      </c>
      <c r="F236" s="2">
        <f>-1*'[1]ישיר מתוקן'!$AF240</f>
        <v>-507168</v>
      </c>
      <c r="G236" s="2">
        <f>'[1]ישיר מתוקן'!$AA240</f>
        <v>79243</v>
      </c>
      <c r="H236" s="2">
        <f>'[1]ישיר מתוקן'!$AD240</f>
        <v>390359</v>
      </c>
      <c r="I236" s="2">
        <f>-1*'[1]ישיר מתוקן'!$AE240</f>
        <v>-8963</v>
      </c>
      <c r="J236" s="2">
        <f>'[1]ישיר מתוקן'!$W240</f>
        <v>595922</v>
      </c>
    </row>
    <row r="237" spans="1:10" x14ac:dyDescent="0.2">
      <c r="A237" s="26">
        <v>42217</v>
      </c>
      <c r="B237" s="2">
        <f>'[1]ישיר מתוקן'!$K241</f>
        <v>2985522</v>
      </c>
      <c r="C237" s="2">
        <f>'[1]ישיר מתוקן'!$L241</f>
        <v>909046</v>
      </c>
      <c r="D237" s="2">
        <f>-1*'[1]ישיר מתוקן'!$M241</f>
        <v>-2976</v>
      </c>
      <c r="E237" s="2">
        <f>'[1]ישיר מתוקן'!$E241</f>
        <v>4964908</v>
      </c>
      <c r="F237" s="2">
        <f>-1*'[1]ישיר מתוקן'!$AF241</f>
        <v>-505515</v>
      </c>
      <c r="G237" s="2">
        <f>'[1]ישיר מתוקן'!$AA241</f>
        <v>70060</v>
      </c>
      <c r="H237" s="2">
        <f>'[1]ישיר מתוקן'!$AD241</f>
        <v>253708</v>
      </c>
      <c r="I237" s="2">
        <f>-1*'[1]ישיר מתוקן'!$AE241</f>
        <v>-7854</v>
      </c>
      <c r="J237" s="2">
        <f>'[1]ישיר מתוקן'!$W241</f>
        <v>470764</v>
      </c>
    </row>
    <row r="238" spans="1:10" x14ac:dyDescent="0.2">
      <c r="A238" s="26">
        <v>42248</v>
      </c>
      <c r="B238" s="2">
        <f>'[1]ישיר מתוקן'!$K242</f>
        <v>2384118</v>
      </c>
      <c r="C238" s="2">
        <f>'[1]ישיר מתוקן'!$L242</f>
        <v>450290</v>
      </c>
      <c r="D238" s="2">
        <f>-1*'[1]ישיר מתוקן'!$M242</f>
        <v>-1915</v>
      </c>
      <c r="E238" s="2">
        <f>'[1]ישיר מתוקן'!$E242</f>
        <v>4595552</v>
      </c>
      <c r="F238" s="2">
        <f>-1*'[1]ישיר מתוקן'!$AF242</f>
        <v>-276694</v>
      </c>
      <c r="G238" s="2">
        <f>'[1]ישיר מתוקן'!$AA242</f>
        <v>78411</v>
      </c>
      <c r="H238" s="2">
        <f>'[1]ישיר מתוקן'!$AD242</f>
        <v>157863</v>
      </c>
      <c r="I238" s="2">
        <f>-1*'[1]ישיר מתוקן'!$AE242</f>
        <v>-8836</v>
      </c>
      <c r="J238" s="2">
        <f>'[1]ישיר מתוקן'!$W242</f>
        <v>562069</v>
      </c>
    </row>
    <row r="239" spans="1:10" x14ac:dyDescent="0.2">
      <c r="A239" s="26">
        <v>42278</v>
      </c>
      <c r="B239" s="2">
        <f>'[1]ישיר מתוקן'!$K243</f>
        <v>2382826</v>
      </c>
      <c r="C239" s="2">
        <f>'[1]ישיר מתוקן'!$L243</f>
        <v>692911</v>
      </c>
      <c r="D239" s="2">
        <f>-1*'[1]ישיר מתוקן'!$M243</f>
        <v>-4388</v>
      </c>
      <c r="E239" s="2">
        <f>'[1]ישיר מתוקן'!$E243</f>
        <v>4001269</v>
      </c>
      <c r="F239" s="2">
        <f>-1*'[1]ישיר מתוקן'!$AF243</f>
        <v>-374530</v>
      </c>
      <c r="G239" s="2">
        <f>'[1]ישיר מתוקן'!$AA243</f>
        <v>90557</v>
      </c>
      <c r="H239" s="2">
        <f>'[1]ישיר מתוקן'!$AD243</f>
        <v>341755</v>
      </c>
      <c r="I239" s="2">
        <f>-1*'[1]ישיר מתוקן'!$AE243</f>
        <v>-8787</v>
      </c>
      <c r="J239" s="2">
        <f>'[1]ישיר מתוקן'!$W243</f>
        <v>368434</v>
      </c>
    </row>
    <row r="240" spans="1:10" x14ac:dyDescent="0.2">
      <c r="A240" s="26">
        <v>42309</v>
      </c>
      <c r="B240" s="2">
        <f>'[1]ישיר מתוקן'!$K244</f>
        <v>2382682</v>
      </c>
      <c r="C240" s="2">
        <f>'[1]ישיר מתוקן'!$L244</f>
        <v>822261</v>
      </c>
      <c r="D240" s="2">
        <f>-1*'[1]ישיר מתוקן'!$M244</f>
        <v>-3623</v>
      </c>
      <c r="E240" s="2">
        <f>'[1]ישיר מתוקן'!$E244</f>
        <v>4652108</v>
      </c>
      <c r="F240" s="2">
        <f>-1*'[1]ישיר מתוקן'!$AF244</f>
        <v>-428925</v>
      </c>
      <c r="G240" s="2">
        <f>'[1]ישיר מתוקן'!$AA244</f>
        <v>82810</v>
      </c>
      <c r="H240" s="2">
        <f>'[1]ישיר מתוקן'!$AD244</f>
        <v>227575</v>
      </c>
      <c r="I240" s="2">
        <f>-1*'[1]ישיר מתוקן'!$AE244</f>
        <v>-5978</v>
      </c>
      <c r="J240" s="2">
        <f>'[1]ישיר מתוקן'!$W244</f>
        <v>447594</v>
      </c>
    </row>
    <row r="241" spans="1:10" x14ac:dyDescent="0.2">
      <c r="A241" s="26">
        <v>42339</v>
      </c>
      <c r="B241" s="2">
        <f>'[1]ישיר מתוקן'!$K245</f>
        <v>2047965</v>
      </c>
      <c r="C241" s="2">
        <f>'[1]ישיר מתוקן'!$L245</f>
        <v>881597</v>
      </c>
      <c r="D241" s="2">
        <f>-1*'[1]ישיר מתוקן'!$M245</f>
        <v>-4379</v>
      </c>
      <c r="E241" s="2">
        <f>'[1]ישיר מתוקן'!$E245</f>
        <v>4076166</v>
      </c>
      <c r="F241" s="2">
        <f>-1*'[1]ישיר מתוקן'!$AF245</f>
        <v>-860349</v>
      </c>
      <c r="G241" s="2">
        <f>'[1]ישיר מתוקן'!$AA245</f>
        <v>88711</v>
      </c>
      <c r="H241" s="2">
        <f>'[1]ישיר מתוקן'!$AD245</f>
        <v>391610</v>
      </c>
      <c r="I241" s="2">
        <f>-1*'[1]ישיר מתוקן'!$AE245</f>
        <v>-13793</v>
      </c>
      <c r="J241" s="2">
        <f>'[1]ישיר מתוקן'!$W245</f>
        <v>461651</v>
      </c>
    </row>
    <row r="242" spans="1:10" x14ac:dyDescent="0.2">
      <c r="A242" s="26">
        <v>42370</v>
      </c>
      <c r="B242" s="2">
        <f>'[1]ישיר מתוקן'!$K246</f>
        <v>70057</v>
      </c>
      <c r="C242" s="2">
        <f>'[1]ישיר מתוקן'!$L246</f>
        <v>3945127</v>
      </c>
      <c r="D242" s="2">
        <f>-1*'[1]ישיר מתוקן'!$M246</f>
        <v>-3863</v>
      </c>
      <c r="E242" s="2">
        <f>'[1]ישיר מתוקן'!$E246</f>
        <v>6273212</v>
      </c>
      <c r="F242" s="2">
        <f>-1*'[1]ישיר מתוקן'!$AF246</f>
        <v>-657246</v>
      </c>
      <c r="G242" s="2">
        <f>'[1]ישיר מתוקן'!$AA246</f>
        <v>146403</v>
      </c>
      <c r="H242" s="2">
        <f>'[1]ישיר מתוקן'!$AD246</f>
        <v>1285090</v>
      </c>
      <c r="I242" s="2">
        <f>-1*'[1]ישיר מתוקן'!$AE246</f>
        <v>-9464</v>
      </c>
      <c r="J242" s="2">
        <f>'[1]ישיר מתוקן'!$W246</f>
        <v>735622</v>
      </c>
    </row>
    <row r="243" spans="1:10" x14ac:dyDescent="0.2">
      <c r="A243" s="26">
        <v>42401</v>
      </c>
      <c r="B243" s="2">
        <f>'[1]ישיר מתוקן'!$K247</f>
        <v>2290188</v>
      </c>
      <c r="C243" s="2">
        <f>'[1]ישיר מתוקן'!$L247</f>
        <v>1321785</v>
      </c>
      <c r="D243" s="2">
        <f>-1*'[1]ישיר מתוקן'!$M247</f>
        <v>-4920</v>
      </c>
      <c r="E243" s="2">
        <f>'[1]ישיר מתוקן'!$E247</f>
        <v>4779367</v>
      </c>
      <c r="F243" s="2">
        <f>-1*'[1]ישיר מתוקן'!$AF247</f>
        <v>-533912</v>
      </c>
      <c r="G243" s="2">
        <f>'[1]ישיר מתוקן'!$AA247</f>
        <v>67906</v>
      </c>
      <c r="H243" s="2">
        <f>'[1]ישיר מתוקן'!$AD247</f>
        <v>213351</v>
      </c>
      <c r="I243" s="2">
        <f>-1*'[1]ישיר מתוקן'!$AE247</f>
        <v>-7731</v>
      </c>
      <c r="J243" s="2">
        <f>'[1]ישיר מתוקן'!$W247</f>
        <v>379392</v>
      </c>
    </row>
    <row r="244" spans="1:10" x14ac:dyDescent="0.2">
      <c r="A244" s="26">
        <v>42430</v>
      </c>
      <c r="B244" s="2">
        <f>'[1]ישיר מתוקן'!$K248</f>
        <v>2639208</v>
      </c>
      <c r="C244" s="2">
        <f>'[1]ישיר מתוקן'!$L248</f>
        <v>790155</v>
      </c>
      <c r="D244" s="2">
        <f>-1*'[1]ישיר מתוקן'!$M248</f>
        <v>-8325</v>
      </c>
      <c r="E244" s="2">
        <f>'[1]ישיר מתוקן'!$E248</f>
        <v>5053667</v>
      </c>
      <c r="F244" s="2">
        <f>-1*'[1]ישיר מתוקן'!$AF248</f>
        <v>-786482</v>
      </c>
      <c r="G244" s="2">
        <f>'[1]ישיר מתוקן'!$AA248</f>
        <v>68626</v>
      </c>
      <c r="H244" s="2">
        <f>'[1]ישיר מתוקן'!$AD248</f>
        <v>158825</v>
      </c>
      <c r="I244" s="2">
        <f>-1*'[1]ישיר מתוקן'!$AE248</f>
        <v>-4506</v>
      </c>
      <c r="J244" s="2">
        <f>'[1]ישיר מתוקן'!$W248</f>
        <v>462482</v>
      </c>
    </row>
    <row r="245" spans="1:10" x14ac:dyDescent="0.2">
      <c r="A245" s="26">
        <v>42461</v>
      </c>
      <c r="B245" s="2">
        <f>'[1]ישיר מתוקן'!$K249</f>
        <v>2544742</v>
      </c>
      <c r="C245" s="2">
        <f>'[1]ישיר מתוקן'!$L249</f>
        <v>666717</v>
      </c>
      <c r="D245" s="2">
        <f>-1*'[1]ישיר מתוקן'!$M249</f>
        <v>-18867</v>
      </c>
      <c r="E245" s="2">
        <f>'[1]ישיר מתוקן'!$E249</f>
        <v>4131236</v>
      </c>
      <c r="F245" s="2">
        <f>-1*'[1]ישיר מתוקן'!$AF249</f>
        <v>-432643</v>
      </c>
      <c r="G245" s="2">
        <f>'[1]ישיר מתוקן'!$AA249</f>
        <v>69224</v>
      </c>
      <c r="H245" s="2">
        <f>'[1]ישיר מתוקן'!$AD249</f>
        <v>392826</v>
      </c>
      <c r="I245" s="2">
        <f>-1*'[1]ישיר מתוקן'!$AE249</f>
        <v>-3746</v>
      </c>
      <c r="J245" s="2">
        <f>'[1]ישיר מתוקן'!$W249</f>
        <v>511081</v>
      </c>
    </row>
    <row r="246" spans="1:10" x14ac:dyDescent="0.2">
      <c r="A246" s="26">
        <v>42491</v>
      </c>
      <c r="B246" s="2">
        <f>'[1]ישיר מתוקן'!$K250</f>
        <v>3034539</v>
      </c>
      <c r="C246" s="2">
        <f>'[1]ישיר מתוקן'!$L250</f>
        <v>1347889</v>
      </c>
      <c r="D246" s="2">
        <f>-1*'[1]ישיר מתוקן'!$M250</f>
        <v>-4343</v>
      </c>
      <c r="E246" s="2">
        <f>'[1]ישיר מתוקן'!$E250</f>
        <v>5883193</v>
      </c>
      <c r="F246" s="2">
        <f>-1*'[1]ישיר מתוקן'!$AF250</f>
        <v>-1822822</v>
      </c>
      <c r="G246" s="2">
        <f>'[1]ישיר מתוקן'!$AA250</f>
        <v>79644</v>
      </c>
      <c r="H246" s="2">
        <f>'[1]ישיר מתוקן'!$AD250</f>
        <v>187246</v>
      </c>
      <c r="I246" s="2">
        <f>-1*'[1]ישיר מתוקן'!$AE250</f>
        <v>-21987</v>
      </c>
      <c r="J246" s="2">
        <f>'[1]ישיר מתוקן'!$W250</f>
        <v>773041</v>
      </c>
    </row>
    <row r="247" spans="1:10" x14ac:dyDescent="0.2">
      <c r="A247" s="26">
        <v>42522</v>
      </c>
      <c r="B247" s="2">
        <f>'[1]ישיר מתוקן'!$K251</f>
        <v>2519068</v>
      </c>
      <c r="C247" s="2">
        <f>'[1]ישיר מתוקן'!$L251</f>
        <v>647534</v>
      </c>
      <c r="D247" s="2">
        <f>-1*'[1]ישיר מתוקן'!$M251</f>
        <v>-14638</v>
      </c>
      <c r="E247" s="2">
        <f>'[1]ישיר מתוקן'!$E251</f>
        <v>4478656</v>
      </c>
      <c r="F247" s="2">
        <f>-1*'[1]ישיר מתוקן'!$AF251</f>
        <v>-325475</v>
      </c>
      <c r="G247" s="2">
        <f>'[1]ישיר מתוקן'!$AA251</f>
        <v>74516</v>
      </c>
      <c r="H247" s="2">
        <f>'[1]ישיר מתוקן'!$AD251</f>
        <v>303609</v>
      </c>
      <c r="I247" s="2">
        <f>-1*'[1]ישיר מתוקן'!$AE251</f>
        <v>-9741</v>
      </c>
      <c r="J247" s="2">
        <f>'[1]ישיר מתוקן'!$W251</f>
        <v>545034</v>
      </c>
    </row>
    <row r="248" spans="1:10" x14ac:dyDescent="0.2">
      <c r="A248" s="26">
        <v>42552</v>
      </c>
      <c r="B248" s="2">
        <f>'[1]ישיר מתוקן'!$K252</f>
        <v>2937183</v>
      </c>
      <c r="C248" s="2">
        <f>'[1]ישיר מתוקן'!$L252</f>
        <v>871439</v>
      </c>
      <c r="D248" s="2">
        <f>-1*'[1]ישיר מתוקן'!$M252</f>
        <v>-2978</v>
      </c>
      <c r="E248" s="2">
        <f>'[1]ישיר מתוקן'!$E252</f>
        <v>5451111</v>
      </c>
      <c r="F248" s="2">
        <f>-1*'[1]ישיר מתוקן'!$AF252</f>
        <v>-474239</v>
      </c>
      <c r="G248" s="2">
        <f>'[1]ישיר מתוקן'!$AA252</f>
        <v>81906</v>
      </c>
      <c r="H248" s="2">
        <f>'[1]ישיר מתוקן'!$AD252</f>
        <v>410334</v>
      </c>
      <c r="I248" s="2">
        <f>-1*'[1]ישיר מתוקן'!$AE252</f>
        <v>-16987</v>
      </c>
      <c r="J248" s="2">
        <f>'[1]ישיר מתוקן'!$W252</f>
        <v>548889</v>
      </c>
    </row>
    <row r="249" spans="1:10" x14ac:dyDescent="0.2">
      <c r="A249" s="26">
        <v>42583</v>
      </c>
      <c r="B249" s="2">
        <f>'[1]ישיר מתוקן'!$K253</f>
        <v>2686297</v>
      </c>
      <c r="C249" s="2">
        <f>'[1]ישיר מתוקן'!$L253</f>
        <v>607373</v>
      </c>
      <c r="D249" s="2">
        <f>-1*'[1]ישיר מתוקן'!$M253</f>
        <v>-5013</v>
      </c>
      <c r="E249" s="2">
        <f>'[1]ישיר מתוקן'!$E253</f>
        <v>4339280</v>
      </c>
      <c r="F249" s="2">
        <f>-1*'[1]ישיר מתוקן'!$AF253</f>
        <v>-361020</v>
      </c>
      <c r="G249" s="2">
        <f>'[1]ישיר מתוקן'!$AA253</f>
        <v>71218</v>
      </c>
      <c r="H249" s="2">
        <f>'[1]ישיר מתוקן'!$AD253</f>
        <v>131104</v>
      </c>
      <c r="I249" s="2">
        <f>-1*'[1]ישיר מתוקן'!$AE253</f>
        <v>-8734</v>
      </c>
      <c r="J249" s="2">
        <f>'[1]ישיר מתוקן'!$W253</f>
        <v>475447</v>
      </c>
    </row>
    <row r="250" spans="1:10" x14ac:dyDescent="0.2">
      <c r="A250" s="26">
        <v>42614</v>
      </c>
      <c r="B250" s="2">
        <f>'[1]ישיר מתוקן'!$K254</f>
        <v>2625414</v>
      </c>
      <c r="C250" s="2">
        <f>'[1]ישיר מתוקן'!$L254</f>
        <v>976511</v>
      </c>
      <c r="D250" s="2">
        <f>-1*'[1]ישיר מתוקן'!$M254</f>
        <v>-4492</v>
      </c>
      <c r="E250" s="2">
        <f>'[1]ישיר מתוקן'!$E254</f>
        <v>5265483</v>
      </c>
      <c r="F250" s="2">
        <f>-1*'[1]ישיר מתוקן'!$AF254</f>
        <v>-553376</v>
      </c>
      <c r="G250" s="2">
        <f>'[1]ישיר מתוקן'!$AA254</f>
        <v>82811</v>
      </c>
      <c r="H250" s="2">
        <f>'[1]ישיר מתוקן'!$AD254</f>
        <v>298916</v>
      </c>
      <c r="I250" s="2">
        <f>-1*'[1]ישיר מתוקן'!$AE254</f>
        <v>-8058</v>
      </c>
      <c r="J250" s="2">
        <f>'[1]ישיר מתוקן'!$W254</f>
        <v>505364</v>
      </c>
    </row>
    <row r="251" spans="1:10" x14ac:dyDescent="0.2">
      <c r="A251" s="26">
        <v>42644</v>
      </c>
      <c r="B251" s="2">
        <f>'[1]ישיר מתוקן'!$K255</f>
        <v>2501662</v>
      </c>
      <c r="C251" s="2">
        <f>'[1]ישיר מתוקן'!$L255</f>
        <v>600038</v>
      </c>
      <c r="D251" s="2">
        <f>-1*'[1]ישיר מתוקן'!$M255</f>
        <v>-5153</v>
      </c>
      <c r="E251" s="2">
        <f>'[1]ישיר מתוקן'!$E255</f>
        <v>4159363</v>
      </c>
      <c r="F251" s="2">
        <f>-1*'[1]ישיר מתוקן'!$AF255</f>
        <v>-219840</v>
      </c>
      <c r="G251" s="2">
        <f>'[1]ישיר מתוקן'!$AA255</f>
        <v>86000</v>
      </c>
      <c r="H251" s="2">
        <f>'[1]ישיר מתוקן'!$AD255</f>
        <v>129017</v>
      </c>
      <c r="I251" s="2">
        <f>-1*'[1]ישיר מתוקן'!$AE255</f>
        <v>-6797</v>
      </c>
      <c r="J251" s="2">
        <f>'[1]ישיר מתוקן'!$W255</f>
        <v>620000</v>
      </c>
    </row>
    <row r="252" spans="1:10" x14ac:dyDescent="0.2">
      <c r="A252" s="26">
        <v>42675</v>
      </c>
      <c r="B252" s="2">
        <f>'[1]ישיר מתוקן'!$K256</f>
        <v>2578166</v>
      </c>
      <c r="C252" s="2">
        <f>'[1]ישיר מתוקן'!$L256</f>
        <v>596680</v>
      </c>
      <c r="D252" s="2">
        <f>-1*'[1]ישיר מתוקן'!$M256</f>
        <v>-22806</v>
      </c>
      <c r="E252" s="2">
        <f>'[1]ישיר מתוקן'!$E256</f>
        <v>4385506</v>
      </c>
      <c r="F252" s="2">
        <f>-1*'[1]ישיר מתוקן'!$AF256</f>
        <v>-434477</v>
      </c>
      <c r="G252" s="2">
        <f>'[1]ישיר מתוקן'!$AA256</f>
        <v>81894</v>
      </c>
      <c r="H252" s="2">
        <f>'[1]ישיר מתוקן'!$AD256</f>
        <v>457264</v>
      </c>
      <c r="I252" s="2">
        <f>-1*'[1]ישיר מתוקן'!$AE256</f>
        <v>-12138</v>
      </c>
      <c r="J252" s="2">
        <f>'[1]ישיר מתוקן'!$W256</f>
        <v>257786</v>
      </c>
    </row>
    <row r="253" spans="1:10" x14ac:dyDescent="0.2">
      <c r="A253" s="26">
        <v>42705</v>
      </c>
      <c r="B253" s="2">
        <f>'[1]ישיר מתוקן'!$K257</f>
        <v>2467171</v>
      </c>
      <c r="C253" s="2">
        <f>'[1]ישיר מתוקן'!$L257</f>
        <v>1464456</v>
      </c>
      <c r="D253" s="2">
        <f>-1*'[1]ישיר מתוקן'!$M257</f>
        <v>-21496</v>
      </c>
      <c r="E253" s="2">
        <f>'[1]ישיר מתוקן'!$E257</f>
        <v>5180037</v>
      </c>
      <c r="F253" s="2">
        <f>-1*'[1]ישיר מתוקן'!$AF257</f>
        <v>-707857</v>
      </c>
      <c r="G253" s="2">
        <f>'[1]ישיר מתוקן'!$AA257</f>
        <v>83537</v>
      </c>
      <c r="H253" s="2">
        <f>'[1]ישיר מתוקן'!$AD257</f>
        <v>347414</v>
      </c>
      <c r="I253" s="2">
        <f>-1*'[1]ישיר מתוקן'!$AE257</f>
        <v>-8032</v>
      </c>
      <c r="J253" s="2">
        <f>'[1]ישיר מתוקן'!$W257</f>
        <v>547811</v>
      </c>
    </row>
    <row r="254" spans="1:10" x14ac:dyDescent="0.2">
      <c r="A254" s="26">
        <v>42736</v>
      </c>
      <c r="B254" s="2">
        <f>'[1]ישיר מתוקן'!$K258</f>
        <v>224643</v>
      </c>
      <c r="C254" s="2">
        <f>'[1]ישיר מתוקן'!$L258</f>
        <v>4992885</v>
      </c>
      <c r="D254" s="2">
        <f>-1*'[1]ישיר מתוקן'!$M258</f>
        <v>-19583</v>
      </c>
      <c r="E254" s="2">
        <f>'[1]ישיר מתוקן'!$E258</f>
        <v>8068333</v>
      </c>
      <c r="F254" s="2">
        <f>-1*'[1]ישיר מתוקן'!$AF258</f>
        <v>-511002</v>
      </c>
      <c r="G254" s="2">
        <f>'[1]ישיר מתוקן'!$AA258</f>
        <v>160687</v>
      </c>
      <c r="H254" s="2">
        <f>'[1]ישיר מתוקן'!$AD258</f>
        <v>548441</v>
      </c>
      <c r="I254" s="2">
        <f>-1*'[1]ישיר מתוקן'!$AE258</f>
        <v>-6249</v>
      </c>
      <c r="J254" s="2">
        <f>'[1]ישיר מתוקן'!$W258</f>
        <v>787002</v>
      </c>
    </row>
    <row r="255" spans="1:10" x14ac:dyDescent="0.2">
      <c r="A255" s="26">
        <v>42767</v>
      </c>
      <c r="B255" s="2">
        <f>'[1]ישיר מתוקן'!$K259</f>
        <v>2507997</v>
      </c>
      <c r="C255" s="2">
        <f>'[1]ישיר מתוקן'!$L259</f>
        <v>1348399</v>
      </c>
      <c r="D255" s="2">
        <f>-1*'[1]ישיר מתוקן'!$M259</f>
        <v>-9184</v>
      </c>
      <c r="E255" s="2">
        <f>'[1]ישיר מתוקן'!$E259</f>
        <v>5222888</v>
      </c>
      <c r="F255" s="2">
        <f>-1*'[1]ישיר מתוקן'!$AF259</f>
        <v>-616214</v>
      </c>
      <c r="G255" s="2">
        <f>'[1]ישיר מתוקן'!$AA259</f>
        <v>73628</v>
      </c>
      <c r="H255" s="2">
        <f>'[1]ישיר מתוקן'!$AD259</f>
        <v>473104</v>
      </c>
      <c r="I255" s="2">
        <f>-1*'[1]ישיר מתוקן'!$AE259</f>
        <v>-12806</v>
      </c>
      <c r="J255" s="2">
        <f>'[1]ישיר מתוקן'!$W259</f>
        <v>474703</v>
      </c>
    </row>
    <row r="256" spans="1:10" x14ac:dyDescent="0.2">
      <c r="A256" s="26">
        <v>42795</v>
      </c>
      <c r="B256" s="2">
        <f>'[1]ישיר מתוקן'!$K260</f>
        <v>2707566</v>
      </c>
      <c r="C256" s="2">
        <f>'[1]ישיר מתוקן'!$L260</f>
        <v>1134712</v>
      </c>
      <c r="D256" s="2">
        <f>-1*'[1]ישיר מתוקן'!$M260</f>
        <v>-3637</v>
      </c>
      <c r="E256" s="2">
        <f>'[1]ישיר מתוקן'!$E260</f>
        <v>5475812</v>
      </c>
      <c r="F256" s="2">
        <f>-1*'[1]ישיר מתוקן'!$AF260</f>
        <v>-1235684</v>
      </c>
      <c r="G256" s="2">
        <f>'[1]ישיר מתוקן'!$AA260</f>
        <v>72332</v>
      </c>
      <c r="H256" s="2">
        <f>'[1]ישיר מתוקן'!$AD260</f>
        <v>401496</v>
      </c>
      <c r="I256" s="2">
        <f>-1*'[1]ישיר מתוקן'!$AE260</f>
        <v>-9177</v>
      </c>
      <c r="J256" s="2">
        <f>'[1]ישיר מתוקן'!$W260</f>
        <v>493359</v>
      </c>
    </row>
    <row r="257" spans="1:10" x14ac:dyDescent="0.2">
      <c r="A257" s="26">
        <v>42826</v>
      </c>
      <c r="B257" s="2">
        <f>'[1]ישיר מתוקן'!$K261</f>
        <v>2934673</v>
      </c>
      <c r="C257" s="2">
        <f>'[1]ישיר מתוקן'!$L261</f>
        <v>780919</v>
      </c>
      <c r="D257" s="2">
        <f>-1*'[1]ישיר מתוקן'!$M261</f>
        <v>-8737</v>
      </c>
      <c r="E257" s="2">
        <f>'[1]ישיר מתוקן'!$E261</f>
        <v>4669591</v>
      </c>
      <c r="F257" s="2">
        <f>-1*'[1]ישיר מתוקן'!$AF261</f>
        <v>-730930</v>
      </c>
      <c r="G257" s="2">
        <f>'[1]ישיר מתוקן'!$AA261</f>
        <v>79072</v>
      </c>
      <c r="H257" s="2">
        <f>'[1]ישיר מתוקן'!$AD261</f>
        <v>639854</v>
      </c>
      <c r="I257" s="2">
        <f>-1*'[1]ישיר מתוקן'!$AE261</f>
        <v>-33447</v>
      </c>
      <c r="J257" s="2">
        <f>'[1]ישיר מתוקן'!$W261</f>
        <v>573859</v>
      </c>
    </row>
    <row r="258" spans="1:10" x14ac:dyDescent="0.2">
      <c r="A258" s="26">
        <v>42856</v>
      </c>
      <c r="B258" s="2">
        <f>'[1]ישיר מתוקן'!$K262</f>
        <v>2840993</v>
      </c>
      <c r="C258" s="2">
        <f>'[1]ישיר מתוקן'!$L262</f>
        <v>1035506</v>
      </c>
      <c r="D258" s="2">
        <f>-1*'[1]ישיר מתוקן'!$M262</f>
        <v>-6239</v>
      </c>
      <c r="E258" s="2">
        <f>'[1]ישיר מתוקן'!$E262</f>
        <v>5344550</v>
      </c>
      <c r="F258" s="2">
        <f>-1*'[1]ישיר מתוקן'!$AF262</f>
        <v>-446805</v>
      </c>
      <c r="G258" s="2">
        <f>'[1]ישיר מתוקן'!$AA262</f>
        <v>78996</v>
      </c>
      <c r="H258" s="2">
        <f>'[1]ישיר מתוקן'!$AD262</f>
        <v>407586</v>
      </c>
      <c r="I258" s="2">
        <f>-1*'[1]ישיר מתוקן'!$AE262</f>
        <v>-5720</v>
      </c>
      <c r="J258" s="2">
        <f>'[1]ישיר מתוקן'!$W262</f>
        <v>581195</v>
      </c>
    </row>
    <row r="259" spans="1:10" x14ac:dyDescent="0.2">
      <c r="A259" s="26">
        <v>42887</v>
      </c>
      <c r="B259" s="2">
        <f>'[1]ישיר מתוקן'!$K263</f>
        <v>2897745</v>
      </c>
      <c r="C259" s="2">
        <f>'[1]ישיר מתוקן'!$L263</f>
        <v>1012183</v>
      </c>
      <c r="D259" s="2">
        <f>-1*'[1]ישיר מתוקן'!$M263</f>
        <v>-13176</v>
      </c>
      <c r="E259" s="2">
        <f>'[1]ישיר מתוקן'!$E263</f>
        <v>5161206</v>
      </c>
      <c r="F259" s="2">
        <f>-1*'[1]ישיר מתוקן'!$AF263</f>
        <v>-538549</v>
      </c>
      <c r="G259" s="2">
        <f>'[1]ישיר מתוקן'!$AA263</f>
        <v>75210</v>
      </c>
      <c r="H259" s="2">
        <f>'[1]ישיר מתוקן'!$AD263</f>
        <v>638478</v>
      </c>
      <c r="I259" s="2">
        <f>-1*'[1]ישיר מתוקן'!$AE263</f>
        <v>-37162</v>
      </c>
      <c r="J259" s="2">
        <f>'[1]ישיר מתוקן'!$W263</f>
        <v>612826</v>
      </c>
    </row>
    <row r="260" spans="1:10" x14ac:dyDescent="0.2">
      <c r="A260" s="26">
        <v>42917</v>
      </c>
      <c r="B260" s="2">
        <f>'[1]ישיר מתוקן'!$K264</f>
        <v>3085069</v>
      </c>
      <c r="C260" s="2">
        <f>'[1]ישיר מתוקן'!$L264</f>
        <v>1147329</v>
      </c>
      <c r="D260" s="2">
        <f>-1*'[1]ישיר מתוקן'!$M264</f>
        <v>-261201</v>
      </c>
      <c r="E260" s="2">
        <f>'[1]ישיר מתוקן'!$E264</f>
        <v>5896679</v>
      </c>
      <c r="F260" s="2">
        <f>-1*'[1]ישיר מתוקן'!$AF264</f>
        <v>-705747</v>
      </c>
      <c r="G260" s="2">
        <f>'[1]ישיר מתוקן'!$AA264</f>
        <v>84656</v>
      </c>
      <c r="H260" s="2">
        <f>'[1]ישיר מתוקן'!$AD264</f>
        <v>992541</v>
      </c>
      <c r="I260" s="2">
        <f>-1*'[1]ישיר מתוקן'!$AE264</f>
        <v>-12462</v>
      </c>
      <c r="J260" s="2">
        <f>'[1]ישיר מתוקן'!$W264</f>
        <v>611255</v>
      </c>
    </row>
    <row r="261" spans="1:10" x14ac:dyDescent="0.2">
      <c r="A261" s="26">
        <v>42948</v>
      </c>
      <c r="B261" s="2">
        <f>'[1]ישיר מתוקן'!$K265</f>
        <v>2866411</v>
      </c>
      <c r="C261" s="2">
        <f>'[1]ישיר מתוקן'!$L265</f>
        <v>1366384</v>
      </c>
      <c r="D261" s="2">
        <f>-1*'[1]ישיר מתוקן'!$M265</f>
        <v>-6240</v>
      </c>
      <c r="E261" s="2">
        <f>'[1]ישיר מתוקן'!$E265</f>
        <v>7167485</v>
      </c>
      <c r="F261" s="2">
        <f>-1*'[1]ישיר מתוקן'!$AF265</f>
        <v>-654403</v>
      </c>
      <c r="G261" s="2">
        <f>'[1]ישיר מתוקן'!$AA265</f>
        <v>79899</v>
      </c>
      <c r="H261" s="2">
        <f>'[1]ישיר מתוקן'!$AD265</f>
        <v>1175722</v>
      </c>
      <c r="I261" s="2">
        <f>-1*'[1]ישיר מתוקן'!$AE265</f>
        <v>-19592</v>
      </c>
      <c r="J261" s="2">
        <f>'[1]ישיר מתוקן'!$W265</f>
        <v>594037</v>
      </c>
    </row>
    <row r="262" spans="1:10" x14ac:dyDescent="0.2">
      <c r="A262" s="26">
        <v>42979</v>
      </c>
      <c r="B262" s="2">
        <f>'[1]ישיר מתוקן'!$K266</f>
        <v>2921374</v>
      </c>
      <c r="C262" s="2">
        <f>'[1]ישיר מתוקן'!$L266</f>
        <v>826410</v>
      </c>
      <c r="D262" s="2">
        <f>-1*'[1]ישיר מתוקן'!$M266</f>
        <v>-11035</v>
      </c>
      <c r="E262" s="2">
        <f>'[1]ישיר מתוקן'!$E266</f>
        <v>5845957</v>
      </c>
      <c r="F262" s="2">
        <f>-1*'[1]ישיר מתוקן'!$AF266</f>
        <v>-394109</v>
      </c>
      <c r="G262" s="2">
        <f>'[1]ישיר מתוקן'!$AA266</f>
        <v>101172</v>
      </c>
      <c r="H262" s="2">
        <f>'[1]ישיר מתוקן'!$AD266</f>
        <v>3520936</v>
      </c>
      <c r="I262" s="2">
        <f>-1*'[1]ישיר מתוקן'!$AE266</f>
        <v>-12691</v>
      </c>
      <c r="J262" s="2">
        <f>'[1]ישיר מתוקן'!$W266</f>
        <v>886940</v>
      </c>
    </row>
    <row r="263" spans="1:10" x14ac:dyDescent="0.2">
      <c r="A263" s="26">
        <v>43009</v>
      </c>
      <c r="B263" s="2">
        <f>'[1]ישיר מתוקן'!$K267</f>
        <v>3099346</v>
      </c>
      <c r="C263" s="2">
        <f>'[1]ישיר מתוקן'!$L267</f>
        <v>957678</v>
      </c>
      <c r="D263" s="2">
        <f>-1*'[1]ישיר מתוקן'!$M267</f>
        <v>-15157</v>
      </c>
      <c r="E263" s="2">
        <f>'[1]ישיר מתוקן'!$E267</f>
        <v>5624148</v>
      </c>
      <c r="F263" s="2">
        <f>-1*'[1]ישיר מתוקן'!$AF267</f>
        <v>-403417</v>
      </c>
      <c r="G263" s="2">
        <f>'[1]ישיר מתוקן'!$AA267</f>
        <v>88408</v>
      </c>
      <c r="H263" s="2">
        <f>'[1]ישיר מתוקן'!$AD267</f>
        <v>6517527</v>
      </c>
      <c r="I263" s="2">
        <f>-1*'[1]ישיר מתוקן'!$AE267</f>
        <v>-28426</v>
      </c>
      <c r="J263" s="2">
        <f>'[1]ישיר מתוקן'!$W267</f>
        <v>614580</v>
      </c>
    </row>
    <row r="264" spans="1:10" x14ac:dyDescent="0.2">
      <c r="A264" s="26">
        <v>43040</v>
      </c>
      <c r="B264" s="2">
        <f>'[1]ישיר מתוקן'!$K268</f>
        <v>2881043</v>
      </c>
      <c r="C264" s="2">
        <f>'[1]ישיר מתוקן'!$L268</f>
        <v>1007429</v>
      </c>
      <c r="D264" s="2">
        <f>-1*'[1]ישיר מתוקן'!$M268</f>
        <v>-272991</v>
      </c>
      <c r="E264" s="2">
        <f>'[1]ישיר מתוקן'!$E268</f>
        <v>5068676</v>
      </c>
      <c r="F264" s="2">
        <f>-1*'[1]ישיר מתוקן'!$AF268</f>
        <v>-464017</v>
      </c>
      <c r="G264" s="2">
        <f>'[1]ישיר מתוקן'!$AA268</f>
        <v>81254</v>
      </c>
      <c r="H264" s="2">
        <f>'[1]ישיר מתוקן'!$AD268</f>
        <v>101745</v>
      </c>
      <c r="I264" s="2">
        <f>-1*'[1]ישיר מתוקן'!$AE268</f>
        <v>-13939</v>
      </c>
      <c r="J264" s="2">
        <f>'[1]ישיר מתוקן'!$W268</f>
        <v>642294</v>
      </c>
    </row>
    <row r="265" spans="1:10" x14ac:dyDescent="0.2">
      <c r="A265" s="26">
        <v>43070</v>
      </c>
      <c r="B265" s="2">
        <f>'[1]ישיר מתוקן'!$K269</f>
        <v>2051394</v>
      </c>
      <c r="C265" s="2">
        <f>'[1]ישיר מתוקן'!$L269</f>
        <v>947896</v>
      </c>
      <c r="D265" s="2">
        <f>-1*'[1]ישיר מתוקן'!$M269</f>
        <v>-33288</v>
      </c>
      <c r="E265" s="2">
        <f>'[1]ישיר מתוקן'!$E269</f>
        <v>4648664</v>
      </c>
      <c r="F265" s="2">
        <f>-1*'[1]ישיר מתוקן'!$AF269</f>
        <v>-628476</v>
      </c>
      <c r="G265" s="2">
        <f>'[1]ישיר מתוקן'!$AA269</f>
        <v>88861</v>
      </c>
      <c r="H265" s="2">
        <f>'[1]ישיר מתוקן'!$AD269</f>
        <v>153554</v>
      </c>
      <c r="I265" s="2">
        <f>-1*'[1]ישיר מתוקן'!$AE269</f>
        <v>-12979</v>
      </c>
      <c r="J265" s="2">
        <f>'[1]ישיר מתוקן'!$W269</f>
        <v>669365</v>
      </c>
    </row>
    <row r="266" spans="1:10" x14ac:dyDescent="0.2">
      <c r="A266" s="26">
        <v>43101</v>
      </c>
      <c r="B266" s="2">
        <f>'[1]ישיר מתוקן'!$K270</f>
        <v>106676</v>
      </c>
      <c r="C266" s="2">
        <f>'[1]ישיר מתוקן'!$L270</f>
        <v>5347921</v>
      </c>
      <c r="D266" s="2">
        <f>-1*'[1]ישיר מתוקן'!$M270</f>
        <v>-7165</v>
      </c>
      <c r="E266" s="2">
        <f>'[1]ישיר מתוקן'!$E270</f>
        <v>8464050</v>
      </c>
      <c r="F266" s="2">
        <f>-1*'[1]ישיר מתוקן'!$AF270</f>
        <v>-944434</v>
      </c>
      <c r="G266" s="2">
        <f>'[1]ישיר מתוקן'!$AA270</f>
        <v>153592</v>
      </c>
      <c r="H266" s="2">
        <f>'[1]ישיר מתוקן'!$AD270</f>
        <v>562007</v>
      </c>
      <c r="I266" s="2">
        <f>-1*'[1]ישיר מתוקן'!$AE270</f>
        <v>-6371</v>
      </c>
      <c r="J266" s="2">
        <f>'[1]ישיר מתוקן'!$W270</f>
        <v>1094937</v>
      </c>
    </row>
    <row r="267" spans="1:10" x14ac:dyDescent="0.2">
      <c r="A267" s="26">
        <v>43132</v>
      </c>
      <c r="B267" s="2">
        <f>'[1]ישיר מתוקן'!$K271</f>
        <v>2570955</v>
      </c>
      <c r="C267" s="2">
        <f>'[1]ישיר מתוקן'!$L271</f>
        <v>1771751</v>
      </c>
      <c r="D267" s="2">
        <f>-1*'[1]ישיר מתוקן'!$M271</f>
        <v>-92404</v>
      </c>
      <c r="E267" s="2">
        <f>'[1]ישיר מתוקן'!$E271</f>
        <v>5622723</v>
      </c>
      <c r="F267" s="2">
        <f>-1*'[1]ישיר מתוקן'!$AF271</f>
        <v>-955264</v>
      </c>
      <c r="G267" s="2">
        <f>'[1]ישיר מתוקן'!$AA271</f>
        <v>71048</v>
      </c>
      <c r="H267" s="2">
        <f>'[1]ישיר מתוקן'!$AD271</f>
        <v>115069</v>
      </c>
      <c r="I267" s="2">
        <f>-1*'[1]ישיר מתוקן'!$AE271</f>
        <v>-8561</v>
      </c>
      <c r="J267" s="2">
        <f>'[1]ישיר מתוקן'!$W271</f>
        <v>638458</v>
      </c>
    </row>
    <row r="268" spans="1:10" x14ac:dyDescent="0.2">
      <c r="A268" s="26">
        <v>43160</v>
      </c>
      <c r="B268" s="2">
        <f>'[1]ישיר מתוקן'!$K272</f>
        <v>2946170</v>
      </c>
      <c r="C268" s="2">
        <f>'[1]ישיר מתוקן'!$L272</f>
        <v>1442774</v>
      </c>
      <c r="D268" s="2">
        <f>-1*'[1]ישיר מתוקן'!$M272</f>
        <v>-62715</v>
      </c>
      <c r="E268" s="2">
        <f>'[1]ישיר מתוקן'!$E272</f>
        <v>6030293</v>
      </c>
      <c r="F268" s="2">
        <f>-1*'[1]ישיר מתוקן'!$AF272</f>
        <v>-724546</v>
      </c>
      <c r="G268" s="2">
        <f>'[1]ישיר מתוקן'!$AA272</f>
        <v>71660</v>
      </c>
      <c r="H268" s="2">
        <f>'[1]ישיר מתוקן'!$AD272</f>
        <v>137275</v>
      </c>
      <c r="I268" s="2">
        <f>-1*'[1]ישיר מתוקן'!$AE272</f>
        <v>-15240</v>
      </c>
      <c r="J268" s="2">
        <f>'[1]ישיר מתוקן'!$W272</f>
        <v>627200</v>
      </c>
    </row>
    <row r="269" spans="1:10" x14ac:dyDescent="0.2">
      <c r="A269" s="26">
        <v>43191</v>
      </c>
      <c r="B269" s="2">
        <f>'[1]ישיר מתוקן'!$K273</f>
        <v>3240893</v>
      </c>
      <c r="C269" s="2">
        <f>'[1]ישיר מתוקן'!$L273</f>
        <v>1128436</v>
      </c>
      <c r="D269" s="2">
        <f>-1*'[1]ישיר מתוקן'!$M273</f>
        <v>-4804</v>
      </c>
      <c r="E269" s="2">
        <f>'[1]ישיר מתוקן'!$E273</f>
        <v>5424412</v>
      </c>
      <c r="F269" s="2">
        <f>-1*'[1]ישיר מתוקן'!$AF273</f>
        <v>-703329</v>
      </c>
      <c r="G269" s="2">
        <f>'[1]ישיר מתוקן'!$AA273</f>
        <v>79602</v>
      </c>
      <c r="H269" s="2">
        <f>'[1]ישיר מתוקן'!$AD273</f>
        <v>107126</v>
      </c>
      <c r="I269" s="2">
        <f>-1*'[1]ישיר מתוקן'!$AE273</f>
        <v>-56219</v>
      </c>
      <c r="J269" s="2">
        <f>'[1]ישיר מתוקן'!$W273</f>
        <v>632310</v>
      </c>
    </row>
    <row r="270" spans="1:10" x14ac:dyDescent="0.2">
      <c r="A270" s="26">
        <v>43221</v>
      </c>
      <c r="B270" s="2">
        <f>'[1]ישיר מתוקן'!$K274</f>
        <v>2764498</v>
      </c>
      <c r="C270" s="2">
        <f>'[1]ישיר מתוקן'!$L274</f>
        <v>712360</v>
      </c>
      <c r="D270" s="2">
        <f>-1*'[1]ישיר מתוקן'!$M274</f>
        <v>-6405</v>
      </c>
      <c r="E270" s="2">
        <f>'[1]ישיר מתוקן'!$E274</f>
        <v>5102359</v>
      </c>
      <c r="F270" s="2">
        <f>-1*'[1]ישיר מתוקן'!$AF274</f>
        <v>-1572579</v>
      </c>
      <c r="G270" s="2">
        <f>'[1]ישיר מתוקן'!$AA274</f>
        <v>76962</v>
      </c>
      <c r="H270" s="2">
        <f>'[1]ישיר מתוקן'!$AD274</f>
        <v>146719</v>
      </c>
      <c r="I270" s="2">
        <f>-1*'[1]ישיר מתוקן'!$AE274</f>
        <v>-29524</v>
      </c>
      <c r="J270" s="2">
        <f>'[1]ישיר מתוקן'!$W274</f>
        <v>649256</v>
      </c>
    </row>
    <row r="271" spans="1:10" x14ac:dyDescent="0.2">
      <c r="A271" s="26">
        <v>43252</v>
      </c>
      <c r="B271" s="2">
        <f>'[1]ישיר מתוקן'!$K275</f>
        <v>2917411</v>
      </c>
      <c r="C271" s="2">
        <f>'[1]ישיר מתוקן'!$L275</f>
        <v>1339761</v>
      </c>
      <c r="D271" s="2">
        <f>-1*'[1]ישיר מתוקן'!$M275</f>
        <v>-7361</v>
      </c>
      <c r="E271" s="2">
        <f>'[1]ישיר מתוקן'!$E275</f>
        <v>5317108</v>
      </c>
      <c r="F271" s="2">
        <f>-1*'[1]ישיר מתוקן'!$AF275</f>
        <v>-574879</v>
      </c>
      <c r="G271" s="2">
        <f>'[1]ישיר מתוקן'!$AA275</f>
        <v>74224</v>
      </c>
      <c r="H271" s="2">
        <f>'[1]ישיר מתוקן'!$AD275</f>
        <v>357481</v>
      </c>
      <c r="I271" s="2">
        <f>-1*'[1]ישיר מתוקן'!$AE275</f>
        <v>-171569</v>
      </c>
      <c r="J271" s="2">
        <f>'[1]ישיר מתוקן'!$W275</f>
        <v>712769</v>
      </c>
    </row>
    <row r="272" spans="1:10" x14ac:dyDescent="0.2">
      <c r="A272" s="26">
        <v>43282</v>
      </c>
      <c r="B272" s="2">
        <f>'[1]ישיר מתוקן'!$K276</f>
        <v>3041364</v>
      </c>
      <c r="C272" s="2">
        <f>'[1]ישיר מתוקן'!$L276</f>
        <v>973839</v>
      </c>
      <c r="D272" s="2">
        <f>-1*'[1]ישיר מתוקן'!$M276</f>
        <v>-19682</v>
      </c>
      <c r="E272" s="2">
        <f>'[1]ישיר מתוקן'!$E276</f>
        <v>5847306</v>
      </c>
      <c r="F272" s="2">
        <f>-1*'[1]ישיר מתוקן'!$AF276</f>
        <v>-748035</v>
      </c>
      <c r="G272" s="2">
        <f>'[1]ישיר מתוקן'!$AA276</f>
        <v>79874</v>
      </c>
      <c r="H272" s="2">
        <f>'[1]ישיר מתוקן'!$AD276</f>
        <v>196397</v>
      </c>
      <c r="I272" s="2">
        <f>-1*'[1]ישיר מתוקן'!$AE276</f>
        <v>-17324</v>
      </c>
      <c r="J272" s="2">
        <f>'[1]ישיר מתוקן'!$W276</f>
        <v>897319</v>
      </c>
    </row>
    <row r="273" spans="1:10" x14ac:dyDescent="0.2">
      <c r="A273" s="26">
        <v>43313</v>
      </c>
      <c r="B273" s="2">
        <f>'[1]ישיר מתוקן'!$K277</f>
        <v>3139647</v>
      </c>
      <c r="C273" s="2">
        <f>'[1]ישיר מתוקן'!$L277</f>
        <v>1231601</v>
      </c>
      <c r="D273" s="2">
        <f>-1*'[1]ישיר מתוקן'!$M277</f>
        <v>-6597</v>
      </c>
      <c r="E273" s="2">
        <f>'[1]ישיר מתוקן'!$E277</f>
        <v>5625748</v>
      </c>
      <c r="F273" s="2">
        <f>-1*'[1]ישיר מתוקן'!$AF277</f>
        <v>-1031320</v>
      </c>
      <c r="G273" s="2">
        <f>'[1]ישיר מתוקן'!$AA277</f>
        <v>79524</v>
      </c>
      <c r="H273" s="2">
        <f>'[1]ישיר מתוקן'!$AD277</f>
        <v>357902</v>
      </c>
      <c r="I273" s="2">
        <f>-1*'[1]ישיר מתוקן'!$AE277</f>
        <v>-20512</v>
      </c>
      <c r="J273" s="2">
        <f>'[1]ישיר מתוקן'!$W277</f>
        <v>632361</v>
      </c>
    </row>
    <row r="274" spans="1:10" x14ac:dyDescent="0.2">
      <c r="A274" s="26">
        <v>43344</v>
      </c>
      <c r="B274" s="2">
        <f>'[1]ישיר מתוקן'!$K278</f>
        <v>2585699</v>
      </c>
      <c r="C274" s="2">
        <f>'[1]ישיר מתוקן'!$L278</f>
        <v>567916</v>
      </c>
      <c r="D274" s="2">
        <f>-1*'[1]ישיר מתוקן'!$M278</f>
        <v>-2233</v>
      </c>
      <c r="E274" s="2">
        <f>'[1]ישיר מתוקן'!$E278</f>
        <v>4492793</v>
      </c>
      <c r="F274" s="2">
        <f>-1*'[1]ישיר מתוקן'!$AF278</f>
        <v>-591248</v>
      </c>
      <c r="G274" s="2">
        <f>'[1]ישיר מתוקן'!$AA278</f>
        <v>65142</v>
      </c>
      <c r="H274" s="2">
        <f>'[1]ישיר מתוקן'!$AD278</f>
        <v>132938</v>
      </c>
      <c r="I274" s="2">
        <f>-1*'[1]ישיר מתוקן'!$AE278</f>
        <v>-3938</v>
      </c>
      <c r="J274" s="2">
        <f>'[1]ישיר מתוקן'!$W278</f>
        <v>548500</v>
      </c>
    </row>
    <row r="275" spans="1:10" x14ac:dyDescent="0.2">
      <c r="A275" s="26">
        <v>43374</v>
      </c>
      <c r="B275" s="2">
        <f>'[1]ישיר מתוקן'!$K279</f>
        <v>3263032</v>
      </c>
      <c r="C275" s="2">
        <f>'[1]ישיר מתוקן'!$L279</f>
        <v>754846</v>
      </c>
      <c r="D275" s="2">
        <f>-1*'[1]ישיר מתוקן'!$M279</f>
        <v>-11238</v>
      </c>
      <c r="E275" s="2">
        <f>'[1]ישיר מתוקן'!$E279</f>
        <v>5364265</v>
      </c>
      <c r="F275" s="2">
        <f>-1*'[1]ישיר מתוקן'!$AF279</f>
        <v>-621943</v>
      </c>
      <c r="G275" s="2">
        <f>'[1]ישיר מתוקן'!$AA279</f>
        <v>86495</v>
      </c>
      <c r="H275" s="2">
        <f>'[1]ישיר מתוקן'!$AD279</f>
        <v>181529</v>
      </c>
      <c r="I275" s="2">
        <f>-1*'[1]ישיר מתוקן'!$AE279</f>
        <v>-14245</v>
      </c>
      <c r="J275" s="2">
        <f>'[1]ישיר מתוקן'!$W279</f>
        <v>562173</v>
      </c>
    </row>
    <row r="276" spans="1:10" x14ac:dyDescent="0.2">
      <c r="A276" s="26">
        <v>43405</v>
      </c>
      <c r="B276" s="2">
        <f>'[1]ישיר מתוקן'!$K280</f>
        <v>3230147</v>
      </c>
      <c r="C276" s="2">
        <f>'[1]ישיר מתוקן'!$L280</f>
        <v>702833</v>
      </c>
      <c r="D276" s="2">
        <f>-1*'[1]ישיר מתוקן'!$M280</f>
        <v>-11835</v>
      </c>
      <c r="E276" s="2">
        <f>'[1]ישיר מתוקן'!$E280</f>
        <v>5602471</v>
      </c>
      <c r="F276" s="2">
        <f>-1*'[1]ישיר מתוקן'!$AF280</f>
        <v>-769848</v>
      </c>
      <c r="G276" s="2">
        <f>'[1]ישיר מתוקן'!$AA280</f>
        <v>83555</v>
      </c>
      <c r="H276" s="2">
        <f>'[1]ישיר מתוקן'!$AD280</f>
        <v>244439</v>
      </c>
      <c r="I276" s="2">
        <f>-1*'[1]ישיר מתוקן'!$AE280</f>
        <v>-139621</v>
      </c>
      <c r="J276" s="2">
        <f>'[1]ישיר מתוקן'!$W280</f>
        <v>626556</v>
      </c>
    </row>
    <row r="277" spans="1:10" x14ac:dyDescent="0.2">
      <c r="A277" s="26">
        <v>43435</v>
      </c>
      <c r="B277" s="2">
        <f>'[1]ישיר מתוקן'!$K281</f>
        <v>2356115</v>
      </c>
      <c r="C277" s="2">
        <f>'[1]ישיר מתוקן'!$L281</f>
        <v>1682665</v>
      </c>
      <c r="D277" s="2">
        <f>-1*'[1]ישיר מתוקן'!$M281</f>
        <v>-10518</v>
      </c>
      <c r="E277" s="2">
        <f>'[1]ישיר מתוקן'!$E281</f>
        <v>5735020</v>
      </c>
      <c r="F277" s="2">
        <f>-1*'[1]ישיר מתוקן'!$AF281</f>
        <v>-606978</v>
      </c>
      <c r="G277" s="2">
        <f>'[1]ישיר מתוקן'!$AA281</f>
        <v>78864</v>
      </c>
      <c r="H277" s="2">
        <f>'[1]ישיר מתוקן'!$AD281</f>
        <v>499057</v>
      </c>
      <c r="I277" s="2">
        <f>-1*'[1]ישיר מתוקן'!$AE281</f>
        <v>-10917</v>
      </c>
      <c r="J277" s="2">
        <f>'[1]ישיר מתוקן'!$W281</f>
        <v>647426</v>
      </c>
    </row>
    <row r="278" spans="1:10" x14ac:dyDescent="0.2">
      <c r="A278" s="26">
        <v>43466</v>
      </c>
      <c r="B278" s="2">
        <f>'[1]ישיר מתוקן'!$K282</f>
        <v>520841</v>
      </c>
      <c r="C278" s="2">
        <f>'[1]ישיר מתוקן'!$L282</f>
        <v>4871787</v>
      </c>
      <c r="D278" s="2">
        <f>-1*'[1]ישיר מתוקן'!$M282</f>
        <v>-21139</v>
      </c>
      <c r="E278" s="2">
        <f>'[1]ישיר מתוקן'!$E282</f>
        <v>8203425</v>
      </c>
      <c r="F278" s="2">
        <f>-1*'[1]ישיר מתוקן'!$AF282</f>
        <v>-1407650</v>
      </c>
      <c r="G278" s="2">
        <f>'[1]ישיר מתוקן'!$AA282</f>
        <v>163463</v>
      </c>
      <c r="H278" s="2">
        <f>'[1]ישיר מתוקן'!$AD282</f>
        <v>1025310</v>
      </c>
      <c r="I278" s="2">
        <f>-1*'[1]ישיר מתוקן'!$AE282</f>
        <v>-25397</v>
      </c>
      <c r="J278" s="2">
        <f>'[1]ישיר מתוקן'!$W282</f>
        <v>1010221</v>
      </c>
    </row>
    <row r="279" spans="1:10" x14ac:dyDescent="0.2">
      <c r="A279" s="26">
        <v>43497</v>
      </c>
      <c r="B279" s="2">
        <f>'[1]ישיר מתוקן'!$K283</f>
        <v>2942760</v>
      </c>
      <c r="C279" s="2">
        <f>'[1]ישיר מתוקן'!$L283</f>
        <v>1639298</v>
      </c>
      <c r="D279" s="2">
        <f>-1*'[1]ישיר מתוקן'!$M283</f>
        <v>-49972</v>
      </c>
      <c r="E279" s="2">
        <f>'[1]ישיר מתוקן'!$E283</f>
        <v>6019359</v>
      </c>
      <c r="F279" s="2">
        <f>-1*'[1]ישיר מתוקן'!$AF283</f>
        <v>-2126446</v>
      </c>
      <c r="G279" s="2">
        <f>'[1]ישיר מתוקן'!$AA283</f>
        <v>69498</v>
      </c>
      <c r="H279" s="2">
        <f>'[1]ישיר מתוקן'!$AD283</f>
        <v>194521</v>
      </c>
      <c r="I279" s="2">
        <f>-1*'[1]ישיר מתוקן'!$AE283</f>
        <v>-8431</v>
      </c>
      <c r="J279" s="2">
        <f>'[1]ישיר מתוקן'!$W283</f>
        <v>664661</v>
      </c>
    </row>
    <row r="280" spans="1:10" x14ac:dyDescent="0.2">
      <c r="A280" s="26">
        <v>43525</v>
      </c>
      <c r="B280" s="2">
        <f>'[1]ישיר מתוקן'!$K284</f>
        <v>3289401</v>
      </c>
      <c r="C280" s="2">
        <f>'[1]ישיר מתוקן'!$L284</f>
        <v>1271633</v>
      </c>
      <c r="D280" s="2">
        <f>-1*'[1]ישיר מתוקן'!$M284</f>
        <v>-6476</v>
      </c>
      <c r="E280" s="2">
        <f>'[1]ישיר מתוקן'!$E284</f>
        <v>6262260</v>
      </c>
      <c r="F280" s="2">
        <f>-1*'[1]ישיר מתוקן'!$AF284</f>
        <v>-984459</v>
      </c>
      <c r="G280" s="2">
        <f>'[1]ישיר מתוקן'!$AA284</f>
        <v>76675</v>
      </c>
      <c r="H280" s="2">
        <f>'[1]ישיר מתוקן'!$AD284</f>
        <v>193078</v>
      </c>
      <c r="I280" s="2">
        <f>-1*'[1]ישיר מתוקן'!$AE284</f>
        <v>-11823</v>
      </c>
      <c r="J280" s="2">
        <f>'[1]ישיר מתוקן'!$W284</f>
        <v>615476</v>
      </c>
    </row>
    <row r="281" spans="1:10" x14ac:dyDescent="0.2">
      <c r="A281" s="26">
        <v>43556</v>
      </c>
      <c r="B281" s="2">
        <f>'[1]ישיר מתוקן'!$K285</f>
        <v>3163394</v>
      </c>
      <c r="C281" s="2">
        <f>'[1]ישיר מתוקן'!$L285</f>
        <v>913699</v>
      </c>
      <c r="D281" s="2">
        <f>-1*'[1]ישיר מתוקן'!$M285</f>
        <v>-7940</v>
      </c>
      <c r="E281" s="2">
        <f>'[1]ישיר מתוקן'!$E285</f>
        <v>5503090</v>
      </c>
      <c r="F281" s="2">
        <f>-1*'[1]ישיר מתוקן'!$AF285</f>
        <v>-831921</v>
      </c>
      <c r="G281" s="2">
        <f>'[1]ישיר מתוקן'!$AA285</f>
        <v>73545</v>
      </c>
      <c r="H281" s="2">
        <f>'[1]ישיר מתוקן'!$AD285</f>
        <v>188498</v>
      </c>
      <c r="I281" s="2">
        <f>-1*'[1]ישיר מתוקן'!$AE285</f>
        <v>-6875</v>
      </c>
      <c r="J281" s="2">
        <f>'[1]ישיר מתוקן'!$W285</f>
        <v>633351</v>
      </c>
    </row>
    <row r="282" spans="1:10" x14ac:dyDescent="0.2">
      <c r="A282" s="26">
        <v>43586</v>
      </c>
      <c r="B282" s="2">
        <f>'[1]ישיר מתוקן'!$K286</f>
        <v>3388837</v>
      </c>
      <c r="C282" s="2">
        <f>'[1]ישיר מתוקן'!$L286</f>
        <v>782533</v>
      </c>
      <c r="D282" s="2">
        <f>-1*'[1]ישיר מתוקן'!$M286</f>
        <v>-13555</v>
      </c>
      <c r="E282" s="2">
        <f>'[1]ישיר מתוקן'!$E286</f>
        <v>5849557</v>
      </c>
      <c r="F282" s="2">
        <f>-1*'[1]ישיר מתוקן'!$AF286</f>
        <v>-695260</v>
      </c>
      <c r="G282" s="2">
        <f>'[1]ישיר מתוקן'!$AA286</f>
        <v>79988</v>
      </c>
      <c r="H282" s="2">
        <f>'[1]ישיר מתוקן'!$AD286</f>
        <v>220172</v>
      </c>
      <c r="I282" s="2">
        <f>-1*'[1]ישיר מתוקן'!$AE286</f>
        <v>-10240</v>
      </c>
      <c r="J282" s="2">
        <f>'[1]ישיר מתוקן'!$W286</f>
        <v>827708</v>
      </c>
    </row>
    <row r="283" spans="1:10" x14ac:dyDescent="0.2">
      <c r="A283" s="26">
        <v>43617</v>
      </c>
      <c r="B283" s="2">
        <f>'[1]ישיר מתוקן'!$K287</f>
        <v>3137784</v>
      </c>
      <c r="C283" s="2">
        <f>'[1]ישיר מתוקן'!$L287</f>
        <v>622011</v>
      </c>
      <c r="D283" s="2">
        <f>-1*'[1]ישיר מתוקן'!$M287</f>
        <v>-5157</v>
      </c>
      <c r="E283" s="2">
        <f>'[1]ישיר מתוקן'!$E287</f>
        <v>4924171</v>
      </c>
      <c r="F283" s="2">
        <f>-1*'[1]ישיר מתוקן'!$AF287</f>
        <v>-581155</v>
      </c>
      <c r="G283" s="2">
        <f>'[1]ישיר מתוקן'!$AA287</f>
        <v>71918</v>
      </c>
      <c r="H283" s="2">
        <f>'[1]ישיר מתוקן'!$AD287</f>
        <v>219190</v>
      </c>
      <c r="I283" s="2">
        <f>-1*'[1]ישיר מתוקן'!$AE287</f>
        <v>-4884</v>
      </c>
      <c r="J283" s="2">
        <f>'[1]ישיר מתוקן'!$W287</f>
        <v>779931</v>
      </c>
    </row>
    <row r="284" spans="1:10" x14ac:dyDescent="0.2">
      <c r="A284" s="26">
        <v>43647</v>
      </c>
      <c r="B284" s="2">
        <f>'[1]ישיר מתוקן'!$K288</f>
        <v>3152432</v>
      </c>
      <c r="C284" s="2">
        <f>'[1]ישיר מתוקן'!$L288</f>
        <v>1082443</v>
      </c>
      <c r="D284" s="2">
        <f>-1*'[1]ישיר מתוקן'!$M288</f>
        <v>-8158</v>
      </c>
      <c r="E284" s="2">
        <f>'[1]ישיר מתוקן'!$E288</f>
        <v>6194140</v>
      </c>
      <c r="F284" s="2">
        <f>-1*'[1]ישיר מתוקן'!$AF288</f>
        <v>-709949</v>
      </c>
      <c r="G284" s="2">
        <f>'[1]ישיר מתוקן'!$AA288</f>
        <v>86268</v>
      </c>
      <c r="H284" s="2">
        <f>'[1]ישיר מתוקן'!$AD288</f>
        <v>320265</v>
      </c>
      <c r="I284" s="2">
        <f>-1*'[1]ישיר מתוקן'!$AE288</f>
        <v>-18849</v>
      </c>
      <c r="J284" s="2">
        <f>'[1]ישיר מתוקן'!$W288</f>
        <v>733443</v>
      </c>
    </row>
    <row r="285" spans="1:10" x14ac:dyDescent="0.2">
      <c r="A285" s="26">
        <v>43678</v>
      </c>
      <c r="B285" s="2">
        <f>'[1]ישיר מתוקן'!$K289</f>
        <v>3471654</v>
      </c>
      <c r="C285" s="2">
        <f>'[1]ישיר מתוקן'!$L289</f>
        <v>747864</v>
      </c>
      <c r="D285" s="2">
        <f>-1*'[1]ישיר מתוקן'!$M289</f>
        <v>-27572</v>
      </c>
      <c r="E285" s="2">
        <f>'[1]ישיר מתוקן'!$E289</f>
        <v>5479103</v>
      </c>
      <c r="F285" s="2">
        <f>-1*'[1]ישיר מתוקן'!$AF289</f>
        <v>-534102</v>
      </c>
      <c r="G285" s="2">
        <f>'[1]ישיר מתוקן'!$AA289</f>
        <v>84766</v>
      </c>
      <c r="H285" s="2">
        <f>'[1]ישיר מתוקן'!$AD289</f>
        <v>252451</v>
      </c>
      <c r="I285" s="2">
        <f>-1*'[1]ישיר מתוקן'!$AE289</f>
        <v>-15696</v>
      </c>
      <c r="J285" s="2">
        <f>'[1]ישיר מתוקן'!$W289</f>
        <v>734187</v>
      </c>
    </row>
    <row r="286" spans="1:10" x14ac:dyDescent="0.2">
      <c r="A286" s="26">
        <v>43709</v>
      </c>
      <c r="B286" s="2">
        <f>'[1]ישיר מתוקן'!$K290</f>
        <v>3395593</v>
      </c>
      <c r="C286" s="2">
        <f>'[1]ישיר מתוקן'!$L290</f>
        <v>592533</v>
      </c>
      <c r="D286" s="2">
        <f>-1*'[1]ישיר מתוקן'!$M290</f>
        <v>-59432</v>
      </c>
      <c r="E286" s="2">
        <f>'[1]ישיר מתוקן'!$E290</f>
        <v>5538741</v>
      </c>
      <c r="F286" s="2">
        <f>-1*'[1]ישיר מתוקן'!$AF290</f>
        <v>-472997</v>
      </c>
      <c r="G286" s="2">
        <f>'[1]ישיר מתוקן'!$AA290</f>
        <v>82299</v>
      </c>
      <c r="H286" s="2">
        <f>'[1]ישיר מתוקן'!$AD290</f>
        <v>291572</v>
      </c>
      <c r="I286" s="2">
        <f>-1*'[1]ישיר מתוקן'!$AE290</f>
        <v>-12341</v>
      </c>
      <c r="J286" s="2">
        <f>'[1]ישיר מתוקן'!$W290</f>
        <v>755825</v>
      </c>
    </row>
    <row r="287" spans="1:10" x14ac:dyDescent="0.2">
      <c r="A287" s="26">
        <v>43739</v>
      </c>
      <c r="B287" s="2">
        <f>'[1]ישיר מתוקן'!$K291</f>
        <v>2481365</v>
      </c>
      <c r="C287" s="2">
        <f>'[1]ישיר מתוקן'!$L291</f>
        <v>797881</v>
      </c>
      <c r="D287" s="2">
        <f>-1*'[1]ישיר מתוקן'!$M291</f>
        <v>-10538</v>
      </c>
      <c r="E287" s="2">
        <f>'[1]ישיר מתוקן'!$E291</f>
        <v>4415777</v>
      </c>
      <c r="F287" s="2">
        <f>-1*'[1]ישיר מתוקן'!$AF291</f>
        <v>-417750</v>
      </c>
      <c r="G287" s="2">
        <f>'[1]ישיר מתוקן'!$AA291</f>
        <v>53674</v>
      </c>
      <c r="H287" s="2">
        <f>'[1]ישיר מתוקן'!$AD291</f>
        <v>222319</v>
      </c>
      <c r="I287" s="2">
        <f>-1*'[1]ישיר מתוקן'!$AE291</f>
        <v>-6586</v>
      </c>
      <c r="J287" s="2">
        <f>'[1]ישיר מתוקן'!$W291</f>
        <v>661986</v>
      </c>
    </row>
    <row r="288" spans="1:10" x14ac:dyDescent="0.2">
      <c r="A288" s="26">
        <v>43770</v>
      </c>
      <c r="B288" s="2">
        <f>'[1]ישיר מתוקן'!$K292</f>
        <v>3960465</v>
      </c>
      <c r="C288" s="2">
        <f>'[1]ישיר מתוקן'!$L292</f>
        <v>677550</v>
      </c>
      <c r="D288" s="2">
        <f>-1*'[1]ישיר מתוקן'!$M292</f>
        <v>-8477</v>
      </c>
      <c r="E288" s="2">
        <f>'[1]ישיר מתוקן'!$E292</f>
        <v>6798480</v>
      </c>
      <c r="F288" s="2">
        <f>-1*'[1]ישיר מתוקן'!$AF292</f>
        <v>-837352</v>
      </c>
      <c r="G288" s="2">
        <f>'[1]ישיר מתוקן'!$AA292</f>
        <v>100218</v>
      </c>
      <c r="H288" s="2">
        <f>'[1]ישיר מתוקן'!$AD292</f>
        <v>224662</v>
      </c>
      <c r="I288" s="2">
        <f>-1*'[1]ישיר מתוקן'!$AE292</f>
        <v>-9156</v>
      </c>
      <c r="J288" s="2">
        <f>'[1]ישיר מתוקן'!$W292</f>
        <v>628855</v>
      </c>
    </row>
    <row r="289" spans="1:10" x14ac:dyDescent="0.2">
      <c r="A289" s="26">
        <v>43800</v>
      </c>
      <c r="B289" s="2">
        <f>'[1]ישיר מתוקן'!$K293</f>
        <v>2227599</v>
      </c>
      <c r="C289" s="2">
        <f>'[1]ישיר מתוקן'!$L293</f>
        <v>1884957</v>
      </c>
      <c r="D289" s="2">
        <f>-1*'[1]ישיר מתוקן'!$M293</f>
        <v>-10263</v>
      </c>
      <c r="E289" s="2">
        <f>'[1]ישיר מתוקן'!$E293</f>
        <v>6351254</v>
      </c>
      <c r="F289" s="2">
        <f>-1*'[1]ישיר מתוקן'!$AF293</f>
        <v>-1191895</v>
      </c>
      <c r="G289" s="2">
        <f>'[1]ישיר מתוקן'!$AA293</f>
        <v>78843</v>
      </c>
      <c r="H289" s="2">
        <f>'[1]ישיר מתוקן'!$AD293</f>
        <v>557319</v>
      </c>
      <c r="I289" s="2">
        <f>-1*'[1]ישיר מתוקן'!$AE293</f>
        <v>-17545</v>
      </c>
      <c r="J289" s="2">
        <f>'[1]ישיר מתוקן'!$W293</f>
        <v>973235</v>
      </c>
    </row>
    <row r="290" spans="1:10" x14ac:dyDescent="0.2">
      <c r="A290" s="26">
        <v>43831</v>
      </c>
      <c r="B290" s="2">
        <f>'[1]ישיר מתוקן'!$K294</f>
        <v>91482</v>
      </c>
      <c r="C290" s="2">
        <f>'[1]ישיר מתוקן'!$L294</f>
        <v>4519901</v>
      </c>
      <c r="D290" s="2">
        <f>-1*'[1]ישיר מתוקן'!$M294</f>
        <v>-17673</v>
      </c>
      <c r="E290" s="2">
        <f>'[1]ישיר מתוקן'!$E294</f>
        <v>8540321</v>
      </c>
      <c r="F290" s="2">
        <f>-1*'[1]ישיר מתוקן'!$AF294</f>
        <v>-1252588</v>
      </c>
      <c r="G290" s="2">
        <f>'[1]ישיר מתוקן'!$AA294</f>
        <v>180963</v>
      </c>
      <c r="H290" s="2">
        <f>'[1]ישיר מתוקן'!$AD294</f>
        <v>1070401</v>
      </c>
      <c r="I290" s="2">
        <f>-1*'[1]ישיר מתוקן'!$AE294</f>
        <v>-16536</v>
      </c>
      <c r="J290" s="2">
        <f>'[1]ישיר מתוקן'!$W294</f>
        <v>1356584</v>
      </c>
    </row>
    <row r="291" spans="1:10" x14ac:dyDescent="0.2">
      <c r="A291" s="26">
        <v>43862</v>
      </c>
      <c r="B291" s="2">
        <f>'[1]ישיר מתוקן'!$K295</f>
        <v>3013061</v>
      </c>
      <c r="C291" s="2">
        <f>'[1]ישיר מתוקן'!$L295</f>
        <v>1291778</v>
      </c>
      <c r="D291" s="2">
        <f>-1*'[1]ישיר מתוקן'!$M295</f>
        <v>-8699</v>
      </c>
      <c r="E291" s="2">
        <f>'[1]ישיר מתוקן'!$E295</f>
        <v>5823460</v>
      </c>
      <c r="F291" s="2">
        <f>-1*'[1]ישיר מתוקן'!$AF295</f>
        <v>-1612173</v>
      </c>
      <c r="G291" s="2">
        <f>'[1]ישיר מתוקן'!$AA295</f>
        <v>73564</v>
      </c>
      <c r="H291" s="2">
        <f>'[1]ישיר מתוקן'!$AD295</f>
        <v>223285</v>
      </c>
      <c r="I291" s="2">
        <f>-1*'[1]ישיר מתוקן'!$AE295</f>
        <v>-35015</v>
      </c>
      <c r="J291" s="2">
        <f>'[1]ישיר מתוקן'!$W295</f>
        <v>741978</v>
      </c>
    </row>
    <row r="292" spans="1:10" x14ac:dyDescent="0.2">
      <c r="A292" s="26">
        <v>43891</v>
      </c>
      <c r="B292" s="2">
        <f>'[1]ישיר מתוקן'!$K296</f>
        <v>2806446</v>
      </c>
      <c r="C292" s="2">
        <f>'[1]ישיר מתוקן'!$L296</f>
        <v>779811</v>
      </c>
      <c r="D292" s="2">
        <f>-1*'[1]ישיר מתוקן'!$M296</f>
        <v>-17046</v>
      </c>
      <c r="E292" s="2">
        <f>'[1]ישיר מתוקן'!$E296</f>
        <v>5127201</v>
      </c>
      <c r="F292" s="2">
        <f>-1*'[1]ישיר מתוקן'!$AF296</f>
        <v>-2763482</v>
      </c>
      <c r="G292" s="2">
        <f>'[1]ישיר מתוקן'!$AA296</f>
        <v>73680</v>
      </c>
      <c r="H292" s="2">
        <f>'[1]ישיר מתוקן'!$AD296</f>
        <v>297960</v>
      </c>
      <c r="I292" s="2">
        <f>-1*'[1]ישיר מתוקן'!$AE296</f>
        <v>-17573</v>
      </c>
      <c r="J292" s="2">
        <f>'[1]ישיר מתוקן'!$W296</f>
        <v>759139</v>
      </c>
    </row>
    <row r="293" spans="1:10" x14ac:dyDescent="0.2">
      <c r="A293" s="26">
        <v>43922</v>
      </c>
      <c r="B293" s="2">
        <f>'[1]ישיר מתוקן'!$K297</f>
        <v>2450540</v>
      </c>
      <c r="C293" s="2">
        <f>'[1]ישיר מתוקן'!$L297</f>
        <v>767947</v>
      </c>
      <c r="D293" s="2">
        <f>-1*'[1]ישיר מתוקן'!$M297</f>
        <v>-17805</v>
      </c>
      <c r="E293" s="2">
        <f>'[1]ישיר מתוקן'!$E297</f>
        <v>3980477</v>
      </c>
      <c r="F293" s="2">
        <f>-1*'[1]ישיר מתוקן'!$AF297</f>
        <v>-977757</v>
      </c>
      <c r="G293" s="2">
        <f>'[1]ישיר מתוקן'!$AA297</f>
        <v>62902</v>
      </c>
      <c r="H293" s="2">
        <f>'[1]ישיר מתוקן'!$AD297</f>
        <v>104488</v>
      </c>
      <c r="I293" s="2">
        <f>-1*'[1]ישיר מתוקן'!$AE297</f>
        <v>-14906</v>
      </c>
      <c r="J293" s="2">
        <f>'[1]ישיר מתוקן'!$W297</f>
        <v>797487</v>
      </c>
    </row>
    <row r="294" spans="1:10" x14ac:dyDescent="0.2">
      <c r="A294" s="26">
        <v>43952</v>
      </c>
      <c r="B294" s="2">
        <f>'[1]ישיר מתוקן'!$K298</f>
        <v>2451979</v>
      </c>
      <c r="C294" s="2">
        <f>'[1]ישיר מתוקן'!$L298</f>
        <v>554670</v>
      </c>
      <c r="D294" s="2">
        <f>-1*'[1]ישיר מתוקן'!$M298</f>
        <v>-24133</v>
      </c>
      <c r="E294" s="2">
        <f>'[1]ישיר מתוקן'!$E298</f>
        <v>4580607</v>
      </c>
      <c r="F294" s="2">
        <f>-1*'[1]ישיר מתוקן'!$AF298</f>
        <v>-773003</v>
      </c>
      <c r="G294" s="2">
        <f>'[1]ישיר מתוקן'!$AA298</f>
        <v>67208</v>
      </c>
      <c r="H294" s="2">
        <f>'[1]ישיר מתוקן'!$AD298</f>
        <v>345195</v>
      </c>
      <c r="I294" s="2">
        <f>-1*'[1]ישיר מתוקן'!$AE298</f>
        <v>-18814</v>
      </c>
      <c r="J294" s="2">
        <f>'[1]ישיר מתוקן'!$W298</f>
        <v>686675</v>
      </c>
    </row>
    <row r="295" spans="1:10" x14ac:dyDescent="0.2">
      <c r="A295" s="26">
        <v>43983</v>
      </c>
      <c r="B295" s="2">
        <f>'[1]ישיר מתוקן'!$K299</f>
        <v>2872341</v>
      </c>
      <c r="C295" s="2">
        <f>'[1]ישיר מתוקן'!$L299</f>
        <v>1141550</v>
      </c>
      <c r="D295" s="2">
        <f>-1*'[1]ישיר מתוקן'!$M299</f>
        <v>-9129</v>
      </c>
      <c r="E295" s="2">
        <f>'[1]ישיר מתוקן'!$E299</f>
        <v>5470235</v>
      </c>
      <c r="F295" s="2">
        <f>-1*'[1]ישיר מתוקן'!$AF299</f>
        <v>-623411</v>
      </c>
      <c r="G295" s="2">
        <f>'[1]ישיר מתוקן'!$AA299</f>
        <v>61397</v>
      </c>
      <c r="H295" s="2">
        <f>'[1]ישיר מתוקן'!$AD299</f>
        <v>160668</v>
      </c>
      <c r="I295" s="2">
        <f>-1*'[1]ישיר מתוקן'!$AE299</f>
        <v>-13971</v>
      </c>
      <c r="J295" s="2">
        <f>'[1]ישיר מתוקן'!$W299</f>
        <v>680488</v>
      </c>
    </row>
    <row r="296" spans="1:10" x14ac:dyDescent="0.2">
      <c r="A296" s="26">
        <v>44013</v>
      </c>
      <c r="B296" s="2">
        <f>'[1]ישיר מתוקן'!$K300</f>
        <v>2930621</v>
      </c>
      <c r="C296" s="2">
        <f>'[1]ישיר מתוקן'!$L300</f>
        <v>1210535</v>
      </c>
      <c r="D296" s="2">
        <f>-1*'[1]ישיר מתוקן'!$M300</f>
        <v>-14363</v>
      </c>
      <c r="E296" s="2">
        <f>'[1]ישיר מתוקן'!$E300</f>
        <v>6012776</v>
      </c>
      <c r="F296" s="2">
        <f>-1*'[1]ישיר מתוקן'!$AF300</f>
        <v>-739651</v>
      </c>
      <c r="G296" s="2">
        <f>'[1]ישיר מתוקן'!$AA300</f>
        <v>59079</v>
      </c>
      <c r="H296" s="2">
        <f>'[1]ישיר מתוקן'!$AD300</f>
        <v>230392</v>
      </c>
      <c r="I296" s="2">
        <f>-1*'[1]ישיר מתוקן'!$AE300</f>
        <v>-54283</v>
      </c>
      <c r="J296" s="2">
        <f>'[1]ישיר מתוקן'!$W300</f>
        <v>657691</v>
      </c>
    </row>
    <row r="297" spans="1:10" x14ac:dyDescent="0.2">
      <c r="A297" s="26">
        <v>44044</v>
      </c>
      <c r="B297" s="2">
        <f>'[1]ישיר מתוקן'!$K301</f>
        <v>3042126</v>
      </c>
      <c r="C297" s="2">
        <f>'[1]ישיר מתוקן'!$L301</f>
        <v>987036</v>
      </c>
      <c r="D297" s="2">
        <f>-1*'[1]ישיר מתוקן'!$M301</f>
        <v>-8729</v>
      </c>
      <c r="E297" s="2">
        <f>'[1]ישיר מתוקן'!$E301</f>
        <v>5508710</v>
      </c>
      <c r="F297" s="2">
        <f>-1*'[1]ישיר מתוקן'!$AF301</f>
        <v>-560239</v>
      </c>
      <c r="G297" s="2">
        <f>'[1]ישיר מתוקן'!$AA301</f>
        <v>51506</v>
      </c>
      <c r="H297" s="2">
        <f>'[1]ישיר מתוקן'!$AD301</f>
        <v>261635</v>
      </c>
      <c r="I297" s="2">
        <f>-1*'[1]ישיר מתוקן'!$AE301</f>
        <v>-11133</v>
      </c>
      <c r="J297" s="2">
        <f>'[1]ישיר מתוקן'!$W301</f>
        <v>661467</v>
      </c>
    </row>
    <row r="298" spans="1:10" x14ac:dyDescent="0.2">
      <c r="A298" s="26">
        <v>44075</v>
      </c>
      <c r="B298" s="2">
        <f>'[1]ישיר מתוקן'!$K302</f>
        <v>3029746</v>
      </c>
      <c r="C298" s="2">
        <f>'[1]ישיר מתוקן'!$L302</f>
        <v>940036</v>
      </c>
      <c r="D298" s="2">
        <f>-1*'[1]ישיר מתוקן'!$M302</f>
        <v>-11392</v>
      </c>
      <c r="E298" s="2">
        <f>'[1]ישיר מתוקן'!$E302</f>
        <v>5922506</v>
      </c>
      <c r="F298" s="2">
        <f>-1*'[1]ישיר מתוקן'!$AF302</f>
        <v>-474290</v>
      </c>
      <c r="G298" s="2">
        <f>'[1]ישיר מתוקן'!$AA302</f>
        <v>65477</v>
      </c>
      <c r="H298" s="2">
        <f>'[1]ישיר מתוקן'!$AD302</f>
        <v>253156</v>
      </c>
      <c r="I298" s="2">
        <f>-1*'[1]ישיר מתוקן'!$AE302</f>
        <v>-10184</v>
      </c>
      <c r="J298" s="2">
        <f>'[1]ישיר מתוקן'!$W302</f>
        <v>762288</v>
      </c>
    </row>
    <row r="299" spans="1:10" x14ac:dyDescent="0.2">
      <c r="A299" s="26">
        <v>44105</v>
      </c>
      <c r="B299" s="2">
        <f>'[1]ישיר מתוקן'!$K303</f>
        <v>3153397</v>
      </c>
      <c r="C299" s="2">
        <f>'[1]ישיר מתוקן'!$L303</f>
        <v>813779</v>
      </c>
      <c r="D299" s="2">
        <f>-1*'[1]ישיר מתוקן'!$M303</f>
        <v>-58261</v>
      </c>
      <c r="E299" s="2">
        <f>'[1]ישיר מתוקן'!$E303</f>
        <v>5174091</v>
      </c>
      <c r="F299" s="2">
        <f>-1*'[1]ישיר מתוקן'!$AF303</f>
        <v>-602238</v>
      </c>
      <c r="G299" s="2">
        <f>'[1]ישיר מתוקן'!$AA303</f>
        <v>61256</v>
      </c>
      <c r="H299" s="2">
        <f>'[1]ישיר מתוקן'!$AD303</f>
        <v>214371</v>
      </c>
      <c r="I299" s="2">
        <f>-1*'[1]ישיר מתוקן'!$AE303</f>
        <v>-25216</v>
      </c>
      <c r="J299" s="2">
        <f>'[1]ישיר מתוקן'!$W303</f>
        <v>643330</v>
      </c>
    </row>
    <row r="300" spans="1:10" x14ac:dyDescent="0.2">
      <c r="A300" s="26">
        <v>44136</v>
      </c>
      <c r="B300" s="2">
        <f>'[1]ישיר מתוקן'!$K304</f>
        <v>3930351</v>
      </c>
      <c r="C300" s="2">
        <f>'[1]ישיר מתוקן'!$L304</f>
        <v>793300</v>
      </c>
      <c r="D300" s="2">
        <f>-1*'[1]ישיר מתוקן'!$M304</f>
        <v>-10939</v>
      </c>
      <c r="E300" s="2">
        <f>'[1]ישיר מתוקן'!$E304</f>
        <v>6424100</v>
      </c>
      <c r="F300" s="2">
        <f>-1*'[1]ישיר מתוקן'!$AF304</f>
        <v>-597966</v>
      </c>
      <c r="G300" s="2">
        <f>'[1]ישיר מתוקן'!$AA304</f>
        <v>59425</v>
      </c>
      <c r="H300" s="2">
        <f>'[1]ישיר מתוקן'!$AD304</f>
        <v>209547</v>
      </c>
      <c r="I300" s="2">
        <f>-1*'[1]ישיר מתוקן'!$AE304</f>
        <v>-13035</v>
      </c>
      <c r="J300" s="2">
        <f>'[1]ישיר מתוקן'!$W304</f>
        <v>719122</v>
      </c>
    </row>
    <row r="301" spans="1:10" x14ac:dyDescent="0.2">
      <c r="A301" s="26">
        <v>44166</v>
      </c>
      <c r="B301" s="2">
        <f>'[1]ישיר מתוקן'!$K305</f>
        <v>2600951</v>
      </c>
      <c r="C301" s="2">
        <f>'[1]ישיר מתוקן'!$L305</f>
        <v>1079665</v>
      </c>
      <c r="D301" s="2">
        <f>-1*'[1]ישיר מתוקן'!$M305</f>
        <v>-19412</v>
      </c>
      <c r="E301" s="2">
        <f>'[1]ישיר מתוקן'!$E305</f>
        <v>5523793</v>
      </c>
      <c r="F301" s="2">
        <f>-1*'[1]ישיר מתוקן'!$AF305</f>
        <v>-624183</v>
      </c>
      <c r="G301" s="2">
        <f>'[1]ישיר מתוקן'!$AA305</f>
        <v>56784</v>
      </c>
      <c r="H301" s="2">
        <f>'[1]ישיר מתוקן'!$AD305</f>
        <v>673963</v>
      </c>
      <c r="I301" s="2">
        <f>-1*'[1]ישיר מתוקן'!$AE305</f>
        <v>-14575</v>
      </c>
      <c r="J301" s="2">
        <f>'[1]ישיר מתוקן'!$W305</f>
        <v>674330</v>
      </c>
    </row>
    <row r="302" spans="1:10" x14ac:dyDescent="0.2">
      <c r="A302" s="26">
        <v>44197</v>
      </c>
      <c r="B302" s="2">
        <f>'[1]ישיר מתוקן'!$K306</f>
        <v>194484</v>
      </c>
      <c r="C302" s="2">
        <f>'[1]ישיר מתוקן'!$L306</f>
        <v>6503454</v>
      </c>
      <c r="D302" s="2">
        <f>-1*'[1]ישיר מתוקן'!$M306</f>
        <v>-29542</v>
      </c>
      <c r="E302" s="2">
        <f>'[1]ישיר מתוקן'!$E306</f>
        <v>10467619</v>
      </c>
      <c r="F302" s="2">
        <f>-1*'[1]ישיר מתוקן'!$AF306</f>
        <v>-979977</v>
      </c>
      <c r="G302" s="2">
        <f>'[1]ישיר מתוקן'!$AA306</f>
        <v>112402</v>
      </c>
      <c r="H302" s="2">
        <f>'[1]ישיר מתוקן'!$AD306</f>
        <v>1054725</v>
      </c>
      <c r="I302" s="2">
        <f>-1*'[1]ישיר מתוקן'!$AE306</f>
        <v>-164513</v>
      </c>
      <c r="J302" s="2">
        <f>'[1]ישיר מתוקן'!$W306</f>
        <v>1112234</v>
      </c>
    </row>
    <row r="303" spans="1:10" x14ac:dyDescent="0.2">
      <c r="A303" s="26">
        <v>44228</v>
      </c>
      <c r="B303" s="2">
        <f>'[1]ישיר מתוקן'!$K307</f>
        <v>2994805</v>
      </c>
      <c r="C303" s="2">
        <f>'[1]ישיר מתוקן'!$L307</f>
        <v>1878868</v>
      </c>
      <c r="D303" s="2">
        <f>-1*'[1]ישיר מתוקן'!$M307</f>
        <v>-13564</v>
      </c>
      <c r="E303" s="2">
        <f>'[1]ישיר מתוקן'!$E307</f>
        <v>6422802</v>
      </c>
      <c r="F303" s="2">
        <f>-1*'[1]ישיר מתוקן'!$AF307</f>
        <v>-1447695</v>
      </c>
      <c r="G303" s="2">
        <f>'[1]ישיר מתוקן'!$AA307</f>
        <v>51335</v>
      </c>
      <c r="H303" s="2">
        <f>'[1]ישיר מתוקן'!$AD307</f>
        <v>307204</v>
      </c>
      <c r="I303" s="2">
        <f>-1*'[1]ישיר מתוקן'!$AE307</f>
        <v>-30824</v>
      </c>
      <c r="J303" s="2">
        <f>'[1]ישיר מתוקן'!$W307</f>
        <v>667550</v>
      </c>
    </row>
    <row r="304" spans="1:10" x14ac:dyDescent="0.2">
      <c r="A304" s="26">
        <v>44256</v>
      </c>
      <c r="B304" s="2">
        <f>'[1]ישיר מתוקן'!$K308</f>
        <v>3138052</v>
      </c>
      <c r="C304" s="2">
        <f>'[1]ישיר מתוקן'!$L308</f>
        <v>1130591</v>
      </c>
      <c r="D304" s="2">
        <f>-1*'[1]ישיר מתוקן'!$M308</f>
        <v>-11847</v>
      </c>
      <c r="E304" s="2">
        <f>'[1]ישיר מתוקן'!$E308</f>
        <v>6474615</v>
      </c>
      <c r="F304" s="2">
        <f>-1*'[1]ישיר מתוקן'!$AF308</f>
        <v>-830276</v>
      </c>
      <c r="G304" s="2">
        <f>'[1]ישיר מתוקן'!$AA308</f>
        <v>53657</v>
      </c>
      <c r="H304" s="2">
        <f>'[1]ישיר מתוקן'!$AD308</f>
        <v>302946</v>
      </c>
      <c r="I304" s="2">
        <f>-1*'[1]ישיר מתוקן'!$AE308</f>
        <v>-18964</v>
      </c>
      <c r="J304" s="2">
        <f>'[1]ישיר מתוקן'!$W308</f>
        <v>709213</v>
      </c>
    </row>
    <row r="305" spans="1:10" x14ac:dyDescent="0.2">
      <c r="A305" s="26">
        <v>44287</v>
      </c>
      <c r="B305" s="2">
        <f>'[1]ישיר מתוקן'!$K309</f>
        <v>3470876</v>
      </c>
      <c r="C305" s="2">
        <f>'[1]ישיר מתוקן'!$L309</f>
        <v>1103797</v>
      </c>
      <c r="D305" s="2">
        <f>-1*'[1]ישיר מתוקן'!$M309</f>
        <v>-54741</v>
      </c>
      <c r="E305" s="2">
        <f>'[1]ישיר מתוקן'!$E309</f>
        <v>6169573</v>
      </c>
      <c r="F305" s="2">
        <f>-1*'[1]ישיר מתוקן'!$AF309</f>
        <v>-747522</v>
      </c>
      <c r="G305" s="2">
        <f>'[1]ישיר מתוקן'!$AA309</f>
        <v>54464</v>
      </c>
      <c r="H305" s="2">
        <f>'[1]ישיר מתוקן'!$AD309</f>
        <v>249660</v>
      </c>
      <c r="I305" s="2">
        <f>-1*'[1]ישיר מתוקן'!$AE309</f>
        <v>-17981</v>
      </c>
      <c r="J305" s="2">
        <f>'[1]ישיר מתוקן'!$W309</f>
        <v>931400</v>
      </c>
    </row>
    <row r="306" spans="1:10" x14ac:dyDescent="0.2">
      <c r="A306" s="26">
        <v>44317</v>
      </c>
      <c r="B306" s="2">
        <f>'[1]ישיר מתוקן'!$K310</f>
        <v>3458954</v>
      </c>
      <c r="C306" s="2">
        <f>'[1]ישיר מתוקן'!$L310</f>
        <v>883060</v>
      </c>
      <c r="D306" s="2">
        <f>-1*'[1]ישיר מתוקן'!$M310</f>
        <v>-27219</v>
      </c>
      <c r="E306" s="2">
        <f>'[1]ישיר מתוקן'!$E310</f>
        <v>6388927</v>
      </c>
      <c r="F306" s="2">
        <f>-1*'[1]ישיר מתוקן'!$AF310</f>
        <v>-820292</v>
      </c>
      <c r="G306" s="2">
        <f>'[1]ישיר מתוקן'!$AA310</f>
        <v>59681</v>
      </c>
      <c r="H306" s="2">
        <f>'[1]ישיר מתוקן'!$AD310</f>
        <v>410839</v>
      </c>
      <c r="I306" s="2">
        <f>-1*'[1]ישיר מתוקן'!$AE310</f>
        <v>-17506</v>
      </c>
      <c r="J306" s="2">
        <f>'[1]ישיר מתוקן'!$W310</f>
        <v>986923</v>
      </c>
    </row>
    <row r="307" spans="1:10" x14ac:dyDescent="0.2">
      <c r="A307" s="26">
        <v>44348</v>
      </c>
      <c r="B307" s="2">
        <f>'[1]ישיר מתוקן'!$K311</f>
        <v>3778661</v>
      </c>
      <c r="C307" s="2">
        <f>'[1]ישיר מתוקן'!$L311</f>
        <v>1062739</v>
      </c>
      <c r="D307" s="2">
        <f>-1*'[1]ישיר מתוקן'!$M311</f>
        <v>-60845</v>
      </c>
      <c r="E307" s="2">
        <f>'[1]ישיר מתוקן'!$E311</f>
        <v>7106211</v>
      </c>
      <c r="F307" s="2">
        <f>-1*'[1]ישיר מתוקן'!$AF311</f>
        <v>-1155336</v>
      </c>
      <c r="G307" s="2">
        <f>'[1]ישיר מתוקן'!$AA311</f>
        <v>58395</v>
      </c>
      <c r="H307" s="2">
        <f>'[1]ישיר מתוקן'!$AD311</f>
        <v>441441</v>
      </c>
      <c r="I307" s="2">
        <f>-1*'[1]ישיר מתוקן'!$AE311</f>
        <v>-254927</v>
      </c>
      <c r="J307" s="2">
        <f>'[1]ישיר מתוקן'!$W311</f>
        <v>842584</v>
      </c>
    </row>
    <row r="308" spans="1:10" x14ac:dyDescent="0.2">
      <c r="A308" s="26">
        <v>44378</v>
      </c>
      <c r="B308" s="2">
        <f>'[1]ישיר מתוקן'!$K312</f>
        <v>3998216</v>
      </c>
      <c r="C308" s="2">
        <f>'[1]ישיר מתוקן'!$L312</f>
        <v>1564011</v>
      </c>
      <c r="D308" s="2">
        <f>-1*'[1]ישיר מתוקן'!$M312</f>
        <v>-22638</v>
      </c>
      <c r="E308" s="2">
        <f>'[1]ישיר מתוקן'!$E312</f>
        <v>8524222</v>
      </c>
      <c r="F308" s="2">
        <f>-1*'[1]ישיר מתוקן'!$AF312</f>
        <v>-699165</v>
      </c>
      <c r="G308" s="2">
        <f>'[1]ישיר מתוקן'!$AA312</f>
        <v>65061</v>
      </c>
      <c r="H308" s="2">
        <f>'[1]ישיר מתוקן'!$AD312</f>
        <v>491764</v>
      </c>
      <c r="I308" s="2">
        <f>-1*'[1]ישיר מתוקן'!$AE312</f>
        <v>-39362</v>
      </c>
      <c r="J308" s="2">
        <f>'[1]ישיר מתוקן'!$W312</f>
        <v>886380</v>
      </c>
    </row>
    <row r="309" spans="1:10" x14ac:dyDescent="0.2">
      <c r="A309" s="26">
        <v>44409</v>
      </c>
      <c r="B309" s="2">
        <f>'[1]ישיר מתוקן'!$K313</f>
        <v>4050072</v>
      </c>
      <c r="C309" s="2">
        <f>'[1]ישיר מתוקן'!$L313</f>
        <v>1167501</v>
      </c>
      <c r="D309" s="2">
        <f>-1*'[1]ישיר מתוקן'!$M313</f>
        <v>-54986</v>
      </c>
      <c r="E309" s="2">
        <f>'[1]ישיר מתוקן'!$E313</f>
        <v>7197561</v>
      </c>
      <c r="F309" s="2">
        <f>-1*'[1]ישיר מתוקן'!$AF313</f>
        <v>-621303</v>
      </c>
      <c r="G309" s="2">
        <f>'[1]ישיר מתוקן'!$AA313</f>
        <v>63758</v>
      </c>
      <c r="H309" s="2">
        <f>'[1]ישיר מתוקן'!$AD313</f>
        <v>464647</v>
      </c>
      <c r="I309" s="2">
        <f>-1*'[1]ישיר מתוקן'!$AE313</f>
        <v>-16928</v>
      </c>
      <c r="J309" s="2">
        <f>'[1]ישיר מתוקן'!$W313</f>
        <v>1265458</v>
      </c>
    </row>
    <row r="310" spans="1:10" x14ac:dyDescent="0.2">
      <c r="A310" s="26">
        <v>44440</v>
      </c>
      <c r="B310" s="2">
        <f>'[1]ישיר מתוקן'!$K314</f>
        <v>3662414</v>
      </c>
      <c r="C310" s="2">
        <f>'[1]ישיר מתוקן'!$L314</f>
        <v>1018643</v>
      </c>
      <c r="D310" s="2">
        <f>-1*'[1]ישיר מתוקן'!$M314</f>
        <v>-27443</v>
      </c>
      <c r="E310" s="2">
        <f>'[1]ישיר מתוקן'!$E314</f>
        <v>6408297</v>
      </c>
      <c r="F310" s="2">
        <f>-1*'[1]ישיר מתוקן'!$AF314</f>
        <v>-279860</v>
      </c>
      <c r="G310" s="2">
        <f>'[1]ישיר מתוקן'!$AA314</f>
        <v>62770</v>
      </c>
      <c r="H310" s="2">
        <f>'[1]ישיר מתוקן'!$AD314</f>
        <v>356183</v>
      </c>
      <c r="I310" s="2">
        <f>-1*'[1]ישיר מתוקן'!$AE314</f>
        <v>-20627</v>
      </c>
      <c r="J310" s="2">
        <f>'[1]ישיר מתוקן'!$W314</f>
        <v>942979</v>
      </c>
    </row>
    <row r="311" spans="1:10" x14ac:dyDescent="0.2">
      <c r="A311" s="26">
        <v>44470</v>
      </c>
      <c r="B311" s="2">
        <f>'[1]ישיר מתוקן'!$K315</f>
        <v>4335630</v>
      </c>
      <c r="C311" s="2">
        <f>'[1]ישיר מתוקן'!$L315</f>
        <v>791524</v>
      </c>
      <c r="D311" s="2">
        <f>-1*'[1]ישיר מתוקן'!$M315</f>
        <v>-27345</v>
      </c>
      <c r="E311" s="2">
        <f>'[1]ישיר מתוקן'!$E315</f>
        <v>7170564</v>
      </c>
      <c r="F311" s="2">
        <f>-1*'[1]ישיר מתוקן'!$AF315</f>
        <v>-653936</v>
      </c>
      <c r="G311" s="2">
        <f>'[1]ישיר מתוקן'!$AA315</f>
        <v>60820</v>
      </c>
      <c r="H311" s="2">
        <f>'[1]ישיר מתוקן'!$AD315</f>
        <v>389973</v>
      </c>
      <c r="I311" s="2">
        <f>-1*'[1]ישיר מתוקן'!$AE315</f>
        <v>-18764</v>
      </c>
      <c r="J311" s="2">
        <f>'[1]ישיר מתוקן'!$W315</f>
        <v>710269</v>
      </c>
    </row>
    <row r="312" spans="1:10" x14ac:dyDescent="0.2">
      <c r="A312" s="26">
        <v>44501</v>
      </c>
      <c r="B312" s="2">
        <f>'[1]ישיר מתוקן'!$K316</f>
        <v>4448163</v>
      </c>
      <c r="C312" s="2">
        <f>'[1]ישיר מתוקן'!$L316</f>
        <v>1861316</v>
      </c>
      <c r="D312" s="2">
        <f>-1*'[1]ישיר מתוקן'!$M316</f>
        <v>-21083</v>
      </c>
      <c r="E312" s="2">
        <f>'[1]ישיר מתוקן'!$E316</f>
        <v>8936939</v>
      </c>
      <c r="F312" s="2">
        <f>-1*'[1]ישיר מתוקן'!$AF316</f>
        <v>-594918</v>
      </c>
      <c r="G312" s="2">
        <f>'[1]ישיר מתוקן'!$AA316</f>
        <v>65896</v>
      </c>
      <c r="H312" s="2">
        <f>'[1]ישיר מתוקן'!$AD316</f>
        <v>497955</v>
      </c>
      <c r="I312" s="2">
        <f>-1*'[1]ישיר מתוקן'!$AE316</f>
        <v>-20177</v>
      </c>
      <c r="J312" s="2">
        <f>'[1]ישיר מתוקן'!$W316</f>
        <v>1120975</v>
      </c>
    </row>
    <row r="313" spans="1:10" x14ac:dyDescent="0.2">
      <c r="A313" s="26">
        <v>44531</v>
      </c>
      <c r="B313" s="2">
        <f>'[1]ישיר מתוקן'!$K317</f>
        <v>4161174</v>
      </c>
      <c r="C313" s="2">
        <f>'[1]ישיר מתוקן'!$L317</f>
        <v>1353565</v>
      </c>
      <c r="D313" s="2">
        <f>-1*'[1]ישיר מתוקן'!$M317</f>
        <v>-21205</v>
      </c>
      <c r="E313" s="2">
        <f>'[1]ישיר מתוקן'!$E317</f>
        <v>7941857</v>
      </c>
      <c r="F313" s="2">
        <f>-1*'[1]ישיר מתוקן'!$AF317</f>
        <v>-630222</v>
      </c>
      <c r="G313" s="2">
        <f>'[1]ישיר מתוקן'!$AA317</f>
        <v>66318</v>
      </c>
      <c r="H313" s="2">
        <f>'[1]ישיר מתוקן'!$AD317</f>
        <v>1294242</v>
      </c>
      <c r="I313" s="2">
        <f>-1*'[1]ישיר מתוקן'!$AE317</f>
        <v>-19636</v>
      </c>
      <c r="J313" s="2">
        <f>'[1]ישיר מתוקן'!$W317</f>
        <v>987055</v>
      </c>
    </row>
    <row r="314" spans="1:10" x14ac:dyDescent="0.2">
      <c r="A314" s="26">
        <v>44562</v>
      </c>
      <c r="B314" s="2">
        <f>'[1]ישיר מתוקן'!$K318</f>
        <v>129014</v>
      </c>
      <c r="C314" s="2">
        <f>'[1]ישיר מתוקן'!$L318</f>
        <v>11227330</v>
      </c>
      <c r="D314" s="2">
        <f>-1*'[1]ישיר מתוקן'!$M318</f>
        <v>-42067</v>
      </c>
      <c r="E314" s="2">
        <f>'[1]ישיר מתוקן'!$E318</f>
        <v>15591274</v>
      </c>
      <c r="F314" s="2">
        <f>-1*'[1]ישיר מתוקן'!$AF318</f>
        <v>-1178166</v>
      </c>
      <c r="G314" s="2">
        <f>'[1]ישיר מתוקן'!$AA318</f>
        <v>141139</v>
      </c>
      <c r="H314" s="2">
        <f>'[1]ישיר מתוקן'!$AD318</f>
        <v>1752287</v>
      </c>
      <c r="I314" s="2">
        <f>-1*'[1]ישיר מתוקן'!$AE318</f>
        <v>-76074</v>
      </c>
      <c r="J314" s="2">
        <f>'[1]ישיר מתוקן'!$W318</f>
        <v>2034158</v>
      </c>
    </row>
    <row r="315" spans="1:10" x14ac:dyDescent="0.2">
      <c r="A315" s="26">
        <v>44593</v>
      </c>
      <c r="B315" s="2">
        <f>'[1]ישיר מתוקן'!$K319</f>
        <v>4123523</v>
      </c>
      <c r="C315" s="2">
        <f>'[1]ישיר מתוקן'!$L319</f>
        <v>3152065</v>
      </c>
      <c r="D315" s="2">
        <f>-1*'[1]ישיר מתוקן'!$M319</f>
        <v>-31445</v>
      </c>
      <c r="E315" s="2">
        <f>'[1]ישיר מתוקן'!$E319</f>
        <v>9522011</v>
      </c>
      <c r="F315" s="2">
        <f>-1*'[1]ישיר מתוקן'!$AF319</f>
        <v>-1182774</v>
      </c>
      <c r="G315" s="2">
        <f>'[1]ישיר מתוקן'!$AA319</f>
        <v>54898</v>
      </c>
      <c r="H315" s="2">
        <f>'[1]ישיר מתוקן'!$AD319</f>
        <v>426579</v>
      </c>
      <c r="I315" s="2">
        <f>-1*'[1]ישיר מתוקן'!$AE319</f>
        <v>-20147</v>
      </c>
      <c r="J315" s="2">
        <f>'[1]ישיר מתוקן'!$W319</f>
        <v>698886</v>
      </c>
    </row>
    <row r="316" spans="1:10" x14ac:dyDescent="0.2">
      <c r="A316" s="26">
        <v>44621</v>
      </c>
      <c r="B316" s="2">
        <f>'[1]ישיר מתוקן'!$K320</f>
        <v>4275519</v>
      </c>
      <c r="C316" s="2">
        <f>'[1]ישיר מתוקן'!$L320</f>
        <v>1766362</v>
      </c>
      <c r="D316" s="2">
        <f>-1*'[1]ישיר מתוקן'!$M320</f>
        <v>-44844</v>
      </c>
      <c r="E316" s="2">
        <f>'[1]ישיר מתוקן'!$E320</f>
        <v>8591023</v>
      </c>
      <c r="F316" s="2">
        <f>-1*'[1]ישיר מתוקן'!$AF320</f>
        <v>-1075300</v>
      </c>
      <c r="G316" s="2">
        <f>'[1]ישיר מתוקן'!$AA320</f>
        <v>57316</v>
      </c>
      <c r="H316" s="2">
        <f>'[1]ישיר מתוקן'!$AD320</f>
        <v>464662</v>
      </c>
      <c r="I316" s="2">
        <f>-1*'[1]ישיר מתוקן'!$AE320</f>
        <v>-180354</v>
      </c>
      <c r="J316" s="2">
        <f>'[1]ישיר מתוקן'!$W320</f>
        <v>914658</v>
      </c>
    </row>
    <row r="317" spans="1:10" x14ac:dyDescent="0.2">
      <c r="A317" s="26">
        <v>44652</v>
      </c>
      <c r="B317" s="2">
        <f>'[1]ישיר מתוקן'!$K321</f>
        <v>4646805</v>
      </c>
      <c r="C317" s="2">
        <f>'[1]ישיר מתוקן'!$L321</f>
        <v>1465016</v>
      </c>
      <c r="D317" s="2">
        <f>-1*'[1]ישיר מתוקן'!$M321</f>
        <v>-27673</v>
      </c>
      <c r="E317" s="2">
        <f>'[1]ישיר מתוקן'!$E321</f>
        <v>8173492</v>
      </c>
      <c r="F317" s="2">
        <f>-1*'[1]ישיר מתוקן'!$AF321</f>
        <v>-696078</v>
      </c>
      <c r="G317" s="2">
        <f>'[1]ישיר מתוקן'!$AA321</f>
        <v>63151</v>
      </c>
      <c r="H317" s="2">
        <f>'[1]ישיר מתוקן'!$AD321</f>
        <v>457053</v>
      </c>
      <c r="I317" s="2">
        <f>-1*'[1]ישיר מתוקן'!$AE321</f>
        <v>-17888</v>
      </c>
      <c r="J317" s="2">
        <f>'[1]ישיר מתוקן'!$W321</f>
        <v>1010670</v>
      </c>
    </row>
    <row r="318" spans="1:10" x14ac:dyDescent="0.2">
      <c r="A318" s="26">
        <v>44682</v>
      </c>
      <c r="B318" s="2">
        <f>'[1]ישיר מתוקן'!$K322</f>
        <v>4883547</v>
      </c>
      <c r="C318" s="2">
        <f>'[1]ישיר מתוקן'!$L322</f>
        <v>1468767</v>
      </c>
      <c r="D318" s="2">
        <f>-1*'[1]ישיר מתוקן'!$M322</f>
        <v>-16668</v>
      </c>
      <c r="E318" s="2">
        <f>'[1]ישיר מתוקן'!$E322</f>
        <v>8849967</v>
      </c>
      <c r="F318" s="2">
        <f>-1*'[1]ישיר מתוקן'!$AF322</f>
        <v>-865917</v>
      </c>
      <c r="G318" s="2">
        <f>'[1]ישיר מתוקן'!$AA322</f>
        <v>66317</v>
      </c>
      <c r="H318" s="2">
        <f>'[1]ישיר מתוקן'!$AD322</f>
        <v>476314</v>
      </c>
      <c r="I318" s="2">
        <f>-1*'[1]ישיר מתוקן'!$AE322</f>
        <v>-27631</v>
      </c>
      <c r="J318" s="2">
        <f>'[1]ישיר מתוקן'!$W322</f>
        <v>990741</v>
      </c>
    </row>
    <row r="319" spans="1:10" x14ac:dyDescent="0.2">
      <c r="A319" s="26">
        <v>44713</v>
      </c>
      <c r="B319" s="2">
        <f>'[1]ישיר מתוקן'!$K323</f>
        <v>4544426</v>
      </c>
      <c r="C319" s="2">
        <f>'[1]ישיר מתוקן'!$L323</f>
        <v>1754215</v>
      </c>
      <c r="D319" s="2">
        <f>-1*'[1]ישיר מתוקן'!$M323</f>
        <v>-19109</v>
      </c>
      <c r="E319" s="2">
        <f>'[1]ישיר מתוקן'!$E323</f>
        <v>8679657</v>
      </c>
      <c r="F319" s="2">
        <f>-1*'[1]ישיר מתוקן'!$AF323</f>
        <v>-663161</v>
      </c>
      <c r="G319" s="2">
        <f>'[1]ישיר מתוקן'!$AA323</f>
        <v>58941</v>
      </c>
      <c r="H319" s="2">
        <f>'[1]ישיר מתוקן'!$AD323</f>
        <v>550393</v>
      </c>
      <c r="I319" s="2">
        <f>-1*'[1]ישיר מתוקן'!$AE323</f>
        <v>-16232</v>
      </c>
      <c r="J319" s="2">
        <f>'[1]ישיר מתוקן'!$W323</f>
        <v>806304</v>
      </c>
    </row>
    <row r="320" spans="1:10" x14ac:dyDescent="0.2">
      <c r="A320" s="26">
        <v>44743</v>
      </c>
      <c r="B320" s="2">
        <f>'[1]ישיר מתוקן'!$K324</f>
        <v>4809511</v>
      </c>
      <c r="C320" s="2">
        <f>'[1]ישיר מתוקן'!$L324</f>
        <v>1514166</v>
      </c>
      <c r="D320" s="2">
        <f>-1*'[1]ישיר מתוקן'!$M324</f>
        <v>-30163</v>
      </c>
      <c r="E320" s="2">
        <f>'[1]ישיר מתוקן'!$E324</f>
        <v>9341739</v>
      </c>
      <c r="F320" s="2">
        <f>-1*'[1]ישיר מתוקן'!$AF324</f>
        <v>-656786</v>
      </c>
      <c r="G320" s="2">
        <f>'[1]ישיר מתוקן'!$AA324</f>
        <v>74823</v>
      </c>
      <c r="H320" s="2">
        <f>'[1]ישיר מתוקן'!$AD324</f>
        <v>525156</v>
      </c>
      <c r="I320" s="2">
        <f>-1*'[1]ישיר מתוקן'!$AE324</f>
        <v>-29573</v>
      </c>
      <c r="J320" s="2">
        <f>'[1]ישיר מתוקן'!$W324</f>
        <v>926382</v>
      </c>
    </row>
    <row r="321" spans="1:10" x14ac:dyDescent="0.2">
      <c r="A321" s="26">
        <v>44774</v>
      </c>
      <c r="B321" s="2">
        <f>'[1]ישיר מתוקן'!$K325</f>
        <v>4747589</v>
      </c>
      <c r="C321" s="2">
        <f>'[1]ישיר מתוקן'!$L325</f>
        <v>1517760</v>
      </c>
      <c r="D321" s="2">
        <f>-1*'[1]ישיר מתוקן'!$M325</f>
        <v>-39024</v>
      </c>
      <c r="E321" s="2">
        <f>'[1]ישיר מתוקן'!$E325</f>
        <v>9105467</v>
      </c>
      <c r="F321" s="2">
        <f>-1*'[1]ישיר מתוקן'!$AF325</f>
        <v>-644484</v>
      </c>
      <c r="G321" s="2">
        <f>'[1]ישיר מתוקן'!$AA325</f>
        <v>71577</v>
      </c>
      <c r="H321" s="2">
        <f>'[1]ישיר מתוקן'!$AD325</f>
        <v>519057</v>
      </c>
      <c r="I321" s="2">
        <f>-1*'[1]ישיר מתוקן'!$AE325</f>
        <v>-22432</v>
      </c>
      <c r="J321" s="2">
        <f>'[1]ישיר מתוקן'!$W325</f>
        <v>947201</v>
      </c>
    </row>
    <row r="322" spans="1:10" x14ac:dyDescent="0.2">
      <c r="A322" s="26">
        <v>44805</v>
      </c>
      <c r="B322" s="2">
        <f>'[1]ישיר מתוקן'!$K326</f>
        <v>4604888</v>
      </c>
      <c r="C322" s="2">
        <f>'[1]ישיר מתוקן'!$L326</f>
        <v>1202519</v>
      </c>
      <c r="D322" s="2">
        <f>-1*'[1]ישיר מתוקן'!$M326</f>
        <v>-14110</v>
      </c>
      <c r="E322" s="2">
        <f>'[1]ישיר מתוקן'!$E326</f>
        <v>8309948</v>
      </c>
      <c r="F322" s="2">
        <f>-1*'[1]ישיר מתוקן'!$AF326</f>
        <v>-385716</v>
      </c>
      <c r="G322" s="2">
        <f>'[1]ישיר מתוקן'!$AA326</f>
        <v>66616</v>
      </c>
      <c r="H322" s="2">
        <f>'[1]ישיר מתוקן'!$AD326</f>
        <v>543144</v>
      </c>
      <c r="I322" s="2">
        <f>-1*'[1]ישיר מתוקן'!$AE326</f>
        <v>-37193</v>
      </c>
      <c r="J322" s="2">
        <f>'[1]ישיר מתוקן'!$W326</f>
        <v>863570</v>
      </c>
    </row>
    <row r="323" spans="1:10" x14ac:dyDescent="0.2">
      <c r="A323" s="26">
        <v>44835</v>
      </c>
      <c r="B323" s="2">
        <f>'[1]ישיר מתוקן'!$K327</f>
        <v>5013192</v>
      </c>
      <c r="C323" s="2">
        <f>'[1]ישיר מתוקן'!$L327</f>
        <v>1684970</v>
      </c>
      <c r="D323" s="2">
        <f>-1*'[1]ישיר מתוקן'!$M327</f>
        <v>-20176</v>
      </c>
      <c r="E323" s="2">
        <f>'[1]ישיר מתוקן'!$E327</f>
        <v>8256197</v>
      </c>
      <c r="F323" s="2">
        <f>-1*'[1]ישיר מתוקן'!$AF327</f>
        <v>-388720</v>
      </c>
      <c r="G323" s="2">
        <f>'[1]ישיר מתוקן'!$AA327</f>
        <v>71313</v>
      </c>
      <c r="H323" s="2">
        <f>'[1]ישיר מתוקן'!$AD327</f>
        <v>781717</v>
      </c>
      <c r="I323" s="2">
        <f>-1*'[1]ישיר מתוקן'!$AE327</f>
        <v>-18414</v>
      </c>
      <c r="J323" s="2">
        <f>'[1]ישיר מתוקן'!$W327</f>
        <v>670748</v>
      </c>
    </row>
    <row r="324" spans="1:10" x14ac:dyDescent="0.2">
      <c r="A324" s="26">
        <v>44866</v>
      </c>
      <c r="B324" s="2">
        <f>'[1]ישיר מתוקן'!$K328</f>
        <v>4760638</v>
      </c>
      <c r="C324" s="2">
        <f>'[1]ישיר מתוקן'!$L328</f>
        <v>1325908</v>
      </c>
      <c r="D324" s="2">
        <f>-1*'[1]ישיר מתוקן'!$M328</f>
        <v>-25867</v>
      </c>
      <c r="E324" s="2">
        <f>'[1]ישיר מתוקן'!$E328</f>
        <v>8740807</v>
      </c>
      <c r="F324" s="2">
        <f>-1*'[1]ישיר מתוקן'!$AF328</f>
        <v>-752829</v>
      </c>
      <c r="G324" s="2">
        <f>'[1]ישיר מתוקן'!$AA328</f>
        <v>80759</v>
      </c>
      <c r="H324" s="2">
        <f>'[1]ישיר מתוקן'!$AD328</f>
        <v>479323</v>
      </c>
      <c r="I324" s="2">
        <f>-1*'[1]ישיר מתוקן'!$AE328</f>
        <v>-24822</v>
      </c>
      <c r="J324" s="2">
        <f>'[1]ישיר מתוקן'!$W328</f>
        <v>728768</v>
      </c>
    </row>
    <row r="325" spans="1:10" x14ac:dyDescent="0.2">
      <c r="A325" s="26">
        <v>44896</v>
      </c>
      <c r="B325" s="2">
        <f>'[1]ישיר מתוקן'!$K329</f>
        <v>3358660</v>
      </c>
      <c r="C325" s="2">
        <f>'[1]ישיר מתוקן'!$L329</f>
        <v>2012103</v>
      </c>
      <c r="D325" s="2">
        <f>-1*'[1]ישיר מתוקן'!$M329</f>
        <v>-426356</v>
      </c>
      <c r="E325" s="2">
        <f>'[1]ישיר מתוקן'!$E329</f>
        <v>7483835</v>
      </c>
      <c r="F325" s="2">
        <f>-1*'[1]ישיר מתוקן'!$AF329</f>
        <v>-751636</v>
      </c>
      <c r="G325" s="2">
        <f>'[1]ישיר מתוקן'!$AA329</f>
        <v>88232</v>
      </c>
      <c r="H325" s="2">
        <f>'[1]ישיר מתוקן'!$AD329</f>
        <v>864398</v>
      </c>
      <c r="I325" s="2">
        <f>-1*'[1]ישיר מתוקן'!$AE329</f>
        <v>-26714</v>
      </c>
      <c r="J325" s="2">
        <f>'[1]ישיר מתוקן'!$W329</f>
        <v>1218828</v>
      </c>
    </row>
    <row r="326" spans="1:10" x14ac:dyDescent="0.2">
      <c r="A326" s="26">
        <v>44927</v>
      </c>
      <c r="B326" s="2">
        <f>'[1]ישיר מתוקן'!$K330</f>
        <v>194369</v>
      </c>
      <c r="C326" s="2">
        <f>'[1]ישיר מתוקן'!$L330</f>
        <v>10984418</v>
      </c>
      <c r="D326" s="2">
        <f>-1*'[1]ישיר מתוקן'!$M330</f>
        <v>-27516</v>
      </c>
      <c r="E326" s="2">
        <f>'[1]ישיר מתוקן'!$E330</f>
        <v>15113003</v>
      </c>
      <c r="F326" s="2">
        <f>-1*'[1]ישיר מתוקן'!$AF330</f>
        <v>-1568762</v>
      </c>
      <c r="G326" s="2">
        <f>'[1]ישיר מתוקן'!$AA330</f>
        <v>182784</v>
      </c>
      <c r="H326" s="2">
        <f>'[1]ישיר מתוקן'!$AD330</f>
        <v>1800748</v>
      </c>
      <c r="I326" s="2">
        <f>-1*'[1]ישיר מתוקן'!$AE330</f>
        <v>-54153</v>
      </c>
      <c r="J326" s="2">
        <f>'[1]ישיר מתוקן'!$W330</f>
        <v>1433992</v>
      </c>
    </row>
    <row r="327" spans="1:10" x14ac:dyDescent="0.2">
      <c r="A327" s="26">
        <v>44958</v>
      </c>
      <c r="B327" s="2">
        <f>'[1]ישיר מתוקן'!$K331</f>
        <v>4255284</v>
      </c>
      <c r="C327" s="2">
        <f>'[1]ישיר מתוקן'!$L331</f>
        <v>2561752</v>
      </c>
      <c r="D327" s="2">
        <f>-1*'[1]ישיר מתוקן'!$M331</f>
        <v>-45682</v>
      </c>
      <c r="E327" s="2">
        <f>'[1]ישיר מתוקן'!$E331</f>
        <v>8963137</v>
      </c>
      <c r="F327" s="2">
        <f>-1*'[1]ישיר מתוקן'!$AF331</f>
        <v>-943266</v>
      </c>
      <c r="G327" s="2">
        <f>'[1]ישיר מתוקן'!$AA331</f>
        <v>60061</v>
      </c>
      <c r="H327" s="2">
        <f>'[1]ישיר מתוקן'!$AD331</f>
        <v>402157</v>
      </c>
      <c r="I327" s="2">
        <f>-1*'[1]ישיר מתוקן'!$AE331</f>
        <v>-21841</v>
      </c>
      <c r="J327" s="2">
        <f>'[1]ישיר מתוקן'!$W331</f>
        <v>854555</v>
      </c>
    </row>
    <row r="328" spans="1:10" x14ac:dyDescent="0.2">
      <c r="A328" s="26">
        <v>44986</v>
      </c>
      <c r="B328" s="2">
        <f>'[1]ישיר מתוקן'!$K332</f>
        <v>4707755</v>
      </c>
      <c r="C328" s="2">
        <f>'[1]ישיר מתוקן'!$L332</f>
        <v>1736162</v>
      </c>
      <c r="D328" s="2">
        <f>-1*'[1]ישיר מתוקן'!$M332</f>
        <v>-82587</v>
      </c>
      <c r="E328" s="2">
        <f>'[1]ישיר מתוקן'!$E332</f>
        <v>9048275</v>
      </c>
      <c r="F328" s="2">
        <f>-1*'[1]ישיר מתוקן'!$AF332</f>
        <v>-1144726</v>
      </c>
      <c r="G328" s="2">
        <f>'[1]ישיר מתוקן'!$AA332</f>
        <v>71584</v>
      </c>
      <c r="H328" s="2">
        <f>'[1]ישיר מתוקן'!$AD332</f>
        <v>427636</v>
      </c>
      <c r="I328" s="2">
        <f>-1*'[1]ישיר מתוקן'!$AE332</f>
        <v>-34085</v>
      </c>
      <c r="J328" s="2">
        <f>'[1]ישיר מתוקן'!$W332</f>
        <v>868841</v>
      </c>
    </row>
    <row r="329" spans="1:10" x14ac:dyDescent="0.2">
      <c r="A329" s="26">
        <v>45017</v>
      </c>
      <c r="B329" s="2">
        <f>'[1]ישיר מתוקן'!$K333</f>
        <v>5166366</v>
      </c>
      <c r="C329" s="2">
        <f>'[1]ישיר מתוקן'!$L333</f>
        <v>874992</v>
      </c>
      <c r="D329" s="2">
        <f>-1*'[1]ישיר מתוקן'!$M333</f>
        <v>-16293</v>
      </c>
      <c r="E329" s="2">
        <f>'[1]ישיר מתוקן'!$E333</f>
        <v>7807375</v>
      </c>
      <c r="F329" s="2">
        <f>-1*'[1]ישיר מתוקן'!$AF333</f>
        <v>-935620</v>
      </c>
      <c r="G329" s="2">
        <f>'[1]ישיר מתוקן'!$AA333</f>
        <v>71022</v>
      </c>
      <c r="H329" s="2">
        <f>'[1]ישיר מתוקן'!$AD333</f>
        <v>380435</v>
      </c>
      <c r="I329" s="2">
        <f>-1*'[1]ישיר מתוקן'!$AE333</f>
        <v>-25439</v>
      </c>
      <c r="J329" s="2">
        <f>'[1]ישיר מתוקן'!$W333</f>
        <v>967825</v>
      </c>
    </row>
    <row r="330" spans="1:10" x14ac:dyDescent="0.2">
      <c r="A330" s="26">
        <v>45047</v>
      </c>
      <c r="B330" s="2">
        <f>'[1]ישיר מתוקן'!$K334</f>
        <v>4935030</v>
      </c>
      <c r="C330" s="2">
        <f>'[1]ישיר מתוקן'!$L334</f>
        <v>1117146</v>
      </c>
      <c r="D330" s="2">
        <f>-1*'[1]ישיר מתוקן'!$M334</f>
        <v>-139001</v>
      </c>
      <c r="E330" s="2">
        <f>'[1]ישיר מתוקן'!$E334</f>
        <v>8660481</v>
      </c>
      <c r="F330" s="2">
        <f>-1*'[1]ישיר מתוקן'!$AF334</f>
        <v>-1340228</v>
      </c>
      <c r="G330" s="2">
        <f>'[1]ישיר מתוקן'!$AA334</f>
        <v>70291</v>
      </c>
      <c r="H330" s="2">
        <f>'[1]ישיר מתוקן'!$AD334</f>
        <v>1025759</v>
      </c>
      <c r="I330" s="2">
        <f>-1*'[1]ישיר מתוקן'!$AE334</f>
        <v>-21818</v>
      </c>
      <c r="J330" s="2">
        <f>'[1]ישיר מתוקן'!$W334</f>
        <v>880169</v>
      </c>
    </row>
    <row r="331" spans="1:10" x14ac:dyDescent="0.2">
      <c r="A331" s="26">
        <v>45078</v>
      </c>
      <c r="B331" s="2">
        <f>'[1]ישיר מתוקן'!$K335</f>
        <v>4953706</v>
      </c>
      <c r="C331" s="2">
        <f>'[1]ישיר מתוקן'!$L335</f>
        <v>1161307</v>
      </c>
      <c r="D331" s="2">
        <f>-1*'[1]ישיר מתוקן'!$M335</f>
        <v>-34569</v>
      </c>
      <c r="E331" s="2">
        <f>'[1]ישיר מתוקן'!$E335</f>
        <v>8059163</v>
      </c>
      <c r="F331" s="2">
        <f>-1*'[1]ישיר מתוקן'!$AF335</f>
        <v>-902006</v>
      </c>
      <c r="G331" s="2">
        <f>'[1]ישיר מתוקן'!$AA335</f>
        <v>62554</v>
      </c>
      <c r="H331" s="2">
        <f>'[1]ישיר מתוקן'!$AD335</f>
        <v>526625</v>
      </c>
      <c r="I331" s="2">
        <f>-1*'[1]ישיר מתוקן'!$AE335</f>
        <v>-16971</v>
      </c>
      <c r="J331" s="2">
        <f>'[1]ישיר מתוקן'!$W335</f>
        <v>1064405</v>
      </c>
    </row>
    <row r="332" spans="1:10" x14ac:dyDescent="0.2">
      <c r="A332" s="26">
        <v>45108</v>
      </c>
      <c r="B332" s="2">
        <f>'[1]ישיר מתוקן'!$K336</f>
        <v>5051722</v>
      </c>
      <c r="C332" s="2">
        <f>'[1]ישיר מתוקן'!$L336</f>
        <v>1248479</v>
      </c>
      <c r="D332" s="2">
        <f>-1*'[1]ישיר מתוקן'!$M336</f>
        <v>-14220</v>
      </c>
      <c r="E332" s="2">
        <f>'[1]ישיר מתוקן'!$E336</f>
        <v>8943886</v>
      </c>
      <c r="F332" s="2">
        <f>-1*'[1]ישיר מתוקן'!$AF336</f>
        <v>-1044882</v>
      </c>
      <c r="G332" s="2">
        <f>'[1]ישיר מתוקן'!$AA336</f>
        <v>80344</v>
      </c>
      <c r="H332" s="2">
        <f>'[1]ישיר מתוקן'!$AD336</f>
        <v>478989</v>
      </c>
      <c r="I332" s="2">
        <f>-1*'[1]ישיר מתוקן'!$AE336</f>
        <v>-24777</v>
      </c>
      <c r="J332" s="2">
        <f>'[1]ישיר מתוקן'!$W336</f>
        <v>1002487</v>
      </c>
    </row>
    <row r="333" spans="1:10" x14ac:dyDescent="0.2">
      <c r="A333" s="26">
        <v>45139</v>
      </c>
      <c r="B333" s="2">
        <f>'[1]ישיר מתוקן'!$K337</f>
        <v>4894188</v>
      </c>
      <c r="C333" s="2">
        <f>'[1]ישיר מתוקן'!$L337</f>
        <v>966133</v>
      </c>
      <c r="D333" s="2">
        <f>-1*'[1]ישיר מתוקן'!$M337</f>
        <v>-14149</v>
      </c>
      <c r="E333" s="2">
        <f>'[1]ישיר מתוקן'!$E337</f>
        <v>8049252</v>
      </c>
      <c r="F333" s="2">
        <f>-1*'[1]ישיר מתוקן'!$AF337</f>
        <v>-885314</v>
      </c>
      <c r="G333" s="2">
        <f>'[1]ישיר מתוקן'!$AA337</f>
        <v>78234</v>
      </c>
      <c r="H333" s="2">
        <f>'[1]ישיר מתוקן'!$AD337</f>
        <v>544661</v>
      </c>
      <c r="I333" s="2">
        <f>-1*'[1]ישיר מתוקן'!$AE337</f>
        <v>-22636</v>
      </c>
      <c r="J333" s="2">
        <f>'[1]ישיר מתוקן'!$W337</f>
        <v>846684</v>
      </c>
    </row>
    <row r="334" spans="1:10" x14ac:dyDescent="0.2">
      <c r="A334" s="26">
        <v>45170</v>
      </c>
      <c r="B334" s="2">
        <f>'[1]ישיר מתוקן'!$K338</f>
        <v>4664712</v>
      </c>
      <c r="C334" s="2">
        <f>'[1]ישיר מתוקן'!$L338</f>
        <v>902483</v>
      </c>
      <c r="D334" s="2">
        <f>-1*'[1]ישיר מתוקן'!$M338</f>
        <v>-14404</v>
      </c>
      <c r="E334" s="2">
        <f>'[1]ישיר מתוקן'!$E338</f>
        <v>7902978</v>
      </c>
      <c r="F334" s="2">
        <f>-1*'[1]ישיר מתוקן'!$AF338</f>
        <v>-689349</v>
      </c>
      <c r="G334" s="2">
        <f>'[1]ישיר מתוקן'!$AA338</f>
        <v>79036</v>
      </c>
      <c r="H334" s="2">
        <f>'[1]ישיר מתוקן'!$AD338</f>
        <v>401522</v>
      </c>
      <c r="I334" s="2">
        <f>-1*'[1]ישיר מתוקן'!$AE338</f>
        <v>-16513</v>
      </c>
      <c r="J334" s="2">
        <f>'[1]ישיר מתוקן'!$W338</f>
        <v>1328066</v>
      </c>
    </row>
    <row r="335" spans="1:10" x14ac:dyDescent="0.2">
      <c r="A335" s="26">
        <v>45200</v>
      </c>
      <c r="B335" s="2">
        <f>'[1]ישיר מתוקן'!$K339</f>
        <v>4407866</v>
      </c>
      <c r="C335" s="2">
        <f>'[1]ישיר מתוקן'!$L339</f>
        <v>594090</v>
      </c>
      <c r="D335" s="2">
        <f>-1*'[1]ישיר מתוקן'!$M339</f>
        <v>-30495</v>
      </c>
      <c r="E335" s="2">
        <f>'[1]ישיר מתוקן'!$E339</f>
        <v>6569939</v>
      </c>
      <c r="F335" s="2">
        <f>-1*'[1]ישיר מתוקן'!$AF339</f>
        <v>-1290498</v>
      </c>
      <c r="G335" s="2">
        <f>'[1]ישיר מתוקן'!$AA339</f>
        <v>69775</v>
      </c>
      <c r="H335" s="2">
        <f>'[1]ישיר מתוקן'!$AD339</f>
        <v>538901</v>
      </c>
      <c r="I335" s="2">
        <f>-1*'[1]ישיר מתוקן'!$AE339</f>
        <v>-37710</v>
      </c>
      <c r="J335" s="2">
        <f>'[1]ישיר מתוקן'!$W339</f>
        <v>785182</v>
      </c>
    </row>
    <row r="336" spans="1:10" x14ac:dyDescent="0.2">
      <c r="A336" s="26">
        <v>45231</v>
      </c>
      <c r="B336" s="2">
        <f>'[1]ישיר מתוקן'!$K340</f>
        <v>4114309</v>
      </c>
      <c r="C336" s="2">
        <f>'[1]ישיר מתוקן'!$L340</f>
        <v>603796</v>
      </c>
      <c r="D336" s="2">
        <f>-1*'[1]ישיר מתוקן'!$M340</f>
        <v>-27556</v>
      </c>
      <c r="E336" s="2">
        <f>'[1]ישיר מתוקן'!$E340</f>
        <v>6673722</v>
      </c>
      <c r="F336" s="2">
        <f>-1*'[1]ישיר מתוקן'!$AF340</f>
        <v>-914958</v>
      </c>
      <c r="G336" s="2">
        <f>'[1]ישיר מתוקן'!$AA340</f>
        <v>78998</v>
      </c>
      <c r="H336" s="2">
        <f>'[1]ישיר מתוקן'!$AD340</f>
        <v>440997</v>
      </c>
      <c r="I336" s="2">
        <f>-1*'[1]ישיר מתוקן'!$AE340</f>
        <v>-17203</v>
      </c>
      <c r="J336" s="2">
        <f>'[1]ישיר מתוקן'!$W340</f>
        <v>1122623</v>
      </c>
    </row>
    <row r="337" spans="1:10" x14ac:dyDescent="0.2">
      <c r="A337" s="26">
        <v>45261</v>
      </c>
      <c r="B337" s="2">
        <f>'[1]ישיר מתוקן'!$K341</f>
        <v>3395907</v>
      </c>
      <c r="C337" s="2">
        <f>'[1]ישיר מתוקן'!$L341</f>
        <v>1989492</v>
      </c>
      <c r="D337" s="2">
        <f>-1*'[1]ישיר מתוקן'!$M341</f>
        <v>-23484</v>
      </c>
      <c r="E337" s="2">
        <f>'[1]ישיר מתוקן'!$E341</f>
        <v>7269444</v>
      </c>
      <c r="F337" s="2">
        <f>-1*'[1]ישיר מתוקן'!$AF341</f>
        <v>-744526</v>
      </c>
      <c r="G337" s="2">
        <f>'[1]ישיר מתוקן'!$AA341</f>
        <v>76509</v>
      </c>
      <c r="H337" s="2">
        <f>'[1]ישיר מתוקן'!$AD341</f>
        <v>793379</v>
      </c>
      <c r="I337" s="2">
        <f>-1*'[1]ישיר מתוקן'!$AE341</f>
        <v>-34067</v>
      </c>
      <c r="J337" s="2">
        <f>'[1]ישיר מתוקן'!$W341</f>
        <v>884031</v>
      </c>
    </row>
    <row r="338" spans="1:10" x14ac:dyDescent="0.2">
      <c r="A338" s="26">
        <v>45292</v>
      </c>
      <c r="B338" s="2">
        <f>'[1]ישיר מתוקן'!$K342</f>
        <v>408546</v>
      </c>
      <c r="C338" s="2">
        <f>'[1]ישיר מתוקן'!$L342</f>
        <v>10364371</v>
      </c>
      <c r="D338" s="2">
        <f>-1*'[1]ישיר מתוקן'!$M342</f>
        <v>-59393</v>
      </c>
      <c r="E338" s="2">
        <f>'[1]ישיר מתוקן'!$E342</f>
        <v>14420468</v>
      </c>
      <c r="F338" s="2">
        <f>-1*'[1]ישיר מתוקן'!$AF342</f>
        <v>-1233617</v>
      </c>
      <c r="G338" s="2">
        <f>'[1]ישיר מתוקן'!$AA342</f>
        <v>167069</v>
      </c>
      <c r="H338" s="2">
        <f>'[1]ישיר מתוקן'!$AD342</f>
        <v>1494267</v>
      </c>
      <c r="I338" s="2">
        <f>-1*'[1]ישיר מתוקן'!$AE342</f>
        <v>-52175</v>
      </c>
      <c r="J338" s="2">
        <f>'[1]ישיר מתוקן'!$W342</f>
        <v>1242252</v>
      </c>
    </row>
    <row r="339" spans="1:10" x14ac:dyDescent="0.2">
      <c r="A339" s="26">
        <v>45323</v>
      </c>
      <c r="B339" s="2">
        <f>'[1]ישיר מתוקן'!$K343</f>
        <v>4589345</v>
      </c>
      <c r="C339" s="2">
        <f>'[1]ישיר מתוקן'!$L343</f>
        <v>2133577</v>
      </c>
      <c r="D339" s="2">
        <f>-1*'[1]ישיר מתוקן'!$M343</f>
        <v>-40222</v>
      </c>
      <c r="E339" s="2">
        <f>'[1]ישיר מתוקן'!$E343</f>
        <v>8971095</v>
      </c>
      <c r="F339" s="2">
        <f>-1*'[1]ישיר מתוקן'!$AF343</f>
        <v>-1454577</v>
      </c>
      <c r="G339" s="2">
        <f>'[1]ישיר מתוקן'!$AA343</f>
        <v>65545</v>
      </c>
      <c r="H339" s="2">
        <f>'[1]ישיר מתוקן'!$AD343</f>
        <v>432524</v>
      </c>
      <c r="I339" s="2">
        <f>-1*'[1]ישיר מתוקן'!$AE343</f>
        <v>-24760</v>
      </c>
      <c r="J339" s="2">
        <f>'[1]ישיר מתוקן'!$W343</f>
        <v>888512</v>
      </c>
    </row>
    <row r="340" spans="1:10" x14ac:dyDescent="0.2">
      <c r="A340" s="26">
        <v>45352</v>
      </c>
      <c r="B340" s="2">
        <f>'[1]ישיר מתוקן'!$K344</f>
        <v>4901184</v>
      </c>
      <c r="C340" s="2">
        <f>'[1]ישיר מתוקן'!$L344</f>
        <v>2089590</v>
      </c>
      <c r="D340" s="2">
        <f>-1*'[1]ישיר מתוקן'!$M344</f>
        <v>-38836</v>
      </c>
      <c r="E340" s="2">
        <f>'[1]ישיר מתוקן'!$E344</f>
        <v>9580517</v>
      </c>
      <c r="F340" s="2">
        <f>-1*'[1]ישיר מתוקן'!$AF344</f>
        <v>-1377604</v>
      </c>
      <c r="G340" s="2">
        <f>'[1]ישיר מתוקן'!$AA344</f>
        <v>66362</v>
      </c>
      <c r="H340" s="2">
        <f>'[1]ישיר מתוקן'!$AD344</f>
        <v>509363</v>
      </c>
      <c r="I340" s="2">
        <f>-1*'[1]ישיר מתוקן'!$AE344</f>
        <v>-36310</v>
      </c>
      <c r="J340" s="2">
        <f>'[1]ישיר מתוקן'!$W344</f>
        <v>895312</v>
      </c>
    </row>
    <row r="341" spans="1:10" x14ac:dyDescent="0.2">
      <c r="A341" s="26">
        <v>45383</v>
      </c>
      <c r="B341" s="2">
        <f>'[1]ישיר מתוקן'!$K345</f>
        <v>5273000</v>
      </c>
      <c r="C341" s="2">
        <f>'[1]ישיר מתוקן'!$L345</f>
        <v>1185737</v>
      </c>
      <c r="D341" s="2">
        <f>-1*'[1]ישיר מתוקן'!$M345</f>
        <v>-55820</v>
      </c>
      <c r="E341" s="2">
        <f>'[1]ישיר מתוקן'!$E345</f>
        <v>8345888</v>
      </c>
      <c r="F341" s="2">
        <f>-1*'[1]ישיר מתוקן'!$AF345</f>
        <v>-964630</v>
      </c>
      <c r="G341" s="2">
        <f>'[1]ישיר מתוקן'!$AA345</f>
        <v>70137</v>
      </c>
      <c r="H341" s="2">
        <f>'[1]ישיר מתוקן'!$AD345</f>
        <v>527471</v>
      </c>
      <c r="I341" s="2">
        <f>-1*'[1]ישיר מתוקן'!$AE345</f>
        <v>-8824</v>
      </c>
      <c r="J341" s="2">
        <f>'[1]ישיר מתוקן'!$W345</f>
        <v>908567</v>
      </c>
    </row>
    <row r="342" spans="1:10" x14ac:dyDescent="0.2">
      <c r="A342" s="26">
        <v>45413</v>
      </c>
      <c r="B342" s="2">
        <f>'[1]ישיר מתוקן'!$K346</f>
        <v>5015204</v>
      </c>
      <c r="C342" s="2">
        <f>'[1]ישיר מתוקן'!$L346</f>
        <v>1122945</v>
      </c>
      <c r="D342" s="2">
        <f>-1*'[1]ישיר מתוקן'!$M346</f>
        <v>-79006</v>
      </c>
      <c r="E342" s="2">
        <f>'[1]ישיר מתוקן'!$E346</f>
        <v>9462109</v>
      </c>
      <c r="F342" s="2">
        <f>-1*'[1]ישיר מתוקן'!$AF346</f>
        <v>-1401586</v>
      </c>
      <c r="G342" s="2">
        <f>'[1]ישיר מתוקן'!$AA346</f>
        <v>69526</v>
      </c>
      <c r="H342" s="2">
        <f>'[1]ישיר מתוקן'!$AD346</f>
        <v>678702</v>
      </c>
      <c r="I342" s="2">
        <f>-1*'[1]ישיר מתוקן'!$AE346</f>
        <v>-46724</v>
      </c>
      <c r="J342" s="2">
        <f>'[1]ישיר מתוקן'!$W346</f>
        <v>1681530</v>
      </c>
    </row>
    <row r="343" spans="1:10" x14ac:dyDescent="0.2">
      <c r="A343" s="26">
        <v>45444</v>
      </c>
      <c r="B343" s="2">
        <f>'[1]ישיר מתוקן'!$K347</f>
        <v>5182406</v>
      </c>
      <c r="C343" s="2">
        <f>'[1]ישיר מתוקן'!$L347</f>
        <v>1009733</v>
      </c>
      <c r="D343" s="2">
        <f>-1*'[1]ישיר מתוקן'!$M347</f>
        <v>-39523</v>
      </c>
      <c r="E343" s="2">
        <f>'[1]ישיר מתוקן'!$E347</f>
        <v>8356895</v>
      </c>
      <c r="F343" s="2">
        <f>-1*'[1]ישיר מתוקן'!$AF347</f>
        <v>-1317536</v>
      </c>
      <c r="G343" s="2">
        <f>'[1]ישיר מתוקן'!$AA347</f>
        <v>65570</v>
      </c>
      <c r="H343" s="2">
        <f>'[1]ישיר מתוקן'!$AD347</f>
        <v>523270</v>
      </c>
      <c r="I343" s="2">
        <f>-1*'[1]ישיר מתוקן'!$AE347</f>
        <v>-14475</v>
      </c>
      <c r="J343" s="2">
        <f>'[1]ישיר מתוקן'!$W347</f>
        <v>1296988</v>
      </c>
    </row>
    <row r="344" spans="1:10" x14ac:dyDescent="0.2">
      <c r="A344" s="26">
        <v>45474</v>
      </c>
      <c r="B344" s="2">
        <f>'[1]ישיר מתוקן'!$K348</f>
        <v>5404810</v>
      </c>
      <c r="C344" s="2">
        <f>'[1]ישיר מתוקן'!$L348</f>
        <v>1682662</v>
      </c>
      <c r="D344" s="2">
        <f>-1*'[1]ישיר מתוקן'!$M348</f>
        <v>-51864</v>
      </c>
      <c r="E344" s="2">
        <f>'[1]ישיר מתוקן'!$E348</f>
        <v>9924942</v>
      </c>
      <c r="F344" s="2">
        <f>-1*'[1]ישיר מתוקן'!$AF348</f>
        <v>-2150779</v>
      </c>
      <c r="G344" s="2">
        <f>'[1]ישיר מתוקן'!$AA348</f>
        <v>73475</v>
      </c>
      <c r="H344" s="2">
        <f>'[1]ישיר מתוקן'!$AD348</f>
        <v>600130</v>
      </c>
      <c r="I344" s="2">
        <f>-1*'[1]ישיר מתוקן'!$AE348</f>
        <v>-34027</v>
      </c>
      <c r="J344" s="2">
        <f>'[1]ישיר מתוקן'!$W348</f>
        <v>1028582</v>
      </c>
    </row>
    <row r="345" spans="1:10" x14ac:dyDescent="0.2">
      <c r="A345" s="26">
        <v>45505</v>
      </c>
      <c r="B345" s="2">
        <f>'[1]ישיר מתוקן'!$K349</f>
        <v>5950153</v>
      </c>
      <c r="C345" s="2">
        <f>'[1]ישיר מתוקן'!$L349</f>
        <v>982061</v>
      </c>
      <c r="D345" s="2">
        <f>-1*'[1]ישיר מתוקן'!$M349</f>
        <v>-23306</v>
      </c>
      <c r="E345" s="2">
        <f>'[1]ישיר מתוקן'!$E349</f>
        <v>8881980</v>
      </c>
      <c r="F345" s="2">
        <f>-1*'[1]ישיר מתוקן'!$AF349</f>
        <v>-1008054</v>
      </c>
      <c r="G345" s="2">
        <f>'[1]ישיר מתוקן'!$AA349</f>
        <v>68491</v>
      </c>
      <c r="H345" s="2">
        <f>'[1]ישיר מתוקן'!$AD349</f>
        <v>480431</v>
      </c>
      <c r="I345" s="2">
        <f>-1*'[1]ישיר מתוקן'!$AE349</f>
        <v>-142675</v>
      </c>
      <c r="J345" s="2">
        <f>'[1]ישיר מתוקן'!$W349</f>
        <v>1045465</v>
      </c>
    </row>
    <row r="346" spans="1:10" x14ac:dyDescent="0.2">
      <c r="A346" s="26">
        <v>45536</v>
      </c>
      <c r="B346" s="2">
        <f>'[1]ישיר מתוקן'!$K350</f>
        <v>5696288</v>
      </c>
      <c r="C346" s="2">
        <f>'[1]ישיר מתוקן'!$L350</f>
        <v>982619</v>
      </c>
      <c r="D346" s="2">
        <f>-1*'[1]ישיר מתוקן'!$M350</f>
        <v>-34096</v>
      </c>
      <c r="E346" s="2">
        <f>'[1]ישיר מתוקן'!$E350</f>
        <v>9223729</v>
      </c>
      <c r="F346" s="2">
        <f>-1*'[1]ישיר מתוקן'!$AF350</f>
        <v>-930836</v>
      </c>
      <c r="G346" s="2">
        <f>'[1]ישיר מתוקן'!$AA350</f>
        <v>73949</v>
      </c>
      <c r="H346" s="2">
        <f>'[1]ישיר מתוקן'!$AD350</f>
        <v>403200</v>
      </c>
      <c r="I346" s="2">
        <f>-1*'[1]ישיר מתוקן'!$AE350</f>
        <v>-65201</v>
      </c>
      <c r="J346" s="2">
        <f>'[1]ישיר מתוקן'!$W350</f>
        <v>1139673</v>
      </c>
    </row>
    <row r="347" spans="1:10" x14ac:dyDescent="0.2">
      <c r="A347" s="26">
        <v>45566</v>
      </c>
      <c r="B347" s="2">
        <f>'[1]ישיר מתוקן'!$K351</f>
        <v>5711302</v>
      </c>
      <c r="C347" s="2">
        <f>'[1]ישיר מתוקן'!$L351</f>
        <v>1082246</v>
      </c>
      <c r="D347" s="2">
        <f>-1*'[1]ישיר מתוקן'!$M351</f>
        <v>-10445</v>
      </c>
      <c r="E347" s="2">
        <f>'[1]ישיר מתוקן'!$E351</f>
        <v>8651707</v>
      </c>
      <c r="F347" s="2">
        <f>-1*'[1]ישיר מתוקן'!$AF351</f>
        <v>-653961</v>
      </c>
      <c r="G347" s="2">
        <f>'[1]ישיר מתוקן'!$AA351</f>
        <v>76910</v>
      </c>
      <c r="H347" s="2">
        <f>'[1]ישיר מתוקן'!$AD351</f>
        <v>646700</v>
      </c>
      <c r="I347" s="2">
        <f>-1*'[1]ישיר מתוקן'!$AE351</f>
        <v>-57400</v>
      </c>
      <c r="J347" s="2">
        <f>'[1]ישיר מתוקן'!$W351</f>
        <v>941802</v>
      </c>
    </row>
    <row r="348" spans="1:10" x14ac:dyDescent="0.2">
      <c r="A348" s="26">
        <v>45597</v>
      </c>
      <c r="B348" s="2">
        <f>'[1]ישיר מתוקן'!$K352</f>
        <v>5745659</v>
      </c>
      <c r="C348" s="2">
        <f>'[1]ישיר מתוקן'!$L352</f>
        <v>1152690</v>
      </c>
      <c r="D348" s="2">
        <f>-1*'[1]ישיר מתוקן'!$M352</f>
        <v>-47439</v>
      </c>
      <c r="E348" s="2">
        <f>'[1]ישיר מתוקן'!$E352</f>
        <v>9350523</v>
      </c>
      <c r="F348" s="2">
        <f>-1*'[1]ישיר מתוקן'!$AF352</f>
        <v>-800437</v>
      </c>
      <c r="G348" s="2">
        <f>'[1]ישיר מתוקן'!$AA352</f>
        <v>75819</v>
      </c>
      <c r="H348" s="2">
        <f>'[1]ישיר מתוקן'!$AD352</f>
        <v>631954</v>
      </c>
      <c r="I348" s="2">
        <f>-1*'[1]ישיר מתוקן'!$AE352</f>
        <v>-26476</v>
      </c>
      <c r="J348" s="2">
        <f>'[1]ישיר מתוקן'!$W352</f>
        <v>1226461</v>
      </c>
    </row>
    <row r="349" spans="1:10" x14ac:dyDescent="0.2">
      <c r="A349" s="26">
        <v>45627</v>
      </c>
      <c r="B349" s="2">
        <f>'[1]ישיר מתוקן'!$K353</f>
        <v>3957342</v>
      </c>
      <c r="C349" s="2">
        <f>'[1]ישיר מתוקן'!$L353</f>
        <v>1638644</v>
      </c>
      <c r="D349" s="2">
        <f>-1*'[1]ישיר מתוקן'!$M353</f>
        <v>-23961</v>
      </c>
      <c r="E349" s="2">
        <f>'[1]ישיר מתוקן'!$E353</f>
        <v>8884254</v>
      </c>
      <c r="F349" s="2">
        <f>-1*'[1]ישיר מתוקן'!$AF353</f>
        <v>-1008726</v>
      </c>
      <c r="G349" s="2">
        <f>'[1]ישיר מתוקן'!$AA353</f>
        <v>74085</v>
      </c>
      <c r="H349" s="2">
        <f>'[1]ישיר מתוקן'!$AD353</f>
        <v>1732455</v>
      </c>
      <c r="I349" s="2">
        <f>-1*'[1]ישיר מתוקן'!$AE353</f>
        <v>-40451</v>
      </c>
      <c r="J349" s="2">
        <f>'[1]ישיר מתוקן'!$W353</f>
        <v>1440230</v>
      </c>
    </row>
    <row r="350" spans="1:10" x14ac:dyDescent="0.2">
      <c r="A350" s="26">
        <v>45658</v>
      </c>
      <c r="B350" s="2">
        <f>'[1]ישיר מתוקן'!$K354</f>
        <v>143947</v>
      </c>
      <c r="C350" s="2">
        <f>'[1]ישיר מתוקן'!$L354</f>
        <v>13346483</v>
      </c>
      <c r="D350" s="2">
        <f>-1*'[1]ישיר מתוקן'!$M354</f>
        <v>-48446</v>
      </c>
      <c r="E350" s="2">
        <f>'[1]ישיר מתוקן'!$E354</f>
        <v>18925524</v>
      </c>
      <c r="F350" s="2">
        <f>-1*'[1]ישיר מתוקן'!$AF354</f>
        <v>-1534989</v>
      </c>
      <c r="G350" s="2">
        <f>'[1]ישיר מתוקן'!$AA354</f>
        <v>164217</v>
      </c>
      <c r="H350" s="2">
        <f>'[1]ישיר מתוקן'!$AD354</f>
        <v>8251756</v>
      </c>
      <c r="I350" s="2">
        <f>-1*'[1]ישיר מתוקן'!$AE354</f>
        <v>-232575</v>
      </c>
      <c r="J350" s="2">
        <f>'[1]ישיר מתוקן'!$W354</f>
        <v>2679560</v>
      </c>
    </row>
    <row r="351" spans="1:10" x14ac:dyDescent="0.2">
      <c r="A351" s="26">
        <v>45689</v>
      </c>
      <c r="B351" s="2">
        <f>'[1]ישיר מתוקן'!$K355</f>
        <v>5611330</v>
      </c>
      <c r="C351" s="2">
        <f>'[1]ישיר מתוקן'!$L355</f>
        <v>3385405</v>
      </c>
      <c r="D351" s="2">
        <f>-1*'[1]ישיר מתוקן'!$M355</f>
        <v>-124425</v>
      </c>
      <c r="E351" s="2">
        <f>'[1]ישיר מתוקן'!$E355</f>
        <v>11416656</v>
      </c>
      <c r="F351" s="2">
        <f>-1*'[1]ישיר מתוקן'!$AF355</f>
        <v>-1624158</v>
      </c>
      <c r="G351" s="2">
        <f>'[1]ישיר מתוקן'!$AA355</f>
        <v>69040</v>
      </c>
      <c r="H351" s="2">
        <f>'[1]ישיר מתוקן'!$AD355</f>
        <v>283276</v>
      </c>
      <c r="I351" s="2">
        <f>-1*'[1]ישיר מתוקן'!$AE355</f>
        <v>-388074</v>
      </c>
      <c r="J351" s="2">
        <f>'[1]ישיר מתוקן'!$W355</f>
        <v>1143008</v>
      </c>
    </row>
    <row r="352" spans="1:10" x14ac:dyDescent="0.2">
      <c r="A352" s="26">
        <v>45717</v>
      </c>
      <c r="B352" s="2">
        <f>'[1]ישיר מתוקן'!$K356</f>
        <v>6560699</v>
      </c>
      <c r="C352" s="2">
        <f>'[1]ישיר מתוקן'!$L356</f>
        <v>1584520</v>
      </c>
      <c r="D352" s="2">
        <f>-1*'[1]ישיר מתוקן'!$M356</f>
        <v>-25247</v>
      </c>
      <c r="E352" s="2">
        <f>'[1]ישיר מתוקן'!$E356</f>
        <v>10970388</v>
      </c>
      <c r="F352" s="2">
        <f>-1*'[1]ישיר מתוקן'!$AF356</f>
        <v>-2167639</v>
      </c>
      <c r="G352" s="2">
        <f>'[1]ישיר מתוקן'!$AA356</f>
        <v>69986</v>
      </c>
      <c r="H352" s="2">
        <f>'[1]ישיר מתוקן'!$AD356</f>
        <v>263867</v>
      </c>
      <c r="I352" s="2">
        <f>-1*'[1]ישיר מתוקן'!$AE356</f>
        <v>-44417</v>
      </c>
      <c r="J352" s="2">
        <f>'[1]ישיר מתוקן'!$W356</f>
        <v>1470596</v>
      </c>
    </row>
    <row r="353" spans="1:10" x14ac:dyDescent="0.2">
      <c r="A353" s="26">
        <v>45748</v>
      </c>
      <c r="B353" s="2">
        <f>'[1]ישיר מתוקן'!$K357</f>
        <v>6064521</v>
      </c>
      <c r="C353" s="2">
        <f>'[1]ישיר מתוקן'!$L357</f>
        <v>1399580</v>
      </c>
      <c r="D353" s="2">
        <f>-1*'[1]ישיר מתוקן'!$M357</f>
        <v>-14445</v>
      </c>
      <c r="E353" s="2">
        <f>'[1]ישיר מתוקן'!$E357</f>
        <v>9222039</v>
      </c>
      <c r="F353" s="2">
        <f>-1*'[1]ישיר מתוקן'!$AF357</f>
        <v>-1126780</v>
      </c>
      <c r="G353" s="2">
        <f>'[1]ישיר מתוקן'!$AA357</f>
        <v>74079</v>
      </c>
      <c r="H353" s="2">
        <f>'[1]ישיר מתוקן'!$AD357</f>
        <v>350890</v>
      </c>
      <c r="I353" s="2">
        <f>-1*'[1]ישיר מתוקן'!$AE357</f>
        <v>-29642</v>
      </c>
      <c r="J353" s="2">
        <f>'[1]ישיר מתוקן'!$W357</f>
        <v>1675980</v>
      </c>
    </row>
    <row r="354" spans="1:10" x14ac:dyDescent="0.2">
      <c r="A354" s="26">
        <v>45778</v>
      </c>
      <c r="B354" s="2">
        <f>'[1]ישיר מתוקן'!$K358</f>
        <v>6379241</v>
      </c>
      <c r="C354" s="2">
        <f>'[1]ישיר מתוקן'!$L358</f>
        <v>1098425</v>
      </c>
      <c r="D354" s="2">
        <f>-1*'[1]ישיר מתוקן'!$M358</f>
        <v>-10950</v>
      </c>
      <c r="E354" s="2">
        <f>'[1]ישיר מתוקן'!$E358</f>
        <v>10139435</v>
      </c>
      <c r="F354" s="2">
        <f>-1*'[1]ישיר מתוקן'!$AF358</f>
        <v>-1388536</v>
      </c>
      <c r="G354" s="2">
        <f>'[1]ישיר מתוקן'!$AA358</f>
        <v>73796</v>
      </c>
      <c r="H354" s="2">
        <f>'[1]ישיר מתוקן'!$AD358</f>
        <v>705985</v>
      </c>
      <c r="I354" s="2">
        <f>-1*'[1]ישיר מתוקן'!$AE358</f>
        <v>-32015</v>
      </c>
      <c r="J354" s="2">
        <f>'[1]ישיר מתוקן'!$W358</f>
        <v>1189677</v>
      </c>
    </row>
    <row r="355" spans="1:10" x14ac:dyDescent="0.2">
      <c r="A355" s="26">
        <v>45809</v>
      </c>
      <c r="B355" s="2">
        <f>'[1]ישיר מתוקן'!$K359</f>
        <v>5857338</v>
      </c>
      <c r="C355" s="2">
        <f>'[1]ישיר מתוקן'!$L359</f>
        <v>1136952</v>
      </c>
      <c r="D355" s="2">
        <f>-1*'[1]ישיר מתוקן'!$M359</f>
        <v>-11903</v>
      </c>
      <c r="E355" s="2">
        <f>'[1]ישיר מתוקן'!$E359</f>
        <v>8815376</v>
      </c>
      <c r="F355" s="2">
        <f>-1*'[1]ישיר מתוקן'!$AF359</f>
        <v>-1099127</v>
      </c>
      <c r="G355" s="2">
        <f>'[1]ישיר מתוקן'!$AA359</f>
        <v>72614</v>
      </c>
      <c r="H355" s="2">
        <f>'[1]ישיר מתוקן'!$AD359</f>
        <v>410654</v>
      </c>
      <c r="I355" s="2">
        <f>-1*'[1]ישיר מתוקן'!$AE359</f>
        <v>-342692</v>
      </c>
      <c r="J355" s="2">
        <f>'[1]ישיר מתוקן'!$W359</f>
        <v>1130549</v>
      </c>
    </row>
    <row r="356" spans="1:10" x14ac:dyDescent="0.2">
      <c r="A356" s="26">
        <v>45839</v>
      </c>
      <c r="B356" s="2">
        <f>'[1]ישיר מתוקן'!$K360</f>
        <v>7036316</v>
      </c>
      <c r="C356" s="2">
        <f>'[1]ישיר מתוקן'!$L360</f>
        <v>1490056</v>
      </c>
      <c r="D356" s="2">
        <f>-1*'[1]ישיר מתוקן'!$M360</f>
        <v>-41319</v>
      </c>
      <c r="E356" s="2">
        <f>'[1]ישיר מתוקן'!$E360</f>
        <v>11567970</v>
      </c>
      <c r="F356" s="2">
        <f>-1*'[1]ישיר מתוקן'!$AF360</f>
        <v>-976095</v>
      </c>
      <c r="G356" s="2">
        <f>'[1]ישיר מתוקן'!$AA360</f>
        <v>78695</v>
      </c>
      <c r="H356" s="2">
        <f>'[1]ישיר מתוקן'!$AD360</f>
        <v>701321</v>
      </c>
      <c r="I356" s="2">
        <f>-1*'[1]ישיר מתוקן'!$AE360</f>
        <v>-23282</v>
      </c>
      <c r="J356" s="2">
        <f>'[1]ישיר מתוקן'!$W360</f>
        <v>1397091</v>
      </c>
    </row>
    <row r="357" spans="1:10" x14ac:dyDescent="0.2">
      <c r="A357" s="26">
        <v>45870</v>
      </c>
      <c r="B357" s="2">
        <f>'[1]ישיר מתוקן'!$K361</f>
        <v>6597034</v>
      </c>
      <c r="C357" s="2">
        <f>'[1]ישיר מתוקן'!$L361</f>
        <v>1524617</v>
      </c>
      <c r="D357" s="2">
        <f>-1*'[1]ישיר מתוקן'!$M361</f>
        <v>-14671</v>
      </c>
      <c r="E357" s="2">
        <f>'[1]ישיר מתוקן'!$E361</f>
        <v>10395176</v>
      </c>
      <c r="F357" s="2">
        <f>-1*'[1]ישיר מתוקן'!$AF361</f>
        <v>-663110</v>
      </c>
      <c r="G357" s="2">
        <f>'[1]ישיר מתוקן'!$AA361</f>
        <v>73478</v>
      </c>
      <c r="H357" s="2">
        <f>'[1]ישיר מתוקן'!$AD361</f>
        <v>675024</v>
      </c>
      <c r="I357" s="2">
        <f>-1*'[1]ישיר מתוקן'!$AE361</f>
        <v>-22809</v>
      </c>
      <c r="J357" s="2">
        <f>'[1]ישיר מתוקן'!$W361</f>
        <v>1480459</v>
      </c>
    </row>
    <row r="358" spans="1:10" x14ac:dyDescent="0.2">
      <c r="A358" s="26">
        <v>45901</v>
      </c>
      <c r="B358" s="2">
        <f>'[1]ישיר מתוקן'!$K362</f>
        <v>6494693</v>
      </c>
      <c r="C358" s="2">
        <f>'[1]ישיר מתוקן'!$L362</f>
        <v>1234428</v>
      </c>
      <c r="D358" s="2">
        <f>-1*'[1]ישיר מתוקן'!$M362</f>
        <v>-21076</v>
      </c>
      <c r="E358" s="2">
        <f>'[1]ישיר מתוקן'!$E362</f>
        <v>10935961</v>
      </c>
      <c r="F358" s="2">
        <f>-1*'[1]ישיר מתוקן'!$AF362</f>
        <v>-616974</v>
      </c>
      <c r="G358" s="2">
        <f>'[1]ישיר מתוקן'!$AA362</f>
        <v>71210</v>
      </c>
      <c r="H358" s="2">
        <f>'[1]ישיר מתוקן'!$AD362</f>
        <v>529134</v>
      </c>
      <c r="I358" s="2">
        <f>-1*'[1]ישיר מתוקן'!$AE362</f>
        <v>-22552</v>
      </c>
      <c r="J358" s="2">
        <f>'[1]ישיר מתוקן'!$W362</f>
        <v>1314396</v>
      </c>
    </row>
    <row r="359" spans="1:10" x14ac:dyDescent="0.2">
      <c r="A359" s="26">
        <v>45931</v>
      </c>
      <c r="B359" s="2">
        <f>'[1]ישיר מתוקן'!$K363</f>
        <v>6525458.2220000001</v>
      </c>
      <c r="C359" s="2">
        <f>'[1]ישיר מתוקן'!$L363</f>
        <v>692147</v>
      </c>
      <c r="D359" s="2">
        <f>-1*'[1]ישיר מתוקן'!$M363</f>
        <v>-16941</v>
      </c>
      <c r="E359" s="2">
        <f>'[1]ישיר מתוקן'!$E363</f>
        <v>8871711.2219999991</v>
      </c>
      <c r="F359" s="2">
        <f>-1*'[1]ישיר מתוקן'!$AF363</f>
        <v>-755544</v>
      </c>
      <c r="G359" s="2">
        <f>'[1]ישיר מתוקן'!$AA363</f>
        <v>79000</v>
      </c>
      <c r="H359" s="2">
        <f>'[1]ישיר מתוקן'!$AD363</f>
        <v>567856</v>
      </c>
      <c r="I359" s="2">
        <f>-1*'[1]ישיר מתוקן'!$AE363</f>
        <v>-21698</v>
      </c>
      <c r="J359" s="2">
        <f>'[1]ישיר מתוקן'!$W363</f>
        <v>1289996</v>
      </c>
    </row>
    <row r="360" spans="1:10" x14ac:dyDescent="0.2">
      <c r="A360" s="26">
        <v>45962</v>
      </c>
      <c r="B360" s="2">
        <f>'[1]ישיר מתוקן'!$K364</f>
        <v>7750340.0559999999</v>
      </c>
      <c r="C360" s="2">
        <f>'[1]ישיר מתוקן'!$L364</f>
        <v>919073</v>
      </c>
      <c r="D360" s="2">
        <f>-1*'[1]ישיר מתוקן'!$M364</f>
        <v>-69592</v>
      </c>
      <c r="E360" s="2">
        <f>'[1]ישיר מתוקן'!$E364</f>
        <v>11520232.056</v>
      </c>
      <c r="F360" s="2">
        <f>-1*'[1]ישיר מתוקן'!$AF364</f>
        <v>-719435</v>
      </c>
      <c r="G360" s="2">
        <f>'[1]ישיר מתוקן'!$AA364</f>
        <v>81035</v>
      </c>
      <c r="H360" s="2">
        <f>'[1]ישיר מתוקן'!$AD364</f>
        <v>931551</v>
      </c>
      <c r="I360" s="2">
        <f>-1*'[1]ישיר מתוקן'!$AE364</f>
        <v>-32990</v>
      </c>
      <c r="J360" s="2">
        <f>'[1]ישיר מתוקן'!$W364</f>
        <v>1182422</v>
      </c>
    </row>
    <row r="361" spans="1:10" x14ac:dyDescent="0.2">
      <c r="A361" s="26">
        <v>45992</v>
      </c>
      <c r="B361" s="2">
        <f>'[1]ישיר מתוקן'!$K365</f>
        <v>4348996.2230000002</v>
      </c>
      <c r="C361" s="2">
        <f>'[1]ישיר מתוקן'!$L365</f>
        <v>3457709</v>
      </c>
      <c r="D361" s="2">
        <f>-1*'[1]ישיר מתוקן'!$M365</f>
        <v>-24775</v>
      </c>
      <c r="E361" s="2">
        <f>'[1]ישיר מתוקן'!$E365</f>
        <v>10374742.222999999</v>
      </c>
      <c r="F361" s="2">
        <f>-1*'[1]ישיר מתוקן'!$AF365</f>
        <v>-2089815</v>
      </c>
      <c r="G361" s="2">
        <f>'[1]ישיר מתוקן'!$AA365</f>
        <v>86461</v>
      </c>
      <c r="H361" s="2">
        <f>'[1]ישיר מתוקן'!$AD365</f>
        <v>3780332</v>
      </c>
      <c r="I361" s="2">
        <f>-1*'[1]ישיר מתוקן'!$AE365</f>
        <v>-271893</v>
      </c>
      <c r="J361" s="2">
        <f>'[1]ישיר מתוקן'!$W365</f>
        <v>1232693</v>
      </c>
    </row>
    <row r="362" spans="1:10" x14ac:dyDescent="0.2">
      <c r="A362" s="26">
        <v>46023</v>
      </c>
      <c r="B362" s="2">
        <f>'[1]ישיר מתוקן'!$K366</f>
        <v>429244.011</v>
      </c>
      <c r="C362" s="2">
        <f>'[1]ישיר מתוקן'!$L366</f>
        <v>11221324</v>
      </c>
      <c r="D362" s="2">
        <f>-1*'[1]ישיר מתוקן'!$M366</f>
        <v>-39574</v>
      </c>
      <c r="E362" s="2">
        <f>'[1]ישיר מתוקן'!$E366</f>
        <v>17482892.011</v>
      </c>
      <c r="F362" s="2">
        <f>-1*'[1]ישיר מתוקן'!$AF366</f>
        <v>-1244818</v>
      </c>
      <c r="G362" s="2">
        <f>'[1]ישיר מתוקן'!$AA366</f>
        <v>181221</v>
      </c>
      <c r="H362" s="2">
        <f>'[1]ישיר מתוקן'!$AD366</f>
        <v>3135703</v>
      </c>
      <c r="I362" s="2">
        <f>-1*'[1]ישיר מתוקן'!$AE366</f>
        <v>-260510</v>
      </c>
      <c r="J362" s="2">
        <f>'[1]ישיר מתוקן'!$W366</f>
        <v>2427712</v>
      </c>
    </row>
    <row r="363" spans="1:10" x14ac:dyDescent="0.2">
      <c r="A363" s="26">
        <v>46054</v>
      </c>
      <c r="B363" s="2">
        <f>'[1]ישיר מתוקן'!$K367</f>
        <v>5727811.7759999996</v>
      </c>
      <c r="C363" s="2">
        <f>'[1]ישיר מתוקן'!$L367</f>
        <v>3690337</v>
      </c>
      <c r="D363" s="2">
        <f>-1*'[1]ישיר מתוקן'!$M367</f>
        <v>-58731</v>
      </c>
      <c r="E363" s="2">
        <f>'[1]ישיר מתוקן'!$E367</f>
        <v>12768187.776000001</v>
      </c>
      <c r="F363" s="2">
        <f>-1*'[1]ישיר מתוקן'!$AF367</f>
        <v>-1571033</v>
      </c>
      <c r="G363" s="2">
        <f>'[1]ישיר מתוקן'!$AA367</f>
        <v>68373</v>
      </c>
      <c r="H363" s="2">
        <f>'[1]ישיר מתוקן'!$AD367</f>
        <v>570601</v>
      </c>
      <c r="I363" s="2">
        <f>-1*'[1]ישיר מתוקן'!$AE367</f>
        <v>-94965</v>
      </c>
      <c r="J363" s="2">
        <f>'[1]ישיר מתוקן'!$W367</f>
        <v>1602846</v>
      </c>
    </row>
    <row r="364" spans="1:10" x14ac:dyDescent="0.2">
      <c r="A364" s="26">
        <v>46082</v>
      </c>
      <c r="B364" s="2">
        <f>'[1]ישיר מתוקן'!$K368</f>
        <v>6406525.3569999998</v>
      </c>
      <c r="C364" s="2">
        <f>'[1]ישיר מתוקן'!$L368</f>
        <v>2211515</v>
      </c>
      <c r="D364" s="2">
        <f>-1*'[1]ישיר מתוקן'!$M368</f>
        <v>-20507</v>
      </c>
      <c r="E364" s="2">
        <f>'[1]ישיר מתוקן'!$E368</f>
        <v>11270392.357000001</v>
      </c>
      <c r="F364" s="2">
        <f>-1*'[1]ישיר מתוקן'!$AF368</f>
        <v>-2666444</v>
      </c>
      <c r="G364" s="2">
        <f>'[1]ישיר מתוקן'!$AA368</f>
        <v>68527</v>
      </c>
      <c r="H364" s="2">
        <f>'[1]ישיר מתוקן'!$AD368</f>
        <v>3097654</v>
      </c>
      <c r="I364" s="2">
        <f>-1*'[1]ישיר מתוקן'!$AE368</f>
        <v>-29520</v>
      </c>
      <c r="J364" s="2">
        <f>'[1]ישיר מתוקן'!$W368</f>
        <v>1829109</v>
      </c>
    </row>
    <row r="365" spans="1:10" x14ac:dyDescent="0.2">
      <c r="A365" s="26">
        <v>46113</v>
      </c>
      <c r="B365" s="2">
        <f>'[1]ישיר מתוקן'!$K369</f>
        <v>6448873</v>
      </c>
      <c r="C365" s="2">
        <f>'[1]ישיר מתוקן'!$L369</f>
        <v>1595501</v>
      </c>
      <c r="D365" s="2">
        <f>-1*'[1]ישיר מתוקן'!$M369</f>
        <v>-8053</v>
      </c>
      <c r="E365" s="2">
        <f>'[1]ישיר מתוקן'!$E369</f>
        <v>10389619</v>
      </c>
      <c r="F365" s="2">
        <f>-1*'[1]ישיר מתוקן'!$AF369</f>
        <v>-978856</v>
      </c>
      <c r="G365" s="2">
        <f>'[1]ישיר מתוקן'!$AA369</f>
        <v>73354</v>
      </c>
      <c r="H365" s="2">
        <f>'[1]ישיר מתוקן'!$AD369</f>
        <v>601545</v>
      </c>
      <c r="I365" s="2">
        <f>-1*'[1]ישיר מתוקן'!$AE369</f>
        <v>-17981</v>
      </c>
      <c r="J365" s="2">
        <f>'[1]ישיר מתוקן'!$W369</f>
        <v>1041882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2556-478D-4438-8860-3FDDF60B1458}">
  <dimension ref="A1:H365"/>
  <sheetViews>
    <sheetView workbookViewId="0">
      <pane ySplit="1" topLeftCell="A329" activePane="bottomLeft" state="frozen"/>
      <selection pane="bottomLeft" activeCell="F329" sqref="F329"/>
    </sheetView>
  </sheetViews>
  <sheetFormatPr defaultRowHeight="14.25" x14ac:dyDescent="0.2"/>
  <cols>
    <col min="1" max="1" width="10.375" style="26" bestFit="1" customWidth="1"/>
    <col min="2" max="2" width="13.875" style="2" bestFit="1" customWidth="1"/>
    <col min="3" max="3" width="30.375" style="2" bestFit="1" customWidth="1"/>
    <col min="4" max="5" width="12.625" style="2" bestFit="1" customWidth="1"/>
    <col min="6" max="6" width="8.875" style="2"/>
  </cols>
  <sheetData>
    <row r="1" spans="1:8" ht="28.5" x14ac:dyDescent="0.2">
      <c r="A1" s="9" t="s">
        <v>42</v>
      </c>
      <c r="B1" s="31" t="s">
        <v>18</v>
      </c>
      <c r="C1" s="32" t="s">
        <v>19</v>
      </c>
      <c r="D1" s="32" t="s">
        <v>20</v>
      </c>
      <c r="E1" s="31" t="s">
        <v>23</v>
      </c>
      <c r="F1" s="31" t="s">
        <v>24</v>
      </c>
    </row>
    <row r="2" spans="1:8" x14ac:dyDescent="0.2">
      <c r="A2" s="26">
        <v>35065</v>
      </c>
      <c r="B2" s="6">
        <f>[1]עקיף!$C6</f>
        <v>2195.7449999999999</v>
      </c>
      <c r="C2" s="6">
        <f>-1*[1]עקיף!$D6</f>
        <v>-1105.54</v>
      </c>
      <c r="D2" s="7">
        <f>SUM(consumption_tax!B2:C2, import_trade_tax!B2)</f>
        <v>2419.7959999999998</v>
      </c>
      <c r="E2" s="6">
        <f>[1]עקיף!$I6</f>
        <v>52.85</v>
      </c>
      <c r="F2" s="6">
        <f>[1]עקיף!$K6</f>
        <v>313.69299999999998</v>
      </c>
      <c r="G2" s="2"/>
    </row>
    <row r="3" spans="1:8" x14ac:dyDescent="0.2">
      <c r="A3" s="26">
        <v>35096</v>
      </c>
      <c r="B3" s="6">
        <f>[1]עקיף!$C7</f>
        <v>1653.143</v>
      </c>
      <c r="C3" s="6">
        <f>-1*[1]עקיף!$D7</f>
        <v>-890.02599999999995</v>
      </c>
      <c r="D3" s="7">
        <f>SUM(consumption_tax!B3:C3, import_trade_tax!B3)</f>
        <v>1999.5900000000001</v>
      </c>
      <c r="E3" s="6">
        <f>[1]עקיף!$I7</f>
        <v>42.954000000000001</v>
      </c>
      <c r="F3" s="6">
        <f>[1]עקיף!$K7</f>
        <v>295.983</v>
      </c>
      <c r="H3" s="2"/>
    </row>
    <row r="4" spans="1:8" x14ac:dyDescent="0.2">
      <c r="A4" s="26">
        <v>35125</v>
      </c>
      <c r="B4" s="6">
        <f>[1]עקיף!$C8</f>
        <v>2036.886</v>
      </c>
      <c r="C4" s="6">
        <f>-1*[1]עקיף!$D8</f>
        <v>-855.70899999999995</v>
      </c>
      <c r="D4" s="7">
        <f>SUM(consumption_tax!B4:C4, import_trade_tax!B4)</f>
        <v>2465.0190000000002</v>
      </c>
      <c r="E4" s="6">
        <f>[1]עקיף!$I8</f>
        <v>65.787999999999997</v>
      </c>
      <c r="F4" s="6">
        <f>[1]עקיף!$K8</f>
        <v>325.78699999999998</v>
      </c>
    </row>
    <row r="5" spans="1:8" x14ac:dyDescent="0.2">
      <c r="A5" s="26">
        <v>35156</v>
      </c>
      <c r="B5" s="6">
        <f>[1]עקיף!$C9</f>
        <v>1691.7190000000001</v>
      </c>
      <c r="C5" s="6">
        <f>-1*[1]עקיף!$D9</f>
        <v>-701.95600000000002</v>
      </c>
      <c r="D5" s="7">
        <f>SUM(consumption_tax!B5:C5, import_trade_tax!B5)</f>
        <v>2330.8629999999998</v>
      </c>
      <c r="E5" s="6">
        <f>[1]עקיף!$I9</f>
        <v>18.831</v>
      </c>
      <c r="F5" s="6">
        <f>[1]עקיף!$K9</f>
        <v>322.173</v>
      </c>
    </row>
    <row r="6" spans="1:8" x14ac:dyDescent="0.2">
      <c r="A6" s="26">
        <v>35186</v>
      </c>
      <c r="B6" s="6">
        <f>[1]עקיף!$C10</f>
        <v>1916.7260000000001</v>
      </c>
      <c r="C6" s="6">
        <f>-1*[1]עקיף!$D10</f>
        <v>-800.71699999999998</v>
      </c>
      <c r="D6" s="7">
        <f>SUM(consumption_tax!B6:C6, import_trade_tax!B6)</f>
        <v>2379.6549999999997</v>
      </c>
      <c r="E6" s="6">
        <f>[1]עקיף!$I10</f>
        <v>83.941999999999993</v>
      </c>
      <c r="F6" s="6">
        <f>[1]עקיף!$K10</f>
        <v>359.87299999999999</v>
      </c>
    </row>
    <row r="7" spans="1:8" x14ac:dyDescent="0.2">
      <c r="A7" s="26">
        <v>35217</v>
      </c>
      <c r="B7" s="6">
        <f>[1]עקיף!$C11</f>
        <v>1649.328</v>
      </c>
      <c r="C7" s="6">
        <f>-1*[1]עקיף!$D11</f>
        <v>-784.96299999999997</v>
      </c>
      <c r="D7" s="7">
        <f>SUM(consumption_tax!B7:C7, import_trade_tax!B7)</f>
        <v>2114.7759999999998</v>
      </c>
      <c r="E7" s="6">
        <f>[1]עקיף!$I11</f>
        <v>16.452000000000002</v>
      </c>
      <c r="F7" s="6">
        <f>[1]עקיף!$K11</f>
        <v>334.14699999999999</v>
      </c>
    </row>
    <row r="8" spans="1:8" x14ac:dyDescent="0.2">
      <c r="A8" s="26">
        <v>35247</v>
      </c>
      <c r="B8" s="6">
        <f>[1]עקיף!$C12</f>
        <v>2315.5169999999998</v>
      </c>
      <c r="C8" s="6">
        <f>-1*[1]עקיף!$D12</f>
        <v>-872.00199999999995</v>
      </c>
      <c r="D8" s="7">
        <f>SUM(consumption_tax!B8:C8, import_trade_tax!B8)</f>
        <v>2742.1260000000002</v>
      </c>
      <c r="E8" s="6">
        <f>[1]עקיף!$I12</f>
        <v>101.97499999999999</v>
      </c>
      <c r="F8" s="6">
        <f>[1]עקיף!$K12</f>
        <v>373.17700000000002</v>
      </c>
    </row>
    <row r="9" spans="1:8" x14ac:dyDescent="0.2">
      <c r="A9" s="26">
        <v>35278</v>
      </c>
      <c r="B9" s="6">
        <f>[1]עקיף!$C13</f>
        <v>1771.971</v>
      </c>
      <c r="C9" s="6">
        <f>-1*[1]עקיף!$D13</f>
        <v>-861.78</v>
      </c>
      <c r="D9" s="7">
        <f>SUM(consumption_tax!B9:C9, import_trade_tax!B9)</f>
        <v>2052.1120000000001</v>
      </c>
      <c r="E9" s="6">
        <f>[1]עקיף!$I13</f>
        <v>50.08</v>
      </c>
      <c r="F9" s="6">
        <f>[1]עקיף!$K13</f>
        <v>379.70699999999999</v>
      </c>
    </row>
    <row r="10" spans="1:8" x14ac:dyDescent="0.2">
      <c r="A10" s="26">
        <v>35309</v>
      </c>
      <c r="B10" s="6">
        <f>[1]עקיף!$C14</f>
        <v>2308.7109999999998</v>
      </c>
      <c r="C10" s="6">
        <f>-1*[1]עקיף!$D14</f>
        <v>-787.98099999999999</v>
      </c>
      <c r="D10" s="7">
        <f>SUM(consumption_tax!B10:C10, import_trade_tax!B10)</f>
        <v>2669.5499999999997</v>
      </c>
      <c r="E10" s="6">
        <f>[1]עקיף!$I14</f>
        <v>74.216999999999999</v>
      </c>
      <c r="F10" s="6">
        <f>[1]עקיף!$K14</f>
        <v>375.52199999999999</v>
      </c>
    </row>
    <row r="11" spans="1:8" x14ac:dyDescent="0.2">
      <c r="A11" s="26">
        <v>35339</v>
      </c>
      <c r="B11" s="6">
        <f>[1]עקיף!$C15</f>
        <v>1641.973</v>
      </c>
      <c r="C11" s="6">
        <f>-1*[1]עקיף!$D15</f>
        <v>-787.48500000000001</v>
      </c>
      <c r="D11" s="7">
        <f>SUM(consumption_tax!B11:C11, import_trade_tax!B11)</f>
        <v>2183.6439999999998</v>
      </c>
      <c r="E11" s="6">
        <f>[1]עקיף!$I15</f>
        <v>101.374</v>
      </c>
      <c r="F11" s="6">
        <f>[1]עקיף!$K15</f>
        <v>360.59800000000001</v>
      </c>
    </row>
    <row r="12" spans="1:8" x14ac:dyDescent="0.2">
      <c r="A12" s="26">
        <v>35370</v>
      </c>
      <c r="B12" s="6">
        <f>[1]עקיף!$C16</f>
        <v>2166.5189999999998</v>
      </c>
      <c r="C12" s="6">
        <f>-1*[1]עקיף!$D16</f>
        <v>-865.37800000000004</v>
      </c>
      <c r="D12" s="7">
        <f>SUM(consumption_tax!B12:C12, import_trade_tax!B12)</f>
        <v>2425.0089999999996</v>
      </c>
      <c r="E12" s="6">
        <f>[1]עקיף!$I16</f>
        <v>25.338999999999999</v>
      </c>
      <c r="F12" s="6">
        <f>[1]עקיף!$K16</f>
        <v>330.95</v>
      </c>
    </row>
    <row r="13" spans="1:8" x14ac:dyDescent="0.2">
      <c r="A13" s="26">
        <v>35400</v>
      </c>
      <c r="B13" s="6">
        <f>[1]עקיף!$C17</f>
        <v>1631.1949999999999</v>
      </c>
      <c r="C13" s="6">
        <f>-1*[1]עקיף!$D17</f>
        <v>-686.16</v>
      </c>
      <c r="D13" s="7">
        <f>SUM(consumption_tax!B13:C13, import_trade_tax!B13)</f>
        <v>2089.7820000000002</v>
      </c>
      <c r="E13" s="6">
        <f>[1]עקיף!$I17</f>
        <v>84.311000000000007</v>
      </c>
      <c r="F13" s="6">
        <f>[1]עקיף!$K17</f>
        <v>387.34899999999999</v>
      </c>
    </row>
    <row r="14" spans="1:8" x14ac:dyDescent="0.2">
      <c r="A14" s="26">
        <v>35431</v>
      </c>
      <c r="B14" s="6">
        <f>[1]עקיף!$C18</f>
        <v>2519.39</v>
      </c>
      <c r="C14" s="6">
        <f>-1*[1]עקיף!$D18</f>
        <v>-866.14099999999996</v>
      </c>
      <c r="D14" s="7">
        <f>SUM(consumption_tax!B14:C14, import_trade_tax!B14)</f>
        <v>2881.4399999999996</v>
      </c>
      <c r="E14" s="6">
        <f>[1]עקיף!$I18</f>
        <v>58.695999999999998</v>
      </c>
      <c r="F14" s="6">
        <f>[1]עקיף!$K18</f>
        <v>382.15</v>
      </c>
    </row>
    <row r="15" spans="1:8" x14ac:dyDescent="0.2">
      <c r="A15" s="26">
        <v>35462</v>
      </c>
      <c r="B15" s="6">
        <f>[1]עקיף!$C19</f>
        <v>1826.29</v>
      </c>
      <c r="C15" s="6">
        <f>-1*[1]עקיף!$D19</f>
        <v>-800.16600000000005</v>
      </c>
      <c r="D15" s="7">
        <f>SUM(consumption_tax!B15:C15, import_trade_tax!B15)</f>
        <v>2186.6689999999999</v>
      </c>
      <c r="E15" s="6">
        <f>[1]עקיף!$I19</f>
        <v>24.506</v>
      </c>
      <c r="F15" s="6">
        <f>[1]עקיף!$K19</f>
        <v>351.56700000000001</v>
      </c>
    </row>
    <row r="16" spans="1:8" x14ac:dyDescent="0.2">
      <c r="A16" s="26">
        <v>35490</v>
      </c>
      <c r="B16" s="6">
        <f>[1]עקיף!$C20</f>
        <v>2248.8560000000002</v>
      </c>
      <c r="C16" s="6">
        <f>-1*[1]עקיף!$D20</f>
        <v>-812.98699999999997</v>
      </c>
      <c r="D16" s="7">
        <f>SUM(consumption_tax!B16:C16, import_trade_tax!B16)</f>
        <v>2999.7470000000003</v>
      </c>
      <c r="E16" s="6">
        <f>[1]עקיף!$I20</f>
        <v>83.503</v>
      </c>
      <c r="F16" s="6">
        <f>[1]עקיף!$K20</f>
        <v>414.79399999999998</v>
      </c>
    </row>
    <row r="17" spans="1:6" x14ac:dyDescent="0.2">
      <c r="A17" s="26">
        <v>35521</v>
      </c>
      <c r="B17" s="6">
        <f>[1]עקיף!$C21</f>
        <v>1708.1469999999999</v>
      </c>
      <c r="C17" s="6">
        <f>-1*[1]עקיף!$D21</f>
        <v>-622.21699999999998</v>
      </c>
      <c r="D17" s="7">
        <f>SUM(consumption_tax!B17:C17, import_trade_tax!B17)</f>
        <v>2283.0839999999998</v>
      </c>
      <c r="E17" s="6">
        <f>[1]עקיף!$I21</f>
        <v>16.986999999999998</v>
      </c>
      <c r="F17" s="6">
        <f>[1]עקיף!$K21</f>
        <v>392.38499999999999</v>
      </c>
    </row>
    <row r="18" spans="1:6" x14ac:dyDescent="0.2">
      <c r="A18" s="26">
        <v>35551</v>
      </c>
      <c r="B18" s="6">
        <f>[1]עקיף!$C22</f>
        <v>2314.3809999999999</v>
      </c>
      <c r="C18" s="6">
        <f>-1*[1]עקיף!$D22</f>
        <v>-989.93899999999996</v>
      </c>
      <c r="D18" s="7">
        <f>SUM(consumption_tax!B18:C18, import_trade_tax!B18)</f>
        <v>2609.9679999999998</v>
      </c>
      <c r="E18" s="6">
        <f>[1]עקיף!$I22</f>
        <v>68.484999999999999</v>
      </c>
      <c r="F18" s="6">
        <f>[1]עקיף!$K22</f>
        <v>380.90899999999999</v>
      </c>
    </row>
    <row r="19" spans="1:6" x14ac:dyDescent="0.2">
      <c r="A19" s="26">
        <v>35582</v>
      </c>
      <c r="B19" s="6">
        <f>[1]עקיף!$C23</f>
        <v>1705.0889999999999</v>
      </c>
      <c r="C19" s="6">
        <f>-1*[1]עקיף!$D23</f>
        <v>-778.84799999999996</v>
      </c>
      <c r="D19" s="7">
        <f>SUM(consumption_tax!B19:C19, import_trade_tax!B19)</f>
        <v>2248.864</v>
      </c>
      <c r="E19" s="6">
        <f>[1]עקיף!$I23</f>
        <v>50.499000000000002</v>
      </c>
      <c r="F19" s="6">
        <f>[1]עקיף!$K23</f>
        <v>425.8</v>
      </c>
    </row>
    <row r="20" spans="1:6" x14ac:dyDescent="0.2">
      <c r="A20" s="26">
        <v>35612</v>
      </c>
      <c r="B20" s="6">
        <f>[1]עקיף!$C24</f>
        <v>2416.6590000000001</v>
      </c>
      <c r="C20" s="6">
        <f>-1*[1]עקיף!$D24</f>
        <v>-893.96299999999997</v>
      </c>
      <c r="D20" s="7">
        <f>SUM(consumption_tax!B20:C20, import_trade_tax!B20)</f>
        <v>2835.4859999999999</v>
      </c>
      <c r="E20" s="6">
        <f>[1]עקיף!$I24</f>
        <v>88.861999999999995</v>
      </c>
      <c r="F20" s="6">
        <f>[1]עקיף!$K24</f>
        <v>470.42500000000001</v>
      </c>
    </row>
    <row r="21" spans="1:6" x14ac:dyDescent="0.2">
      <c r="A21" s="26">
        <v>35643</v>
      </c>
      <c r="B21" s="6">
        <f>[1]עקיף!$C25</f>
        <v>1970.3610000000001</v>
      </c>
      <c r="C21" s="6">
        <f>-1*[1]עקיף!$D25</f>
        <v>-832.11</v>
      </c>
      <c r="D21" s="7">
        <f>SUM(consumption_tax!B21:C21, import_trade_tax!B21)</f>
        <v>2428.4990000000003</v>
      </c>
      <c r="E21" s="6">
        <f>[1]עקיף!$I25</f>
        <v>98.727999999999994</v>
      </c>
      <c r="F21" s="6">
        <f>[1]עקיף!$K25</f>
        <v>443.58300000000003</v>
      </c>
    </row>
    <row r="22" spans="1:6" x14ac:dyDescent="0.2">
      <c r="A22" s="26">
        <v>35674</v>
      </c>
      <c r="B22" s="6">
        <f>[1]עקיף!$C26</f>
        <v>2535.0500000000002</v>
      </c>
      <c r="C22" s="6">
        <f>-1*[1]עקיף!$D26</f>
        <v>-866.82399999999996</v>
      </c>
      <c r="D22" s="7">
        <f>SUM(consumption_tax!B22:C22, import_trade_tax!B22)</f>
        <v>2941.0290000000005</v>
      </c>
      <c r="E22" s="6">
        <f>[1]עקיף!$I26</f>
        <v>40.978999999999999</v>
      </c>
      <c r="F22" s="6">
        <f>[1]עקיף!$K26</f>
        <v>429.88099999999997</v>
      </c>
    </row>
    <row r="23" spans="1:6" x14ac:dyDescent="0.2">
      <c r="A23" s="26">
        <v>35704</v>
      </c>
      <c r="B23" s="6">
        <f>[1]עקיף!$C27</f>
        <v>1929.3130000000001</v>
      </c>
      <c r="C23" s="6">
        <f>-1*[1]עקיף!$D27</f>
        <v>-829.90700000000004</v>
      </c>
      <c r="D23" s="7">
        <f>SUM(consumption_tax!B23:C23, import_trade_tax!B23)</f>
        <v>2338.0619999999999</v>
      </c>
      <c r="E23" s="6">
        <f>[1]עקיף!$I27</f>
        <v>108.58</v>
      </c>
      <c r="F23" s="6">
        <f>[1]עקיף!$K27</f>
        <v>398.63299999999998</v>
      </c>
    </row>
    <row r="24" spans="1:6" x14ac:dyDescent="0.2">
      <c r="A24" s="26">
        <v>35735</v>
      </c>
      <c r="B24" s="6">
        <f>[1]עקיף!$C28</f>
        <v>2337.386</v>
      </c>
      <c r="C24" s="6">
        <f>-1*[1]עקיף!$D28</f>
        <v>-929.77800000000002</v>
      </c>
      <c r="D24" s="7">
        <f>SUM(consumption_tax!B24:C24, import_trade_tax!B24)</f>
        <v>2735.0619999999999</v>
      </c>
      <c r="E24" s="6">
        <f>[1]עקיף!$I28</f>
        <v>17.326000000000001</v>
      </c>
      <c r="F24" s="6">
        <f>[1]עקיף!$K28</f>
        <v>408.43200000000002</v>
      </c>
    </row>
    <row r="25" spans="1:6" x14ac:dyDescent="0.2">
      <c r="A25" s="26">
        <v>35765</v>
      </c>
      <c r="B25" s="6">
        <f>[1]עקיף!$C29</f>
        <v>1838.0129999999999</v>
      </c>
      <c r="C25" s="6">
        <f>-1*[1]עקיף!$D29</f>
        <v>-789.37599999999998</v>
      </c>
      <c r="D25" s="7">
        <f>SUM(consumption_tax!B25:C25, import_trade_tax!B25)</f>
        <v>2342.3229999999999</v>
      </c>
      <c r="E25" s="6">
        <f>[1]עקיף!$I29</f>
        <v>84.394000000000005</v>
      </c>
      <c r="F25" s="6">
        <f>[1]עקיף!$K29</f>
        <v>460.69</v>
      </c>
    </row>
    <row r="26" spans="1:6" x14ac:dyDescent="0.2">
      <c r="A26" s="26">
        <v>35796</v>
      </c>
      <c r="B26" s="6">
        <f>[1]עקיף!$C30</f>
        <v>2700.8519999999999</v>
      </c>
      <c r="C26" s="6">
        <f>-1*[1]עקיף!$D30</f>
        <v>-1268.4290000000001</v>
      </c>
      <c r="D26" s="7">
        <f>SUM(consumption_tax!B26:C26, import_trade_tax!B26)</f>
        <v>2646.2979999999998</v>
      </c>
      <c r="E26" s="6">
        <f>[1]עקיף!$I30</f>
        <v>18.611000000000001</v>
      </c>
      <c r="F26" s="6">
        <f>[1]עקיף!$K30</f>
        <v>403.37900000000002</v>
      </c>
    </row>
    <row r="27" spans="1:6" x14ac:dyDescent="0.2">
      <c r="A27" s="26">
        <v>35827</v>
      </c>
      <c r="B27" s="6">
        <f>[1]עקיף!$C31</f>
        <v>1934.1089999999999</v>
      </c>
      <c r="C27" s="6">
        <f>-1*[1]עקיף!$D31</f>
        <v>-758.03700000000003</v>
      </c>
      <c r="D27" s="7">
        <f>SUM(consumption_tax!B27:C27, import_trade_tax!B27)</f>
        <v>2440.402</v>
      </c>
      <c r="E27" s="6">
        <f>[1]עקיף!$I31</f>
        <v>53.777999999999999</v>
      </c>
      <c r="F27" s="6">
        <f>[1]עקיף!$K31</f>
        <v>380.07600000000002</v>
      </c>
    </row>
    <row r="28" spans="1:6" x14ac:dyDescent="0.2">
      <c r="A28" s="26">
        <v>35855</v>
      </c>
      <c r="B28" s="6">
        <f>[1]עקיף!$C32</f>
        <v>2595.0100000000002</v>
      </c>
      <c r="C28" s="6">
        <f>-1*[1]עקיף!$D32</f>
        <v>-948.27200000000005</v>
      </c>
      <c r="D28" s="7">
        <f>SUM(consumption_tax!B28:C28, import_trade_tax!B28)</f>
        <v>3239.4170000000004</v>
      </c>
      <c r="E28" s="6">
        <f>[1]עקיף!$I32</f>
        <v>73.691999999999993</v>
      </c>
      <c r="F28" s="6">
        <f>[1]עקיף!$K32</f>
        <v>453.77699999999999</v>
      </c>
    </row>
    <row r="29" spans="1:6" x14ac:dyDescent="0.2">
      <c r="A29" s="26">
        <v>35886</v>
      </c>
      <c r="B29" s="6">
        <f>[1]עקיף!$C33</f>
        <v>1844.7929999999999</v>
      </c>
      <c r="C29" s="6">
        <f>-1*[1]עקיף!$D33</f>
        <v>-1000.997</v>
      </c>
      <c r="D29" s="7">
        <f>SUM(consumption_tax!B29:C29, import_trade_tax!B29)</f>
        <v>2329.4969999999998</v>
      </c>
      <c r="E29" s="6">
        <f>[1]עקיף!$I33</f>
        <v>22.082000000000001</v>
      </c>
      <c r="F29" s="6">
        <f>[1]עקיף!$K33</f>
        <v>419.04599999999999</v>
      </c>
    </row>
    <row r="30" spans="1:6" x14ac:dyDescent="0.2">
      <c r="A30" s="26">
        <v>35916</v>
      </c>
      <c r="B30" s="6">
        <f>[1]עקיף!$C34</f>
        <v>2530.4650000000001</v>
      </c>
      <c r="C30" s="6">
        <f>-1*[1]עקיף!$D34</f>
        <v>-934.76</v>
      </c>
      <c r="D30" s="7">
        <f>SUM(consumption_tax!B30:C30, import_trade_tax!B30)</f>
        <v>2923.2310000000002</v>
      </c>
      <c r="E30" s="6">
        <f>[1]עקיף!$I34</f>
        <v>102.846</v>
      </c>
      <c r="F30" s="6">
        <f>[1]עקיף!$K34</f>
        <v>403.685</v>
      </c>
    </row>
    <row r="31" spans="1:6" x14ac:dyDescent="0.2">
      <c r="A31" s="26">
        <v>35947</v>
      </c>
      <c r="B31" s="6">
        <f>[1]עקיף!$C35</f>
        <v>1868.3879999999999</v>
      </c>
      <c r="C31" s="6">
        <f>-1*[1]עקיף!$D35</f>
        <v>-901.25300000000004</v>
      </c>
      <c r="D31" s="7">
        <f>SUM(consumption_tax!B31:C31, import_trade_tax!B31)</f>
        <v>2381.6349999999998</v>
      </c>
      <c r="E31" s="6">
        <f>[1]עקיף!$I35</f>
        <v>60.972000000000001</v>
      </c>
      <c r="F31" s="6">
        <f>[1]עקיף!$K35</f>
        <v>467.738</v>
      </c>
    </row>
    <row r="32" spans="1:6" x14ac:dyDescent="0.2">
      <c r="A32" s="26">
        <v>35977</v>
      </c>
      <c r="B32" s="6">
        <f>[1]עקיף!$C36</f>
        <v>2672.1579999999999</v>
      </c>
      <c r="C32" s="6">
        <f>-1*[1]עקיף!$D36</f>
        <v>-1024.4349999999999</v>
      </c>
      <c r="D32" s="7">
        <f>SUM(consumption_tax!B32:C32, import_trade_tax!B32)</f>
        <v>3041.8710000000001</v>
      </c>
      <c r="E32" s="6">
        <f>[1]עקיף!$I36</f>
        <v>65.741</v>
      </c>
      <c r="F32" s="6">
        <f>[1]עקיף!$K36</f>
        <v>461.74400000000003</v>
      </c>
    </row>
    <row r="33" spans="1:6" x14ac:dyDescent="0.2">
      <c r="A33" s="26">
        <v>36008</v>
      </c>
      <c r="B33" s="6">
        <f>[1]עקיף!$C37</f>
        <v>2057.8440000000001</v>
      </c>
      <c r="C33" s="6">
        <f>-1*[1]עקיף!$D37</f>
        <v>-892.71</v>
      </c>
      <c r="D33" s="7">
        <f>SUM(consumption_tax!B33:C33, import_trade_tax!B33)</f>
        <v>2546.3289999999997</v>
      </c>
      <c r="E33" s="6">
        <f>[1]עקיף!$I37</f>
        <v>70.546999999999997</v>
      </c>
      <c r="F33" s="6">
        <f>[1]עקיף!$K37</f>
        <v>491.91500000000002</v>
      </c>
    </row>
    <row r="34" spans="1:6" x14ac:dyDescent="0.2">
      <c r="A34" s="26">
        <v>36039</v>
      </c>
      <c r="B34" s="6">
        <f>[1]עקיף!$C38</f>
        <v>2708.7930000000001</v>
      </c>
      <c r="C34" s="6">
        <f>-1*[1]עקיף!$D38</f>
        <v>-522.43100000000004</v>
      </c>
      <c r="D34" s="7">
        <f>SUM(consumption_tax!B34:C34, import_trade_tax!B34)</f>
        <v>3406.8490000000002</v>
      </c>
      <c r="E34" s="6">
        <f>[1]עקיף!$I38</f>
        <v>83.798000000000002</v>
      </c>
      <c r="F34" s="6">
        <f>[1]עקיף!$K38</f>
        <v>407.916</v>
      </c>
    </row>
    <row r="35" spans="1:6" x14ac:dyDescent="0.2">
      <c r="A35" s="26">
        <v>36069</v>
      </c>
      <c r="B35" s="6">
        <f>[1]עקיף!$C39</f>
        <v>2105.8919999999998</v>
      </c>
      <c r="C35" s="6">
        <f>-1*[1]עקיף!$D39</f>
        <v>-1226.385</v>
      </c>
      <c r="D35" s="7">
        <f>SUM(consumption_tax!B35:C35, import_trade_tax!B35)</f>
        <v>2383.5540000000001</v>
      </c>
      <c r="E35" s="6">
        <f>[1]עקיף!$I39</f>
        <v>71.25</v>
      </c>
      <c r="F35" s="6">
        <f>[1]עקיף!$K39</f>
        <v>446.322</v>
      </c>
    </row>
    <row r="36" spans="1:6" x14ac:dyDescent="0.2">
      <c r="A36" s="26">
        <v>36100</v>
      </c>
      <c r="B36" s="6">
        <f>[1]עקיף!$C40</f>
        <v>2518.712</v>
      </c>
      <c r="C36" s="6">
        <f>-1*[1]עקיף!$D40</f>
        <v>-1064.4780000000001</v>
      </c>
      <c r="D36" s="7">
        <f>SUM(consumption_tax!B36:C36, import_trade_tax!B36)</f>
        <v>3021.6189999999997</v>
      </c>
      <c r="E36" s="6">
        <f>[1]עקיף!$I40</f>
        <v>70.2</v>
      </c>
      <c r="F36" s="6">
        <f>[1]עקיף!$K40</f>
        <v>453.87900000000002</v>
      </c>
    </row>
    <row r="37" spans="1:6" x14ac:dyDescent="0.2">
      <c r="A37" s="26">
        <v>36130</v>
      </c>
      <c r="B37" s="6">
        <f>[1]עקיף!$C41</f>
        <v>2298.8530000000001</v>
      </c>
      <c r="C37" s="6">
        <f>-1*[1]עקיף!$D41</f>
        <v>-1107.9690000000001</v>
      </c>
      <c r="D37" s="7">
        <f>SUM(consumption_tax!B37:C37, import_trade_tax!B37)</f>
        <v>2773.3940000000002</v>
      </c>
      <c r="E37" s="6">
        <f>[1]עקיף!$I41</f>
        <v>60.015000000000001</v>
      </c>
      <c r="F37" s="6">
        <f>[1]עקיף!$K41</f>
        <v>448.64100000000002</v>
      </c>
    </row>
    <row r="38" spans="1:6" x14ac:dyDescent="0.2">
      <c r="A38" s="26">
        <v>36161</v>
      </c>
      <c r="B38" s="6">
        <f>[1]עקיף!$C42</f>
        <v>3123.6260000000002</v>
      </c>
      <c r="C38" s="6">
        <f>-1*[1]עקיף!$D42</f>
        <v>-1216.1569999999999</v>
      </c>
      <c r="D38" s="7">
        <f>SUM(consumption_tax!B38:C38, import_trade_tax!B38)</f>
        <v>3255.777</v>
      </c>
      <c r="E38" s="6">
        <f>[1]עקיף!$I42</f>
        <v>58.070999999999998</v>
      </c>
      <c r="F38" s="6">
        <f>[1]עקיף!$K42</f>
        <v>463.90800000000002</v>
      </c>
    </row>
    <row r="39" spans="1:6" x14ac:dyDescent="0.2">
      <c r="A39" s="26">
        <v>36192</v>
      </c>
      <c r="B39" s="6">
        <f>[1]עקיף!$C43</f>
        <v>2234.3110000000001</v>
      </c>
      <c r="C39" s="6">
        <f>-1*[1]עקיף!$D43</f>
        <v>-781.02599999999995</v>
      </c>
      <c r="D39" s="7">
        <f>SUM(consumption_tax!B39:C39, import_trade_tax!B39)</f>
        <v>2893.3600000000006</v>
      </c>
      <c r="E39" s="6">
        <f>[1]עקיף!$I43</f>
        <v>55.246000000000002</v>
      </c>
      <c r="F39" s="6">
        <f>[1]עקיף!$K43</f>
        <v>421.18900000000002</v>
      </c>
    </row>
    <row r="40" spans="1:6" x14ac:dyDescent="0.2">
      <c r="A40" s="26">
        <v>36220</v>
      </c>
      <c r="B40" s="6">
        <f>[1]עקיף!$C44</f>
        <v>2684.3739999999998</v>
      </c>
      <c r="C40" s="6">
        <f>-1*[1]עקיף!$D44</f>
        <v>-1221.1310000000001</v>
      </c>
      <c r="D40" s="7">
        <f>SUM(consumption_tax!B40:C40, import_trade_tax!B40)</f>
        <v>3184.0029999999997</v>
      </c>
      <c r="E40" s="6">
        <f>[1]עקיף!$I44</f>
        <v>48.298000000000002</v>
      </c>
      <c r="F40" s="6">
        <f>[1]עקיף!$K44</f>
        <v>485.91199999999998</v>
      </c>
    </row>
    <row r="41" spans="1:6" x14ac:dyDescent="0.2">
      <c r="A41" s="26">
        <v>36251</v>
      </c>
      <c r="B41" s="6">
        <f>[1]עקיף!$C45</f>
        <v>2270.049</v>
      </c>
      <c r="C41" s="6">
        <f>-1*[1]עקיף!$D45</f>
        <v>-1170.8779999999999</v>
      </c>
      <c r="D41" s="7">
        <f>SUM(consumption_tax!B41:C41, import_trade_tax!B41)</f>
        <v>2575.8739999999998</v>
      </c>
      <c r="E41" s="6">
        <f>[1]עקיף!$I45</f>
        <v>68.998000000000005</v>
      </c>
      <c r="F41" s="6">
        <f>[1]עקיף!$K45</f>
        <v>437.447</v>
      </c>
    </row>
    <row r="42" spans="1:6" x14ac:dyDescent="0.2">
      <c r="A42" s="26">
        <v>36281</v>
      </c>
      <c r="B42" s="6">
        <f>[1]עקיף!$C46</f>
        <v>2562.7420000000002</v>
      </c>
      <c r="C42" s="6">
        <f>-1*[1]עקיף!$D46</f>
        <v>-1062.8520000000001</v>
      </c>
      <c r="D42" s="7">
        <f>SUM(consumption_tax!B42:C42, import_trade_tax!B42)</f>
        <v>2989.9059999999999</v>
      </c>
      <c r="E42" s="6">
        <f>[1]עקיף!$I46</f>
        <v>61.110999999999997</v>
      </c>
      <c r="F42" s="6">
        <f>[1]עקיף!$K46</f>
        <v>469.80500000000001</v>
      </c>
    </row>
    <row r="43" spans="1:6" x14ac:dyDescent="0.2">
      <c r="A43" s="26">
        <v>36312</v>
      </c>
      <c r="B43" s="6">
        <f>[1]עקיף!$C47</f>
        <v>2180.279</v>
      </c>
      <c r="C43" s="6">
        <f>-1*[1]עקיף!$D47</f>
        <v>-1134.0060000000001</v>
      </c>
      <c r="D43" s="7">
        <f>SUM(consumption_tax!B43:C43, import_trade_tax!B43)</f>
        <v>2660.4139999999998</v>
      </c>
      <c r="E43" s="6">
        <f>[1]עקיף!$I47</f>
        <v>70.671999999999997</v>
      </c>
      <c r="F43" s="6">
        <f>[1]עקיף!$K47</f>
        <v>494.86399999999998</v>
      </c>
    </row>
    <row r="44" spans="1:6" x14ac:dyDescent="0.2">
      <c r="A44" s="26">
        <v>36342</v>
      </c>
      <c r="B44" s="6">
        <f>[1]עקיף!$C48</f>
        <v>2956.0230000000001</v>
      </c>
      <c r="C44" s="6">
        <f>-1*[1]עקיף!$D48</f>
        <v>-1177.2449999999999</v>
      </c>
      <c r="D44" s="7">
        <f>SUM(consumption_tax!B44:C44, import_trade_tax!B44)</f>
        <v>3347.3590000000004</v>
      </c>
      <c r="E44" s="6">
        <f>[1]עקיף!$I48</f>
        <v>80.05</v>
      </c>
      <c r="F44" s="6">
        <f>[1]עקיף!$K48</f>
        <v>473.96499999999997</v>
      </c>
    </row>
    <row r="45" spans="1:6" x14ac:dyDescent="0.2">
      <c r="A45" s="26">
        <v>36373</v>
      </c>
      <c r="B45" s="6">
        <f>[1]עקיף!$C49</f>
        <v>2366.5259999999998</v>
      </c>
      <c r="C45" s="6">
        <f>-1*[1]עקיף!$D49</f>
        <v>-1088.1320000000001</v>
      </c>
      <c r="D45" s="7">
        <f>SUM(consumption_tax!B45:C45, import_trade_tax!B45)</f>
        <v>3198.29</v>
      </c>
      <c r="E45" s="6">
        <f>[1]עקיף!$I49</f>
        <v>77.947999999999993</v>
      </c>
      <c r="F45" s="6">
        <f>[1]עקיף!$K49</f>
        <v>542.21400000000006</v>
      </c>
    </row>
    <row r="46" spans="1:6" x14ac:dyDescent="0.2">
      <c r="A46" s="26">
        <v>36404</v>
      </c>
      <c r="B46" s="6">
        <f>[1]עקיף!$C50</f>
        <v>3086.5186165161326</v>
      </c>
      <c r="C46" s="6">
        <f>-1*[1]עקיף!$D50</f>
        <v>-1217.479</v>
      </c>
      <c r="D46" s="7">
        <f>SUM(consumption_tax!B46:C46, import_trade_tax!B46)</f>
        <v>3327.3839999999996</v>
      </c>
      <c r="E46" s="6">
        <f>[1]עקיף!$I50</f>
        <v>90.97</v>
      </c>
      <c r="F46" s="6">
        <f>[1]עקיף!$K50</f>
        <v>439.012</v>
      </c>
    </row>
    <row r="47" spans="1:6" x14ac:dyDescent="0.2">
      <c r="A47" s="26">
        <v>36434</v>
      </c>
      <c r="B47" s="6">
        <f>[1]עקיף!$C51</f>
        <v>2200.9079999999999</v>
      </c>
      <c r="C47" s="6">
        <f>-1*[1]עקיף!$D51</f>
        <v>-1113.1880000000001</v>
      </c>
      <c r="D47" s="7">
        <f>SUM(consumption_tax!B47:C47, import_trade_tax!B47)</f>
        <v>2737.9949999999999</v>
      </c>
      <c r="E47" s="6">
        <f>[1]עקיף!$I51</f>
        <v>68.209999999999994</v>
      </c>
      <c r="F47" s="6">
        <f>[1]עקיף!$K51</f>
        <v>502.17</v>
      </c>
    </row>
    <row r="48" spans="1:6" x14ac:dyDescent="0.2">
      <c r="A48" s="26">
        <v>36465</v>
      </c>
      <c r="B48" s="6">
        <f>[1]עקיף!$C52</f>
        <v>3066.07</v>
      </c>
      <c r="C48" s="6">
        <f>-1*[1]עקיף!$D52</f>
        <v>-1383.2550000000001</v>
      </c>
      <c r="D48" s="7">
        <f>SUM(consumption_tax!B48:C48, import_trade_tax!B48)</f>
        <v>3593.826</v>
      </c>
      <c r="E48" s="6">
        <f>[1]עקיף!$I52</f>
        <v>63.798999999999999</v>
      </c>
      <c r="F48" s="6">
        <f>[1]עקיף!$K52</f>
        <v>481.52600000000001</v>
      </c>
    </row>
    <row r="49" spans="1:6" x14ac:dyDescent="0.2">
      <c r="A49" s="26">
        <v>36495</v>
      </c>
      <c r="B49" s="6">
        <f>[1]עקיף!$C53</f>
        <v>2346.39</v>
      </c>
      <c r="C49" s="6">
        <f>-1*[1]עקיף!$D53</f>
        <v>-1358.4649999999999</v>
      </c>
      <c r="D49" s="7">
        <f>SUM(consumption_tax!B49:C49, import_trade_tax!B49)</f>
        <v>2826.4880000000003</v>
      </c>
      <c r="E49" s="6">
        <f>[1]עקיף!$I53</f>
        <v>61.557000000000002</v>
      </c>
      <c r="F49" s="6">
        <f>[1]עקיף!$K53</f>
        <v>449.31299999999999</v>
      </c>
    </row>
    <row r="50" spans="1:6" x14ac:dyDescent="0.2">
      <c r="A50" s="26">
        <v>36526</v>
      </c>
      <c r="B50" s="6">
        <f>[1]עקיף!$C54</f>
        <v>3359.8040000000001</v>
      </c>
      <c r="C50" s="6">
        <f>-1*[1]עקיף!$D54</f>
        <v>-1353.183</v>
      </c>
      <c r="D50" s="7">
        <f>SUM(consumption_tax!B50:C50, import_trade_tax!B50)</f>
        <v>3561.27</v>
      </c>
      <c r="E50" s="6">
        <f>[1]עקיף!$I54</f>
        <v>70.573999999999998</v>
      </c>
      <c r="F50" s="6">
        <f>[1]עקיף!$K54</f>
        <v>485.72500000000002</v>
      </c>
    </row>
    <row r="51" spans="1:6" x14ac:dyDescent="0.2">
      <c r="A51" s="26">
        <v>36557</v>
      </c>
      <c r="B51" s="6">
        <f>[1]עקיף!$C55</f>
        <v>2528.5439999999999</v>
      </c>
      <c r="C51" s="6">
        <f>-1*[1]עקיף!$D55</f>
        <v>-1453.039</v>
      </c>
      <c r="D51" s="7">
        <f>SUM(consumption_tax!B51:C51, import_trade_tax!B51)</f>
        <v>2806.5990000000002</v>
      </c>
      <c r="E51" s="6">
        <f>[1]עקיף!$I55</f>
        <v>50.055999999999997</v>
      </c>
      <c r="F51" s="6">
        <f>[1]עקיף!$K55</f>
        <v>450.35599999999999</v>
      </c>
    </row>
    <row r="52" spans="1:6" x14ac:dyDescent="0.2">
      <c r="A52" s="26">
        <v>36586</v>
      </c>
      <c r="B52" s="6">
        <f>[1]עקיף!$C56</f>
        <v>3056.9409999999998</v>
      </c>
      <c r="C52" s="6">
        <f>-1*[1]עקיף!$D56</f>
        <v>-1296.5350000000001</v>
      </c>
      <c r="D52" s="7">
        <f>SUM(consumption_tax!B52:C52, import_trade_tax!B52)</f>
        <v>3686.0709999999999</v>
      </c>
      <c r="E52" s="6">
        <f>[1]עקיף!$I56</f>
        <v>49.02</v>
      </c>
      <c r="F52" s="6">
        <f>[1]עקיף!$K56</f>
        <v>418.952</v>
      </c>
    </row>
    <row r="53" spans="1:6" x14ac:dyDescent="0.2">
      <c r="A53" s="26">
        <v>36617</v>
      </c>
      <c r="B53" s="6">
        <f>[1]עקיף!$C57</f>
        <v>2325.694</v>
      </c>
      <c r="C53" s="6">
        <f>-1*[1]עקיף!$D57</f>
        <v>-1024.357</v>
      </c>
      <c r="D53" s="7">
        <f>SUM(consumption_tax!B53:C53, import_trade_tax!B53)</f>
        <v>3001.5280000000002</v>
      </c>
      <c r="E53" s="6">
        <f>[1]עקיף!$I57</f>
        <v>60.273000000000003</v>
      </c>
      <c r="F53" s="6">
        <f>[1]עקיף!$K57</f>
        <v>443.33199999999999</v>
      </c>
    </row>
    <row r="54" spans="1:6" x14ac:dyDescent="0.2">
      <c r="A54" s="26">
        <v>36647</v>
      </c>
      <c r="B54" s="6">
        <f>[1]עקיף!$C58</f>
        <v>3049.2049999999999</v>
      </c>
      <c r="C54" s="6">
        <f>-1*[1]עקיף!$D58</f>
        <v>-1568.8109999999999</v>
      </c>
      <c r="D54" s="7">
        <f>SUM(consumption_tax!B54:C54, import_trade_tax!B54)</f>
        <v>3385.1130000000003</v>
      </c>
      <c r="E54" s="6">
        <f>[1]עקיף!$I58</f>
        <v>61.526000000000003</v>
      </c>
      <c r="F54" s="6">
        <f>[1]עקיף!$K58</f>
        <v>509.57600000000002</v>
      </c>
    </row>
    <row r="55" spans="1:6" x14ac:dyDescent="0.2">
      <c r="A55" s="26">
        <v>36678</v>
      </c>
      <c r="B55" s="6">
        <f>[1]עקיף!$C59</f>
        <v>2349.6509999999998</v>
      </c>
      <c r="C55" s="6">
        <f>-1*[1]עקיף!$D59</f>
        <v>-1501.9290000000001</v>
      </c>
      <c r="D55" s="7">
        <f>SUM(consumption_tax!B55:C55, import_trade_tax!B55)</f>
        <v>2601.3819999999996</v>
      </c>
      <c r="E55" s="6">
        <f>[1]עקיף!$I59</f>
        <v>71.400999999999996</v>
      </c>
      <c r="F55" s="6">
        <f>[1]עקיף!$K59</f>
        <v>470.10500000000002</v>
      </c>
    </row>
    <row r="56" spans="1:6" x14ac:dyDescent="0.2">
      <c r="A56" s="26">
        <v>36708</v>
      </c>
      <c r="B56" s="6">
        <f>[1]עקיף!$C60</f>
        <v>3180.5450000000001</v>
      </c>
      <c r="C56" s="6">
        <f>-1*[1]עקיף!$D60</f>
        <v>-1354.5840000000001</v>
      </c>
      <c r="D56" s="7">
        <f>SUM(consumption_tax!B56:C56, import_trade_tax!B56)</f>
        <v>3823.7179999999998</v>
      </c>
      <c r="E56" s="6">
        <f>[1]עקיף!$I60</f>
        <v>83.182000000000002</v>
      </c>
      <c r="F56" s="6">
        <f>[1]עקיף!$K60</f>
        <v>534.63099999999997</v>
      </c>
    </row>
    <row r="57" spans="1:6" x14ac:dyDescent="0.2">
      <c r="A57" s="26">
        <v>36739</v>
      </c>
      <c r="B57" s="6">
        <f>[1]עקיף!$C61</f>
        <v>2547.4810000000002</v>
      </c>
      <c r="C57" s="6">
        <f>-1*[1]עקיף!$D61</f>
        <v>-1468.5419999999999</v>
      </c>
      <c r="D57" s="7">
        <f>SUM(consumption_tax!B57:C57, import_trade_tax!B57)</f>
        <v>3080.3120000000004</v>
      </c>
      <c r="E57" s="6">
        <f>[1]עקיף!$I61</f>
        <v>90.403999999999996</v>
      </c>
      <c r="F57" s="6">
        <f>[1]עקיף!$K61</f>
        <v>523.12400000000002</v>
      </c>
    </row>
    <row r="58" spans="1:6" x14ac:dyDescent="0.2">
      <c r="A58" s="26">
        <v>36770</v>
      </c>
      <c r="B58" s="6">
        <f>[1]עקיף!$C62</f>
        <v>3306.49</v>
      </c>
      <c r="C58" s="6">
        <f>-1*[1]עקיף!$D62</f>
        <v>-1463.579</v>
      </c>
      <c r="D58" s="7">
        <f>SUM(consumption_tax!B58:C58, import_trade_tax!B58)</f>
        <v>3577.8829999999998</v>
      </c>
      <c r="E58" s="6">
        <f>[1]עקיף!$I62</f>
        <v>62.384</v>
      </c>
      <c r="F58" s="6">
        <f>[1]עקיף!$K62</f>
        <v>482.14699999999999</v>
      </c>
    </row>
    <row r="59" spans="1:6" x14ac:dyDescent="0.2">
      <c r="A59" s="26">
        <v>36800</v>
      </c>
      <c r="B59" s="6">
        <f>[1]עקיף!$C63</f>
        <v>2460.674</v>
      </c>
      <c r="C59" s="6">
        <f>-1*[1]עקיף!$D63</f>
        <v>-633.42100000000005</v>
      </c>
      <c r="D59" s="7">
        <f>SUM(consumption_tax!B59:C59, import_trade_tax!B59)</f>
        <v>3772.5</v>
      </c>
      <c r="E59" s="6">
        <f>[1]עקיף!$I63</f>
        <v>15.6</v>
      </c>
      <c r="F59" s="6">
        <f>[1]עקיף!$K63</f>
        <v>445.42899999999997</v>
      </c>
    </row>
    <row r="60" spans="1:6" x14ac:dyDescent="0.2">
      <c r="A60" s="26">
        <v>36831</v>
      </c>
      <c r="B60" s="6">
        <f>[1]עקיף!$C64</f>
        <v>3013.0720000000001</v>
      </c>
      <c r="C60" s="6">
        <f>-1*[1]עקיף!$D64</f>
        <v>-2371.9050000000002</v>
      </c>
      <c r="D60" s="7">
        <f>SUM(consumption_tax!B60:C60, import_trade_tax!B60)</f>
        <v>2606.3440000000001</v>
      </c>
      <c r="E60" s="6">
        <f>[1]עקיף!$I64</f>
        <v>19.396999999999998</v>
      </c>
      <c r="F60" s="6">
        <f>[1]עקיף!$K64</f>
        <v>422.13900000000001</v>
      </c>
    </row>
    <row r="61" spans="1:6" x14ac:dyDescent="0.2">
      <c r="A61" s="26">
        <v>36861</v>
      </c>
      <c r="B61" s="6">
        <f>[1]עקיף!$C65</f>
        <v>2371.5329999999999</v>
      </c>
      <c r="C61" s="6">
        <f>-1*[1]עקיף!$D65</f>
        <v>-1457.2750000000001</v>
      </c>
      <c r="D61" s="7">
        <f>SUM(consumption_tax!B61:C61, import_trade_tax!B61)</f>
        <v>2599.8829999999998</v>
      </c>
      <c r="E61" s="6">
        <f>[1]עקיף!$I65</f>
        <v>28.677</v>
      </c>
      <c r="F61" s="6">
        <f>[1]עקיף!$K65</f>
        <v>480.15699999999998</v>
      </c>
    </row>
    <row r="62" spans="1:6" x14ac:dyDescent="0.2">
      <c r="A62" s="26">
        <v>36892</v>
      </c>
      <c r="B62" s="6">
        <f>[1]עקיף!$C66</f>
        <v>3527.0360000000001</v>
      </c>
      <c r="C62" s="6">
        <f>-1*[1]עקיף!$D66</f>
        <v>-864.80200000000002</v>
      </c>
      <c r="D62" s="7">
        <f>SUM(consumption_tax!B62:C62, import_trade_tax!B62)</f>
        <v>4468.8760000000002</v>
      </c>
      <c r="E62" s="6">
        <f>[1]עקיף!$I66</f>
        <v>21.274000000000001</v>
      </c>
      <c r="F62" s="6">
        <f>[1]עקיף!$K66</f>
        <v>440.86500000000001</v>
      </c>
    </row>
    <row r="63" spans="1:6" x14ac:dyDescent="0.2">
      <c r="A63" s="26">
        <v>36923</v>
      </c>
      <c r="B63" s="6">
        <f>[1]עקיף!$C67</f>
        <v>2638.9690000000001</v>
      </c>
      <c r="C63" s="6">
        <f>-1*[1]עקיף!$D67</f>
        <v>-1963.4280000000001</v>
      </c>
      <c r="D63" s="7">
        <f>SUM(consumption_tax!B63:C63, import_trade_tax!B63)</f>
        <v>2457.636</v>
      </c>
      <c r="E63" s="6">
        <f>[1]עקיף!$I67</f>
        <v>24.800999999999998</v>
      </c>
      <c r="F63" s="6">
        <f>[1]עקיף!$K67</f>
        <v>471.404</v>
      </c>
    </row>
    <row r="64" spans="1:6" x14ac:dyDescent="0.2">
      <c r="A64" s="26">
        <v>36951</v>
      </c>
      <c r="B64" s="6">
        <f>[1]עקיף!$C68</f>
        <v>2933.2240000000002</v>
      </c>
      <c r="C64" s="6">
        <f>-1*[1]עקיף!$D68</f>
        <v>-1456.04</v>
      </c>
      <c r="D64" s="7">
        <f>SUM(consumption_tax!B64:C64, import_trade_tax!B64)</f>
        <v>3354.5619999999999</v>
      </c>
      <c r="E64" s="6">
        <f>[1]עקיף!$I68</f>
        <v>21.957999999999998</v>
      </c>
      <c r="F64" s="6">
        <f>[1]עקיף!$K68</f>
        <v>446.50799999999998</v>
      </c>
    </row>
    <row r="65" spans="1:6" x14ac:dyDescent="0.2">
      <c r="A65" s="26">
        <v>36982</v>
      </c>
      <c r="B65" s="6">
        <f>[1]עקיף!$C69</f>
        <v>2478.4430000000002</v>
      </c>
      <c r="C65" s="6">
        <f>-1*[1]עקיף!$D69</f>
        <v>-1227.4649999999999</v>
      </c>
      <c r="D65" s="7">
        <f>SUM(consumption_tax!B65:C65, import_trade_tax!B65)</f>
        <v>3024.3270000000002</v>
      </c>
      <c r="E65" s="6">
        <f>[1]עקיף!$I69</f>
        <v>37.107999999999997</v>
      </c>
      <c r="F65" s="6">
        <f>[1]עקיף!$K69</f>
        <v>404.67099999999999</v>
      </c>
    </row>
    <row r="66" spans="1:6" x14ac:dyDescent="0.2">
      <c r="A66" s="26">
        <v>37012</v>
      </c>
      <c r="B66" s="6">
        <f>[1]עקיף!$C70</f>
        <v>3130.4569999999999</v>
      </c>
      <c r="C66" s="6">
        <f>-1*[1]עקיף!$D70</f>
        <v>-1494.1980000000001</v>
      </c>
      <c r="D66" s="7">
        <f>SUM(consumption_tax!B66:C66, import_trade_tax!B66)</f>
        <v>3377.384</v>
      </c>
      <c r="E66" s="6">
        <f>[1]עקיף!$I70</f>
        <v>30.103000000000002</v>
      </c>
      <c r="F66" s="6">
        <f>[1]עקיף!$K70</f>
        <v>467.13600000000002</v>
      </c>
    </row>
    <row r="67" spans="1:6" x14ac:dyDescent="0.2">
      <c r="A67" s="26">
        <v>37043</v>
      </c>
      <c r="B67" s="6">
        <f>[1]עקיף!$C71</f>
        <v>2434.5810000000001</v>
      </c>
      <c r="C67" s="6">
        <f>-1*[1]עקיף!$D71</f>
        <v>-1142.5530000000001</v>
      </c>
      <c r="D67" s="7">
        <f>SUM(consumption_tax!B67:C67, import_trade_tax!B67)</f>
        <v>2784.3249999999998</v>
      </c>
      <c r="E67" s="6">
        <f>[1]עקיף!$I71</f>
        <v>34.408999999999999</v>
      </c>
      <c r="F67" s="6">
        <f>[1]עקיף!$K71</f>
        <v>460.89299999999997</v>
      </c>
    </row>
    <row r="68" spans="1:6" x14ac:dyDescent="0.2">
      <c r="A68" s="26">
        <v>37073</v>
      </c>
      <c r="B68" s="6">
        <f>[1]עקיף!$C72</f>
        <v>3253.143</v>
      </c>
      <c r="C68" s="6">
        <f>-1*[1]עקיף!$D72</f>
        <v>-1365.1890000000001</v>
      </c>
      <c r="D68" s="7">
        <f>SUM(consumption_tax!B68:C68, import_trade_tax!B68)</f>
        <v>3721.018</v>
      </c>
      <c r="E68" s="6">
        <f>[1]עקיף!$I72</f>
        <v>37.619999999999997</v>
      </c>
      <c r="F68" s="6">
        <f>[1]עקיף!$K72</f>
        <v>581.89099999999996</v>
      </c>
    </row>
    <row r="69" spans="1:6" x14ac:dyDescent="0.2">
      <c r="A69" s="26">
        <v>37104</v>
      </c>
      <c r="B69" s="6">
        <f>[1]עקיף!$C73</f>
        <v>2523.5279999999998</v>
      </c>
      <c r="C69" s="6">
        <f>-1*[1]עקיף!$D73</f>
        <v>-1171.414</v>
      </c>
      <c r="D69" s="7">
        <f>SUM(consumption_tax!B69:C69, import_trade_tax!B69)</f>
        <v>3116.8220000000001</v>
      </c>
      <c r="E69" s="6">
        <f>[1]עקיף!$I73</f>
        <v>34.941000000000003</v>
      </c>
      <c r="F69" s="6">
        <f>[1]עקיף!$K73</f>
        <v>480.00799999999998</v>
      </c>
    </row>
    <row r="70" spans="1:6" x14ac:dyDescent="0.2">
      <c r="A70" s="26">
        <v>37135</v>
      </c>
      <c r="B70" s="6">
        <f>[1]עקיף!$C74</f>
        <v>3339.44</v>
      </c>
      <c r="C70" s="6">
        <f>-1*[1]עקיף!$D74</f>
        <v>-738.56</v>
      </c>
      <c r="D70" s="7">
        <f>SUM(consumption_tax!B70:C70, import_trade_tax!B70)</f>
        <v>4101.3810000000003</v>
      </c>
      <c r="E70" s="6">
        <f>[1]עקיף!$I74</f>
        <v>51.49</v>
      </c>
      <c r="F70" s="6">
        <f>[1]עקיף!$K74</f>
        <v>469.97399999999999</v>
      </c>
    </row>
    <row r="71" spans="1:6" x14ac:dyDescent="0.2">
      <c r="A71" s="26">
        <v>37165</v>
      </c>
      <c r="B71" s="6">
        <f>[1]עקיף!$C75</f>
        <v>2483.8890000000001</v>
      </c>
      <c r="C71" s="6">
        <f>-1*[1]עקיף!$D75</f>
        <v>-1496.5</v>
      </c>
      <c r="D71" s="7">
        <f>SUM(consumption_tax!B71:C71, import_trade_tax!B71)</f>
        <v>2546.13</v>
      </c>
      <c r="E71" s="6">
        <f>[1]עקיף!$I75</f>
        <v>33.707999999999998</v>
      </c>
      <c r="F71" s="6">
        <f>[1]עקיף!$K75</f>
        <v>478.10700000000003</v>
      </c>
    </row>
    <row r="72" spans="1:6" x14ac:dyDescent="0.2">
      <c r="A72" s="26">
        <v>37196</v>
      </c>
      <c r="B72" s="6">
        <f>[1]עקיף!$C76</f>
        <v>3028.8139999999999</v>
      </c>
      <c r="C72" s="6">
        <f>-1*[1]עקיף!$D76</f>
        <v>-1232.8330000000001</v>
      </c>
      <c r="D72" s="7">
        <f>SUM(consumption_tax!B72:C72, import_trade_tax!B72)</f>
        <v>3378.0699999999997</v>
      </c>
      <c r="E72" s="6">
        <f>[1]עקיף!$I76</f>
        <v>27.001999999999999</v>
      </c>
      <c r="F72" s="6">
        <f>[1]עקיף!$K76</f>
        <v>478.745</v>
      </c>
    </row>
    <row r="73" spans="1:6" x14ac:dyDescent="0.2">
      <c r="A73" s="26">
        <v>37226</v>
      </c>
      <c r="B73" s="6">
        <f>[1]עקיף!$C77</f>
        <v>2577.123</v>
      </c>
      <c r="C73" s="6">
        <f>-1*[1]עקיף!$D77</f>
        <v>-1146.8430000000001</v>
      </c>
      <c r="D73" s="7">
        <f>SUM(consumption_tax!B73:C73, import_trade_tax!B73)</f>
        <v>3110.3760000000002</v>
      </c>
      <c r="E73" s="6">
        <f>[1]עקיף!$I77</f>
        <v>29.97</v>
      </c>
      <c r="F73" s="6">
        <f>[1]עקיף!$K77</f>
        <v>520.74300000000005</v>
      </c>
    </row>
    <row r="74" spans="1:6" x14ac:dyDescent="0.2">
      <c r="A74" s="26">
        <v>37257</v>
      </c>
      <c r="B74" s="6">
        <f>[1]עקיף!$C78</f>
        <v>3464.154</v>
      </c>
      <c r="C74" s="6">
        <f>-1*[1]עקיף!$D78</f>
        <v>-1304.896</v>
      </c>
      <c r="D74" s="7">
        <f>SUM(consumption_tax!B74:C74, import_trade_tax!B74)</f>
        <v>4086.9169999999999</v>
      </c>
      <c r="E74" s="6">
        <f>[1]עקיף!$I78</f>
        <v>29.672999999999998</v>
      </c>
      <c r="F74" s="6">
        <f>[1]עקיף!$K78</f>
        <v>488.625</v>
      </c>
    </row>
    <row r="75" spans="1:6" x14ac:dyDescent="0.2">
      <c r="A75" s="26">
        <v>37288</v>
      </c>
      <c r="B75" s="6">
        <f>[1]עקיף!$C79</f>
        <v>2619.5700000000002</v>
      </c>
      <c r="C75" s="6">
        <f>-1*[1]עקיף!$D79</f>
        <v>-1080.325</v>
      </c>
      <c r="D75" s="7">
        <f>SUM(consumption_tax!B75:C75, import_trade_tax!B75)</f>
        <v>3219.7359999999999</v>
      </c>
      <c r="E75" s="6">
        <f>[1]עקיף!$I79</f>
        <v>27.087</v>
      </c>
      <c r="F75" s="6">
        <f>[1]עקיף!$K79</f>
        <v>447.279</v>
      </c>
    </row>
    <row r="76" spans="1:6" x14ac:dyDescent="0.2">
      <c r="A76" s="26">
        <v>37316</v>
      </c>
      <c r="B76" s="6">
        <f>[1]עקיף!$C80</f>
        <v>3223.4110000000001</v>
      </c>
      <c r="C76" s="6">
        <f>-1*[1]עקיף!$D80</f>
        <v>-1176.7570000000001</v>
      </c>
      <c r="D76" s="7">
        <f>SUM(consumption_tax!B76:C76, import_trade_tax!B76)</f>
        <v>3715.3509999999997</v>
      </c>
      <c r="E76" s="6">
        <f>[1]עקיף!$I80</f>
        <v>24.315000000000001</v>
      </c>
      <c r="F76" s="6">
        <f>[1]עקיף!$K80</f>
        <v>490.66899999999998</v>
      </c>
    </row>
    <row r="77" spans="1:6" x14ac:dyDescent="0.2">
      <c r="A77" s="26">
        <v>37347</v>
      </c>
      <c r="B77" s="6">
        <f>[1]עקיף!$C81</f>
        <v>2628.1190000000001</v>
      </c>
      <c r="C77" s="6">
        <f>-1*[1]עקיף!$D81</f>
        <v>-1061.011</v>
      </c>
      <c r="D77" s="7">
        <f>SUM(consumption_tax!B77:C77, import_trade_tax!B77)</f>
        <v>3320.4310000000005</v>
      </c>
      <c r="E77" s="6">
        <f>[1]עקיף!$I81</f>
        <v>33.255000000000003</v>
      </c>
      <c r="F77" s="6">
        <f>[1]עקיף!$K81</f>
        <v>439.238</v>
      </c>
    </row>
    <row r="78" spans="1:6" x14ac:dyDescent="0.2">
      <c r="A78" s="26">
        <v>37377</v>
      </c>
      <c r="B78" s="6">
        <f>[1]עקיף!$C82</f>
        <v>3002.1260000000002</v>
      </c>
      <c r="C78" s="6">
        <f>-1*[1]עקיף!$D82</f>
        <v>-1256.585</v>
      </c>
      <c r="D78" s="7">
        <f>SUM(consumption_tax!B78:C78, import_trade_tax!B78)</f>
        <v>3643.348</v>
      </c>
      <c r="E78" s="6">
        <f>[1]עקיף!$I82</f>
        <v>31.858000000000001</v>
      </c>
      <c r="F78" s="6">
        <f>[1]עקיף!$K82</f>
        <v>566.36</v>
      </c>
    </row>
    <row r="79" spans="1:6" x14ac:dyDescent="0.2">
      <c r="A79" s="26">
        <v>37408</v>
      </c>
      <c r="B79" s="6">
        <f>[1]עקיף!$C83</f>
        <v>2661.2919999999999</v>
      </c>
      <c r="C79" s="6">
        <f>-1*[1]עקיף!$D83</f>
        <v>-1363.6959999999999</v>
      </c>
      <c r="D79" s="7">
        <f>SUM(consumption_tax!B79:C79, import_trade_tax!B79)</f>
        <v>3215.8</v>
      </c>
      <c r="E79" s="6">
        <f>[1]עקיף!$I83</f>
        <v>30.847000000000001</v>
      </c>
      <c r="F79" s="6">
        <f>[1]עקיף!$K83</f>
        <v>584.04300000000001</v>
      </c>
    </row>
    <row r="80" spans="1:6" x14ac:dyDescent="0.2">
      <c r="A80" s="26">
        <v>37438</v>
      </c>
      <c r="B80" s="6">
        <f>[1]עקיף!$C84</f>
        <v>3609.1</v>
      </c>
      <c r="C80" s="6">
        <f>-1*[1]עקיף!$D84</f>
        <v>-1324.3630000000001</v>
      </c>
      <c r="D80" s="7">
        <f>SUM(consumption_tax!B80:C80, import_trade_tax!B80)</f>
        <v>4307.3680000000004</v>
      </c>
      <c r="E80" s="6">
        <f>[1]עקיף!$I84</f>
        <v>51.637</v>
      </c>
      <c r="F80" s="6">
        <f>[1]עקיף!$K84</f>
        <v>615.98</v>
      </c>
    </row>
    <row r="81" spans="1:6" x14ac:dyDescent="0.2">
      <c r="A81" s="26">
        <v>37469</v>
      </c>
      <c r="B81" s="6">
        <f>[1]עקיף!$C85</f>
        <v>2781.723</v>
      </c>
      <c r="C81" s="6">
        <f>-1*[1]עקיף!$D85</f>
        <v>-1310</v>
      </c>
      <c r="D81" s="7">
        <f>SUM(consumption_tax!B81:C81, import_trade_tax!B81)</f>
        <v>3311.8130000000001</v>
      </c>
      <c r="E81" s="6">
        <f>[1]עקיף!$I85</f>
        <v>41.128999999999998</v>
      </c>
      <c r="F81" s="6">
        <f>[1]עקיף!$K85</f>
        <v>675.36500000000001</v>
      </c>
    </row>
    <row r="82" spans="1:6" x14ac:dyDescent="0.2">
      <c r="A82" s="26">
        <v>37500</v>
      </c>
      <c r="B82" s="6">
        <f>[1]עקיף!$C86</f>
        <v>3522.924</v>
      </c>
      <c r="C82" s="6">
        <f>-1*[1]עקיף!$D86</f>
        <v>-612.87300000000005</v>
      </c>
      <c r="D82" s="7">
        <f>SUM(consumption_tax!B82:C82, import_trade_tax!B82)</f>
        <v>4717.7629999999999</v>
      </c>
      <c r="E82" s="6">
        <f>[1]עקיף!$I86</f>
        <v>39.212000000000003</v>
      </c>
      <c r="F82" s="6">
        <f>[1]עקיף!$K86</f>
        <v>617.26400000000001</v>
      </c>
    </row>
    <row r="83" spans="1:6" x14ac:dyDescent="0.2">
      <c r="A83" s="26">
        <v>37530</v>
      </c>
      <c r="B83" s="6">
        <f>[1]עקיף!$C87</f>
        <v>2496.2919999999999</v>
      </c>
      <c r="C83" s="6">
        <f>-1*[1]עקיף!$D87</f>
        <v>-847.57</v>
      </c>
      <c r="D83" s="7">
        <f>SUM(consumption_tax!B83:C83, import_trade_tax!B83)</f>
        <v>3663.5869999999995</v>
      </c>
      <c r="E83" s="6">
        <f>[1]עקיף!$I87</f>
        <v>34.015000000000001</v>
      </c>
      <c r="F83" s="6">
        <f>[1]עקיף!$K87</f>
        <v>622.024</v>
      </c>
    </row>
    <row r="84" spans="1:6" x14ac:dyDescent="0.2">
      <c r="A84" s="26">
        <v>37561</v>
      </c>
      <c r="B84" s="6">
        <f>[1]עקיף!$C88</f>
        <v>3343.944</v>
      </c>
      <c r="C84" s="6">
        <f>-1*[1]עקיף!$D88</f>
        <v>-2163.0320000000002</v>
      </c>
      <c r="D84" s="7">
        <f>SUM(consumption_tax!B84:C84, import_trade_tax!B84)</f>
        <v>2822.1909999999998</v>
      </c>
      <c r="E84" s="6">
        <f>[1]עקיף!$I88</f>
        <v>33.542000000000002</v>
      </c>
      <c r="F84" s="6">
        <f>[1]עקיף!$K88</f>
        <v>578.94799999999998</v>
      </c>
    </row>
    <row r="85" spans="1:6" x14ac:dyDescent="0.2">
      <c r="A85" s="26">
        <v>37591</v>
      </c>
      <c r="B85" s="6">
        <f>[1]עקיף!$C89</f>
        <v>2638.873</v>
      </c>
      <c r="C85" s="6">
        <f>-1*[1]עקיף!$D89</f>
        <v>-922.62300000000005</v>
      </c>
      <c r="D85" s="7">
        <f>SUM(consumption_tax!B85:C85, import_trade_tax!B85)</f>
        <v>3714.6610000000001</v>
      </c>
      <c r="E85" s="6">
        <f>[1]עקיף!$I89</f>
        <v>27.343</v>
      </c>
      <c r="F85" s="6">
        <f>[1]עקיף!$K89</f>
        <v>613.17499999999995</v>
      </c>
    </row>
    <row r="86" spans="1:6" x14ac:dyDescent="0.2">
      <c r="A86" s="26">
        <v>37622</v>
      </c>
      <c r="B86" s="6">
        <f>[1]עקיף!$C90</f>
        <v>3803.8780000000002</v>
      </c>
      <c r="C86" s="6">
        <f>-1*[1]עקיף!$D90</f>
        <v>-1901.91</v>
      </c>
      <c r="D86" s="7">
        <f>SUM(consumption_tax!B86:C86, import_trade_tax!B86)</f>
        <v>3764.9679999999998</v>
      </c>
      <c r="E86" s="6">
        <f>[1]עקיף!$I90</f>
        <v>32.170999999999999</v>
      </c>
      <c r="F86" s="6">
        <f>[1]עקיף!$K90</f>
        <v>624.86900000000003</v>
      </c>
    </row>
    <row r="87" spans="1:6" x14ac:dyDescent="0.2">
      <c r="A87" s="26">
        <v>37653</v>
      </c>
      <c r="B87" s="6">
        <f>[1]עקיף!$C91</f>
        <v>2788.7759999999998</v>
      </c>
      <c r="C87" s="6">
        <f>-1*[1]עקיף!$D91</f>
        <v>-1295.981</v>
      </c>
      <c r="D87" s="7">
        <f>SUM(consumption_tax!B87:C87, import_trade_tax!B87)</f>
        <v>3247.9569999999999</v>
      </c>
      <c r="E87" s="6">
        <f>[1]עקיף!$I91</f>
        <v>18.995000000000001</v>
      </c>
      <c r="F87" s="6">
        <f>[1]עקיף!$K91</f>
        <v>556.40700000000004</v>
      </c>
    </row>
    <row r="88" spans="1:6" x14ac:dyDescent="0.2">
      <c r="A88" s="26">
        <v>37681</v>
      </c>
      <c r="B88" s="6">
        <f>[1]עקיף!$C92</f>
        <v>3307.1689999999999</v>
      </c>
      <c r="C88" s="6">
        <f>-1*[1]עקיף!$D92</f>
        <v>-1275.837</v>
      </c>
      <c r="D88" s="7">
        <f>SUM(consumption_tax!B88:C88, import_trade_tax!B88)</f>
        <v>4242.4889999999996</v>
      </c>
      <c r="E88" s="6">
        <f>[1]עקיף!$I92</f>
        <v>18.135000000000002</v>
      </c>
      <c r="F88" s="6">
        <f>[1]עקיף!$K92</f>
        <v>608.16399999999999</v>
      </c>
    </row>
    <row r="89" spans="1:6" x14ac:dyDescent="0.2">
      <c r="A89" s="26">
        <v>37712</v>
      </c>
      <c r="B89" s="6">
        <f>[1]עקיף!$C93</f>
        <v>2481.0590000000002</v>
      </c>
      <c r="C89" s="6">
        <f>-1*[1]עקיף!$D93</f>
        <v>-1335.144</v>
      </c>
      <c r="D89" s="7">
        <f>SUM(consumption_tax!B89:C89, import_trade_tax!B89)</f>
        <v>2951.4320000000002</v>
      </c>
      <c r="E89" s="6">
        <f>[1]עקיף!$I93</f>
        <v>25.452000000000002</v>
      </c>
      <c r="F89" s="6">
        <f>[1]עקיף!$K93</f>
        <v>528.63199999999995</v>
      </c>
    </row>
    <row r="90" spans="1:6" x14ac:dyDescent="0.2">
      <c r="A90" s="26">
        <v>37742</v>
      </c>
      <c r="B90" s="6">
        <f>[1]עקיף!$C94</f>
        <v>3264.248</v>
      </c>
      <c r="C90" s="6">
        <f>-1*[1]עקיף!$D94</f>
        <v>-1239.6890000000001</v>
      </c>
      <c r="D90" s="7">
        <f>SUM(consumption_tax!B90:C90, import_trade_tax!B90)</f>
        <v>3758.9759999999997</v>
      </c>
      <c r="E90" s="6">
        <f>[1]עקיף!$I94</f>
        <v>30.693000000000001</v>
      </c>
      <c r="F90" s="6">
        <f>[1]עקיף!$K94</f>
        <v>621.37400000000002</v>
      </c>
    </row>
    <row r="91" spans="1:6" x14ac:dyDescent="0.2">
      <c r="A91" s="26">
        <v>37773</v>
      </c>
      <c r="B91" s="6">
        <f>[1]עקיף!$C95</f>
        <v>2609.7040000000002</v>
      </c>
      <c r="C91" s="6">
        <f>-1*[1]עקיף!$D95</f>
        <v>-1299.9739999999999</v>
      </c>
      <c r="D91" s="7">
        <f>SUM(consumption_tax!B91:C91, import_trade_tax!B91)</f>
        <v>3236.366</v>
      </c>
      <c r="E91" s="6">
        <f>[1]עקיף!$I95</f>
        <v>31.919</v>
      </c>
      <c r="F91" s="6">
        <f>[1]עקיף!$K95</f>
        <v>634.71699999999998</v>
      </c>
    </row>
    <row r="92" spans="1:6" x14ac:dyDescent="0.2">
      <c r="A92" s="26">
        <v>37803</v>
      </c>
      <c r="B92" s="6">
        <f>[1]עקיף!$C96</f>
        <v>3397.7930000000001</v>
      </c>
      <c r="C92" s="6">
        <f>-1*[1]עקיף!$D96</f>
        <v>-1303.9870000000001</v>
      </c>
      <c r="D92" s="7">
        <f>SUM(consumption_tax!B92:C92, import_trade_tax!B92)</f>
        <v>4042.0680000000002</v>
      </c>
      <c r="E92" s="6">
        <f>[1]עקיף!$I96</f>
        <v>38.063000000000002</v>
      </c>
      <c r="F92" s="6">
        <f>[1]עקיף!$K96</f>
        <v>648.702</v>
      </c>
    </row>
    <row r="93" spans="1:6" x14ac:dyDescent="0.2">
      <c r="A93" s="26">
        <v>37834</v>
      </c>
      <c r="B93" s="6">
        <f>[1]עקיף!$C97</f>
        <v>2853.2779999999998</v>
      </c>
      <c r="C93" s="6">
        <f>-1*[1]עקיף!$D97</f>
        <v>-1233.2249999999999</v>
      </c>
      <c r="D93" s="7">
        <f>SUM(consumption_tax!B93:C93, import_trade_tax!B93)</f>
        <v>3383</v>
      </c>
      <c r="E93" s="6">
        <f>[1]עקיף!$I97</f>
        <v>38.637</v>
      </c>
      <c r="F93" s="6">
        <f>[1]עקיף!$K97</f>
        <v>638.56299999999999</v>
      </c>
    </row>
    <row r="94" spans="1:6" x14ac:dyDescent="0.2">
      <c r="A94" s="26">
        <v>37865</v>
      </c>
      <c r="B94" s="6">
        <f>[1]עקיף!$C98</f>
        <v>3582.0239999999999</v>
      </c>
      <c r="C94" s="6">
        <f>-1*[1]עקיף!$D98</f>
        <v>-1241.018</v>
      </c>
      <c r="D94" s="7">
        <f>SUM(consumption_tax!B94:C94, import_trade_tax!B94)</f>
        <v>4254.5439999999999</v>
      </c>
      <c r="E94" s="6">
        <f>[1]עקיף!$I98</f>
        <v>33.975999999999999</v>
      </c>
      <c r="F94" s="6">
        <f>[1]עקיף!$K98</f>
        <v>617.37900000000002</v>
      </c>
    </row>
    <row r="95" spans="1:6" x14ac:dyDescent="0.2">
      <c r="A95" s="26">
        <v>37895</v>
      </c>
      <c r="B95" s="6">
        <f>[1]עקיף!$C99</f>
        <v>2820</v>
      </c>
      <c r="C95" s="6">
        <f>-1*[1]עקיף!$D99</f>
        <v>-854</v>
      </c>
      <c r="D95" s="7">
        <f>SUM(consumption_tax!B95:C95, import_trade_tax!B95)</f>
        <v>3810</v>
      </c>
      <c r="E95" s="6">
        <f>[1]עקיף!$I99</f>
        <v>35</v>
      </c>
      <c r="F95" s="6">
        <f>[1]עקיף!$K99</f>
        <v>596</v>
      </c>
    </row>
    <row r="96" spans="1:6" x14ac:dyDescent="0.2">
      <c r="A96" s="26">
        <v>37926</v>
      </c>
      <c r="B96" s="6">
        <f>[1]עקיף!$C100</f>
        <v>3219</v>
      </c>
      <c r="C96" s="6">
        <f>-1*[1]עקיף!$D100</f>
        <v>-887</v>
      </c>
      <c r="D96" s="7">
        <f>SUM(consumption_tax!B96:C96, import_trade_tax!B96)</f>
        <v>4273</v>
      </c>
      <c r="E96" s="6">
        <f>[1]עקיף!$I100</f>
        <v>33</v>
      </c>
      <c r="F96" s="6">
        <f>[1]עקיף!$K100</f>
        <v>589</v>
      </c>
    </row>
    <row r="97" spans="1:6" x14ac:dyDescent="0.2">
      <c r="A97" s="26">
        <v>37956</v>
      </c>
      <c r="B97" s="6">
        <f>[1]עקיף!$C101</f>
        <v>2576</v>
      </c>
      <c r="C97" s="6">
        <f>-1*[1]עקיף!$D101</f>
        <v>-1707</v>
      </c>
      <c r="D97" s="7">
        <f>SUM(consumption_tax!B97:C97, import_trade_tax!B97)</f>
        <v>3021</v>
      </c>
      <c r="E97" s="6">
        <f>[1]עקיף!$I101</f>
        <v>35</v>
      </c>
      <c r="F97" s="6">
        <f>[1]עקיף!$K101</f>
        <v>621.85</v>
      </c>
    </row>
    <row r="98" spans="1:6" x14ac:dyDescent="0.2">
      <c r="A98" s="26">
        <v>37987</v>
      </c>
      <c r="B98" s="6">
        <f>[1]עקיף!$C102</f>
        <v>3736</v>
      </c>
      <c r="C98" s="6">
        <f>-1*[1]עקיף!$D102</f>
        <v>-1681</v>
      </c>
      <c r="D98" s="7">
        <f>SUM(consumption_tax!B98:C98, import_trade_tax!B98)</f>
        <v>4108</v>
      </c>
      <c r="E98" s="6">
        <f>[1]עקיף!$I102</f>
        <v>33</v>
      </c>
      <c r="F98" s="6">
        <f>[1]עקיף!$K102</f>
        <v>629</v>
      </c>
    </row>
    <row r="99" spans="1:6" x14ac:dyDescent="0.2">
      <c r="A99" s="26">
        <v>38018</v>
      </c>
      <c r="B99" s="6">
        <f>[1]עקיף!$C103</f>
        <v>2857</v>
      </c>
      <c r="C99" s="6">
        <f>-1*[1]עקיף!$D103</f>
        <v>-1355</v>
      </c>
      <c r="D99" s="7">
        <f>SUM(consumption_tax!B99:C99, import_trade_tax!B99)</f>
        <v>3607</v>
      </c>
      <c r="E99" s="6">
        <f>[1]עקיף!$I103</f>
        <v>33</v>
      </c>
      <c r="F99" s="6">
        <f>[1]עקיף!$K103</f>
        <v>615</v>
      </c>
    </row>
    <row r="100" spans="1:6" x14ac:dyDescent="0.2">
      <c r="A100" s="26">
        <v>38047</v>
      </c>
      <c r="B100" s="6">
        <f>[1]עקיף!$C104</f>
        <v>3355</v>
      </c>
      <c r="C100" s="6">
        <f>-1*[1]עקיף!$D104</f>
        <v>-1557</v>
      </c>
      <c r="D100" s="7">
        <f>SUM(consumption_tax!B100:C100, import_trade_tax!B100)</f>
        <v>4059</v>
      </c>
      <c r="E100" s="6">
        <f>[1]עקיף!$I104</f>
        <v>54</v>
      </c>
      <c r="F100" s="6">
        <f>[1]עקיף!$K104</f>
        <v>711</v>
      </c>
    </row>
    <row r="101" spans="1:6" x14ac:dyDescent="0.2">
      <c r="A101" s="26">
        <v>38078</v>
      </c>
      <c r="B101" s="6">
        <f>[1]עקיף!$C105</f>
        <v>2847</v>
      </c>
      <c r="C101" s="6">
        <f>-1*[1]עקיף!$D105</f>
        <v>-1357</v>
      </c>
      <c r="D101" s="7">
        <f>SUM(consumption_tax!B101:C101, import_trade_tax!B101)</f>
        <v>3383</v>
      </c>
      <c r="E101" s="6">
        <f>[1]עקיף!$I105</f>
        <v>28</v>
      </c>
      <c r="F101" s="6">
        <f>[1]עקיף!$K105</f>
        <v>628</v>
      </c>
    </row>
    <row r="102" spans="1:6" x14ac:dyDescent="0.2">
      <c r="A102" s="26">
        <v>38108</v>
      </c>
      <c r="B102" s="6">
        <f>[1]עקיף!$C106</f>
        <v>3163</v>
      </c>
      <c r="C102" s="6">
        <f>-1*[1]עקיף!$D106</f>
        <v>-1338</v>
      </c>
      <c r="D102" s="7">
        <f>SUM(consumption_tax!B102:C102, import_trade_tax!B102)</f>
        <v>4321</v>
      </c>
      <c r="E102" s="6">
        <f>[1]עקיף!$I106</f>
        <v>28</v>
      </c>
      <c r="F102" s="6">
        <f>[1]עקיף!$K106</f>
        <v>645</v>
      </c>
    </row>
    <row r="103" spans="1:6" x14ac:dyDescent="0.2">
      <c r="A103" s="26">
        <v>38139</v>
      </c>
      <c r="B103" s="6">
        <f>[1]עקיף!$C107</f>
        <v>2343</v>
      </c>
      <c r="C103" s="6">
        <f>-1*[1]עקיף!$D107</f>
        <v>-1715</v>
      </c>
      <c r="D103" s="7">
        <f>SUM(consumption_tax!B103:C103, import_trade_tax!B103)</f>
        <v>2748</v>
      </c>
      <c r="E103" s="6">
        <f>[1]עקיף!$I107</f>
        <v>31</v>
      </c>
      <c r="F103" s="6">
        <f>[1]עקיף!$K107</f>
        <v>636</v>
      </c>
    </row>
    <row r="104" spans="1:6" x14ac:dyDescent="0.2">
      <c r="A104" s="26">
        <v>38169</v>
      </c>
      <c r="B104" s="6">
        <f>[1]עקיף!$C108</f>
        <v>3462</v>
      </c>
      <c r="C104" s="6">
        <f>-1*[1]עקיף!$D108</f>
        <v>-1527</v>
      </c>
      <c r="D104" s="7">
        <f>SUM(consumption_tax!B104:C104, import_trade_tax!B104)</f>
        <v>3686</v>
      </c>
      <c r="E104" s="6">
        <f>[1]עקיף!$I108</f>
        <v>35</v>
      </c>
      <c r="F104" s="6">
        <f>[1]עקיף!$K108</f>
        <v>720</v>
      </c>
    </row>
    <row r="105" spans="1:6" x14ac:dyDescent="0.2">
      <c r="A105" s="26">
        <v>38200</v>
      </c>
      <c r="B105" s="6">
        <f>[1]עקיף!$C109</f>
        <v>3006</v>
      </c>
      <c r="C105" s="6">
        <f>-1*[1]עקיף!$D109</f>
        <v>-1352</v>
      </c>
      <c r="D105" s="7">
        <f>SUM(consumption_tax!B105:C105, import_trade_tax!B105)</f>
        <v>4234</v>
      </c>
      <c r="E105" s="6">
        <f>[1]עקיף!$I109</f>
        <v>37</v>
      </c>
      <c r="F105" s="6">
        <f>[1]עקיף!$K109</f>
        <v>679</v>
      </c>
    </row>
    <row r="106" spans="1:6" x14ac:dyDescent="0.2">
      <c r="A106" s="26">
        <v>38231</v>
      </c>
      <c r="B106" s="6">
        <f>[1]עקיף!$C110</f>
        <v>3545</v>
      </c>
      <c r="C106" s="6">
        <f>-1*[1]עקיף!$D110</f>
        <v>-1589</v>
      </c>
      <c r="D106" s="7">
        <f>SUM(consumption_tax!B106:C106, import_trade_tax!B106)</f>
        <v>3914</v>
      </c>
      <c r="E106" s="6">
        <f>[1]עקיף!$I110</f>
        <v>25</v>
      </c>
      <c r="F106" s="6">
        <f>[1]עקיף!$K110</f>
        <v>658</v>
      </c>
    </row>
    <row r="107" spans="1:6" x14ac:dyDescent="0.2">
      <c r="A107" s="26">
        <v>38261</v>
      </c>
      <c r="B107" s="6">
        <f>[1]עקיף!$C111</f>
        <v>2688</v>
      </c>
      <c r="C107" s="6">
        <f>-1*[1]עקיף!$D111</f>
        <v>-1476</v>
      </c>
      <c r="D107" s="7">
        <f>SUM(consumption_tax!B107:C107, import_trade_tax!B107)</f>
        <v>3656</v>
      </c>
      <c r="E107" s="6">
        <f>[1]עקיף!$I111</f>
        <v>22</v>
      </c>
      <c r="F107" s="6">
        <f>[1]עקיף!$K111</f>
        <v>665</v>
      </c>
    </row>
    <row r="108" spans="1:6" x14ac:dyDescent="0.2">
      <c r="A108" s="26">
        <v>38292</v>
      </c>
      <c r="B108" s="6">
        <f>[1]עקיף!$C112</f>
        <v>3164</v>
      </c>
      <c r="C108" s="6">
        <f>-1*[1]עקיף!$D112</f>
        <v>-1655</v>
      </c>
      <c r="D108" s="7">
        <f>SUM(consumption_tax!B108:C108, import_trade_tax!B108)</f>
        <v>3674</v>
      </c>
      <c r="E108" s="6">
        <f>[1]עקיף!$I112</f>
        <v>27</v>
      </c>
      <c r="F108" s="6">
        <f>[1]עקיף!$K112</f>
        <v>637</v>
      </c>
    </row>
    <row r="109" spans="1:6" x14ac:dyDescent="0.2">
      <c r="A109" s="26">
        <v>38322</v>
      </c>
      <c r="B109" s="6">
        <f>[1]עקיף!$C113</f>
        <v>2624</v>
      </c>
      <c r="C109" s="6">
        <f>-1*[1]עקיף!$D113</f>
        <v>-1725</v>
      </c>
      <c r="D109" s="7">
        <f>SUM(consumption_tax!B109:C109, import_trade_tax!B109)</f>
        <v>3226</v>
      </c>
      <c r="E109" s="6">
        <f>[1]עקיף!$I113</f>
        <v>19</v>
      </c>
      <c r="F109" s="6">
        <f>[1]עקיף!$K113</f>
        <v>696</v>
      </c>
    </row>
    <row r="110" spans="1:6" x14ac:dyDescent="0.2">
      <c r="A110" s="26">
        <v>38353</v>
      </c>
      <c r="B110" s="6">
        <f>[1]עקיף!$C114</f>
        <v>3724</v>
      </c>
      <c r="C110" s="6">
        <f>-1*[1]עקיף!$D114</f>
        <v>-1526</v>
      </c>
      <c r="D110" s="7">
        <f>SUM(consumption_tax!B110:C110, import_trade_tax!B110)</f>
        <v>4420</v>
      </c>
      <c r="E110" s="6">
        <f>[1]עקיף!$I114</f>
        <v>23</v>
      </c>
      <c r="F110" s="6">
        <f>[1]עקיף!$K114</f>
        <v>742</v>
      </c>
    </row>
    <row r="111" spans="1:6" x14ac:dyDescent="0.2">
      <c r="A111" s="26">
        <v>38384</v>
      </c>
      <c r="B111" s="6">
        <f>[1]עקיף!$C115</f>
        <v>2761</v>
      </c>
      <c r="C111" s="6">
        <f>-1*[1]עקיף!$D115</f>
        <v>-1555</v>
      </c>
      <c r="D111" s="7">
        <f>SUM(consumption_tax!B111:C111, import_trade_tax!B111)</f>
        <v>3262</v>
      </c>
      <c r="E111" s="6">
        <f>[1]עקיף!$I115</f>
        <v>30</v>
      </c>
      <c r="F111" s="6">
        <f>[1]עקיף!$K115</f>
        <v>730</v>
      </c>
    </row>
    <row r="112" spans="1:6" x14ac:dyDescent="0.2">
      <c r="A112" s="26">
        <v>38412</v>
      </c>
      <c r="B112" s="6">
        <f>[1]עקיף!$C116</f>
        <v>3410</v>
      </c>
      <c r="C112" s="6">
        <f>-1*[1]עקיף!$D116</f>
        <v>-1604</v>
      </c>
      <c r="D112" s="7">
        <f>SUM(consumption_tax!B112:C112, import_trade_tax!B112)</f>
        <v>4239</v>
      </c>
      <c r="E112" s="6">
        <f>[1]עקיף!$I116</f>
        <v>28</v>
      </c>
      <c r="F112" s="6">
        <f>[1]עקיף!$K116</f>
        <v>753</v>
      </c>
    </row>
    <row r="113" spans="1:6" x14ac:dyDescent="0.2">
      <c r="A113" s="26">
        <v>38443</v>
      </c>
      <c r="B113" s="6">
        <f>[1]עקיף!$C117</f>
        <v>2764</v>
      </c>
      <c r="C113" s="6">
        <f>-1*[1]עקיף!$D117</f>
        <v>-1598</v>
      </c>
      <c r="D113" s="7">
        <f>SUM(consumption_tax!B113:C113, import_trade_tax!B113)</f>
        <v>3168</v>
      </c>
      <c r="E113" s="6">
        <f>[1]עקיף!$I117</f>
        <v>32</v>
      </c>
      <c r="F113" s="6">
        <f>[1]עקיף!$K117</f>
        <v>743</v>
      </c>
    </row>
    <row r="114" spans="1:6" x14ac:dyDescent="0.2">
      <c r="A114" s="26">
        <v>38473</v>
      </c>
      <c r="B114" s="6">
        <f>[1]עקיף!$C118</f>
        <v>3597</v>
      </c>
      <c r="C114" s="6">
        <f>-1*[1]עקיף!$D118</f>
        <v>-1549</v>
      </c>
      <c r="D114" s="7">
        <f>SUM(consumption_tax!B114:C114, import_trade_tax!B114)</f>
        <v>4855</v>
      </c>
      <c r="E114" s="6">
        <f>[1]עקיף!$I118</f>
        <v>32</v>
      </c>
      <c r="F114" s="6">
        <f>[1]עקיף!$K118</f>
        <v>737</v>
      </c>
    </row>
    <row r="115" spans="1:6" x14ac:dyDescent="0.2">
      <c r="A115" s="26">
        <v>38504</v>
      </c>
      <c r="B115" s="6">
        <f>[1]עקיף!$C119</f>
        <v>2611</v>
      </c>
      <c r="C115" s="6">
        <f>-1*[1]עקיף!$D119</f>
        <v>-1879</v>
      </c>
      <c r="D115" s="7">
        <f>SUM(consumption_tax!B115:C115, import_trade_tax!B115)</f>
        <v>3012</v>
      </c>
      <c r="E115" s="6">
        <f>[1]עקיף!$I119</f>
        <v>32</v>
      </c>
      <c r="F115" s="6">
        <f>[1]עקיף!$K119</f>
        <v>790</v>
      </c>
    </row>
    <row r="116" spans="1:6" x14ac:dyDescent="0.2">
      <c r="A116" s="26">
        <v>38534</v>
      </c>
      <c r="B116" s="6">
        <f>[1]עקיף!$C120</f>
        <v>3670</v>
      </c>
      <c r="C116" s="6">
        <f>-1*[1]עקיף!$D120</f>
        <v>-1740</v>
      </c>
      <c r="D116" s="7">
        <f>SUM(consumption_tax!B116:C116, import_trade_tax!B116)</f>
        <v>4376</v>
      </c>
      <c r="E116" s="6">
        <f>[1]עקיף!$I120</f>
        <v>32</v>
      </c>
      <c r="F116" s="6">
        <f>[1]עקיף!$K120</f>
        <v>875</v>
      </c>
    </row>
    <row r="117" spans="1:6" x14ac:dyDescent="0.2">
      <c r="A117" s="26">
        <v>38565</v>
      </c>
      <c r="B117" s="6">
        <f>[1]עקיף!$C121</f>
        <v>2975</v>
      </c>
      <c r="C117" s="6">
        <f>-1*[1]עקיף!$D121</f>
        <v>-1851</v>
      </c>
      <c r="D117" s="7">
        <f>SUM(consumption_tax!B117:C117, import_trade_tax!B117)</f>
        <v>3850</v>
      </c>
      <c r="E117" s="6">
        <f>[1]עקיף!$I121</f>
        <v>49</v>
      </c>
      <c r="F117" s="6">
        <f>[1]עקיף!$K121</f>
        <v>818</v>
      </c>
    </row>
    <row r="118" spans="1:6" x14ac:dyDescent="0.2">
      <c r="A118" s="26">
        <v>38596</v>
      </c>
      <c r="B118" s="6">
        <f>[1]עקיף!$C122</f>
        <v>3702</v>
      </c>
      <c r="C118" s="6">
        <f>-1*[1]עקיף!$D122</f>
        <v>-1825</v>
      </c>
      <c r="D118" s="7">
        <f>SUM(consumption_tax!B118:C118, import_trade_tax!B118)</f>
        <v>4393</v>
      </c>
      <c r="E118" s="6">
        <f>[1]עקיף!$I122</f>
        <v>22</v>
      </c>
      <c r="F118" s="6">
        <f>[1]עקיף!$K122</f>
        <v>890</v>
      </c>
    </row>
    <row r="119" spans="1:6" x14ac:dyDescent="0.2">
      <c r="A119" s="26">
        <v>38626</v>
      </c>
      <c r="B119" s="6">
        <f>[1]עקיף!$C123</f>
        <v>3080</v>
      </c>
      <c r="C119" s="6">
        <f>-1*[1]עקיף!$D123</f>
        <v>-1458</v>
      </c>
      <c r="D119" s="7">
        <f>SUM(consumption_tax!B119:C119, import_trade_tax!B119)</f>
        <v>3842</v>
      </c>
      <c r="E119" s="6">
        <f>[1]עקיף!$I123</f>
        <v>30</v>
      </c>
      <c r="F119" s="6">
        <f>[1]עקיף!$K123</f>
        <v>878</v>
      </c>
    </row>
    <row r="120" spans="1:6" x14ac:dyDescent="0.2">
      <c r="A120" s="26">
        <v>38657</v>
      </c>
      <c r="B120" s="6">
        <f>[1]עקיף!$C124</f>
        <v>3227</v>
      </c>
      <c r="C120" s="6">
        <f>-1*[1]עקיף!$D124</f>
        <v>-1827</v>
      </c>
      <c r="D120" s="7">
        <f>SUM(consumption_tax!B120:C120, import_trade_tax!B120)</f>
        <v>3752</v>
      </c>
      <c r="E120" s="6">
        <f>[1]עקיף!$I124</f>
        <v>26</v>
      </c>
      <c r="F120" s="6">
        <f>[1]עקיף!$K124</f>
        <v>841</v>
      </c>
    </row>
    <row r="121" spans="1:6" x14ac:dyDescent="0.2">
      <c r="A121" s="26">
        <v>38687</v>
      </c>
      <c r="B121" s="6">
        <f>[1]עקיף!$C125</f>
        <v>2759</v>
      </c>
      <c r="C121" s="6">
        <f>-1*[1]עקיף!$D125</f>
        <v>-1819</v>
      </c>
      <c r="D121" s="7">
        <f>SUM(consumption_tax!B121:C121, import_trade_tax!B121)</f>
        <v>3279</v>
      </c>
      <c r="E121" s="6">
        <f>[1]עקיף!$I125</f>
        <v>100</v>
      </c>
      <c r="F121" s="6">
        <f>[1]עקיף!$K125</f>
        <v>862</v>
      </c>
    </row>
    <row r="122" spans="1:6" x14ac:dyDescent="0.2">
      <c r="A122" s="26">
        <v>38718</v>
      </c>
      <c r="B122" s="6">
        <f>[1]עקיף!$C126</f>
        <v>4071</v>
      </c>
      <c r="C122" s="6">
        <f>-1*[1]עקיף!$D126</f>
        <v>-1897</v>
      </c>
      <c r="D122" s="7">
        <f>SUM(consumption_tax!B122:C122, import_trade_tax!B122)</f>
        <v>4914</v>
      </c>
      <c r="E122" s="6">
        <f>[1]עקיף!$I126</f>
        <v>24</v>
      </c>
      <c r="F122" s="6">
        <f>[1]עקיף!$K126</f>
        <v>847</v>
      </c>
    </row>
    <row r="123" spans="1:6" x14ac:dyDescent="0.2">
      <c r="A123" s="26">
        <v>38749</v>
      </c>
      <c r="B123" s="6">
        <f>[1]עקיף!$C127</f>
        <v>3178</v>
      </c>
      <c r="C123" s="6">
        <f>-1*[1]עקיף!$D127</f>
        <v>-1890</v>
      </c>
      <c r="D123" s="7">
        <f>SUM(consumption_tax!B123:C123, import_trade_tax!B123)</f>
        <v>3666</v>
      </c>
      <c r="E123" s="6">
        <f>[1]עקיף!$I127</f>
        <v>28</v>
      </c>
      <c r="F123" s="6">
        <f>[1]עקיף!$K127</f>
        <v>862</v>
      </c>
    </row>
    <row r="124" spans="1:6" x14ac:dyDescent="0.2">
      <c r="A124" s="26">
        <v>38777</v>
      </c>
      <c r="B124" s="6">
        <f>[1]עקיף!$C128</f>
        <v>3685</v>
      </c>
      <c r="C124" s="6">
        <f>-1*[1]עקיף!$D128</f>
        <v>-2085</v>
      </c>
      <c r="D124" s="7">
        <f>SUM(consumption_tax!B124:C124, import_trade_tax!B124)</f>
        <v>4152</v>
      </c>
      <c r="E124" s="6">
        <f>[1]עקיף!$I128</f>
        <v>23</v>
      </c>
      <c r="F124" s="6">
        <f>[1]עקיף!$K128</f>
        <v>913</v>
      </c>
    </row>
    <row r="125" spans="1:6" x14ac:dyDescent="0.2">
      <c r="A125" s="26">
        <v>38808</v>
      </c>
      <c r="B125" s="6">
        <f>[1]עקיף!$C129</f>
        <v>3129</v>
      </c>
      <c r="C125" s="6">
        <f>-1*[1]עקיף!$D129</f>
        <v>-1257</v>
      </c>
      <c r="D125" s="7">
        <f>SUM(consumption_tax!B125:C125, import_trade_tax!B125)</f>
        <v>4292</v>
      </c>
      <c r="E125" s="6">
        <f>[1]עקיף!$I129</f>
        <v>44</v>
      </c>
      <c r="F125" s="6">
        <f>[1]עקיף!$K129</f>
        <v>874</v>
      </c>
    </row>
    <row r="126" spans="1:6" x14ac:dyDescent="0.2">
      <c r="A126" s="26">
        <v>38838</v>
      </c>
      <c r="B126" s="6">
        <f>[1]עקיף!$C130</f>
        <v>3843</v>
      </c>
      <c r="C126" s="6">
        <f>-1*[1]עקיף!$D130</f>
        <v>-2388</v>
      </c>
      <c r="D126" s="7">
        <f>SUM(consumption_tax!B126:C126, import_trade_tax!B126)</f>
        <v>4267</v>
      </c>
      <c r="E126" s="6">
        <f>[1]עקיף!$I130</f>
        <v>31</v>
      </c>
      <c r="F126" s="6">
        <f>[1]עקיף!$K130</f>
        <v>867</v>
      </c>
    </row>
    <row r="127" spans="1:6" x14ac:dyDescent="0.2">
      <c r="A127" s="26">
        <v>38869</v>
      </c>
      <c r="B127" s="6">
        <f>[1]עקיף!$C131</f>
        <v>2831</v>
      </c>
      <c r="C127" s="6">
        <f>-1*[1]עקיף!$D131</f>
        <v>-1965</v>
      </c>
      <c r="D127" s="7">
        <f>SUM(consumption_tax!B127:C127, import_trade_tax!B127)</f>
        <v>3387</v>
      </c>
      <c r="E127" s="6">
        <f>[1]עקיף!$I131</f>
        <v>27</v>
      </c>
      <c r="F127" s="6">
        <f>[1]עקיף!$K131</f>
        <v>966</v>
      </c>
    </row>
    <row r="128" spans="1:6" x14ac:dyDescent="0.2">
      <c r="A128" s="26">
        <v>38899</v>
      </c>
      <c r="B128" s="6">
        <f>[1]עקיף!$C132</f>
        <v>4026</v>
      </c>
      <c r="C128" s="6">
        <f>-1*[1]עקיף!$D132</f>
        <v>-1891</v>
      </c>
      <c r="D128" s="7">
        <f>SUM(consumption_tax!B128:C128, import_trade_tax!B128)</f>
        <v>4499</v>
      </c>
      <c r="E128" s="6">
        <f>[1]עקיף!$I132</f>
        <v>44</v>
      </c>
      <c r="F128" s="6">
        <f>[1]עקיף!$K132</f>
        <v>980</v>
      </c>
    </row>
    <row r="129" spans="1:6" x14ac:dyDescent="0.2">
      <c r="A129" s="26">
        <v>38930</v>
      </c>
      <c r="B129" s="6">
        <f>[1]עקיף!$C133</f>
        <v>2817</v>
      </c>
      <c r="C129" s="6">
        <f>-1*[1]עקיף!$D133</f>
        <v>-1959</v>
      </c>
      <c r="D129" s="7">
        <f>SUM(consumption_tax!B129:C129, import_trade_tax!B129)</f>
        <v>3606</v>
      </c>
      <c r="E129" s="6">
        <f>[1]עקיף!$I133</f>
        <v>27</v>
      </c>
      <c r="F129" s="6">
        <f>[1]עקיף!$K133</f>
        <v>954</v>
      </c>
    </row>
    <row r="130" spans="1:6" x14ac:dyDescent="0.2">
      <c r="A130" s="26">
        <v>38961</v>
      </c>
      <c r="B130" s="6">
        <f>[1]עקיף!$C134</f>
        <v>3931</v>
      </c>
      <c r="C130" s="6">
        <f>-1*[1]עקיף!$D134</f>
        <v>-1989</v>
      </c>
      <c r="D130" s="7">
        <f>SUM(consumption_tax!B130:C130, import_trade_tax!B130)</f>
        <v>4073</v>
      </c>
      <c r="E130" s="6">
        <f>[1]עקיף!$I134</f>
        <v>48</v>
      </c>
      <c r="F130" s="6">
        <f>[1]עקיף!$K134</f>
        <v>961</v>
      </c>
    </row>
    <row r="131" spans="1:6" x14ac:dyDescent="0.2">
      <c r="A131" s="26">
        <v>38991</v>
      </c>
      <c r="B131" s="6">
        <f>[1]עקיף!$C135</f>
        <v>3117</v>
      </c>
      <c r="C131" s="6">
        <f>-1*[1]עקיף!$D135</f>
        <v>-1661</v>
      </c>
      <c r="D131" s="7">
        <f>SUM(consumption_tax!B131:C131, import_trade_tax!B131)</f>
        <v>3996</v>
      </c>
      <c r="E131" s="6">
        <f>[1]עקיף!$I135</f>
        <v>40</v>
      </c>
      <c r="F131" s="6">
        <f>[1]עקיף!$K135</f>
        <v>1043</v>
      </c>
    </row>
    <row r="132" spans="1:6" x14ac:dyDescent="0.2">
      <c r="A132" s="26">
        <v>39022</v>
      </c>
      <c r="B132" s="6">
        <f>[1]עקיף!$C136</f>
        <v>3636</v>
      </c>
      <c r="C132" s="6">
        <f>-1*[1]עקיף!$D136</f>
        <v>-1912</v>
      </c>
      <c r="D132" s="7">
        <f>SUM(consumption_tax!B132:C132, import_trade_tax!B132)</f>
        <v>3973</v>
      </c>
      <c r="E132" s="6">
        <f>[1]עקיף!$I136</f>
        <v>33</v>
      </c>
      <c r="F132" s="6">
        <f>[1]עקיף!$K136</f>
        <v>1080</v>
      </c>
    </row>
    <row r="133" spans="1:6" x14ac:dyDescent="0.2">
      <c r="A133" s="26">
        <v>39052</v>
      </c>
      <c r="B133" s="6">
        <f>[1]עקיף!$C137</f>
        <v>3028</v>
      </c>
      <c r="C133" s="6">
        <f>-1*[1]עקיף!$D137</f>
        <v>-1809</v>
      </c>
      <c r="D133" s="7">
        <f>SUM(consumption_tax!B133:C133, import_trade_tax!B133)</f>
        <v>3624</v>
      </c>
      <c r="E133" s="6">
        <f>[1]עקיף!$I137</f>
        <v>27</v>
      </c>
      <c r="F133" s="6">
        <f>[1]עקיף!$K137</f>
        <v>1085</v>
      </c>
    </row>
    <row r="134" spans="1:6" x14ac:dyDescent="0.2">
      <c r="A134" s="26">
        <v>39083</v>
      </c>
      <c r="B134" s="6">
        <f>[1]עקיף!$C138</f>
        <v>4184</v>
      </c>
      <c r="C134" s="6">
        <f>-1*[1]עקיף!$D138</f>
        <v>-1804</v>
      </c>
      <c r="D134" s="7">
        <f>SUM(consumption_tax!B134:C134, import_trade_tax!B134)</f>
        <v>4897</v>
      </c>
      <c r="E134" s="6">
        <f>[1]עקיף!$I138</f>
        <v>28</v>
      </c>
      <c r="F134" s="6">
        <f>[1]עקיף!$K138</f>
        <v>1032</v>
      </c>
    </row>
    <row r="135" spans="1:6" x14ac:dyDescent="0.2">
      <c r="A135" s="26">
        <v>39114</v>
      </c>
      <c r="B135" s="6">
        <f>[1]עקיף!$C139</f>
        <v>3160</v>
      </c>
      <c r="C135" s="6">
        <f>-1*[1]עקיף!$D139</f>
        <v>-1647</v>
      </c>
      <c r="D135" s="7">
        <f>SUM(consumption_tax!B135:C135, import_trade_tax!B135)</f>
        <v>3869</v>
      </c>
      <c r="E135" s="6">
        <f>[1]עקיף!$I139</f>
        <v>29</v>
      </c>
      <c r="F135" s="6">
        <f>[1]עקיף!$K139</f>
        <v>835</v>
      </c>
    </row>
    <row r="136" spans="1:6" x14ac:dyDescent="0.2">
      <c r="A136" s="26">
        <v>39142</v>
      </c>
      <c r="B136" s="6">
        <f>[1]עקיף!$C140</f>
        <v>3939</v>
      </c>
      <c r="C136" s="6">
        <f>-1*[1]עקיף!$D140</f>
        <v>-1976</v>
      </c>
      <c r="D136" s="7">
        <f>SUM(consumption_tax!B136:C136, import_trade_tax!B136)</f>
        <v>4409</v>
      </c>
      <c r="E136" s="6">
        <f>[1]עקיף!$I140</f>
        <v>25</v>
      </c>
      <c r="F136" s="6">
        <f>[1]עקיף!$K140</f>
        <v>994</v>
      </c>
    </row>
    <row r="137" spans="1:6" x14ac:dyDescent="0.2">
      <c r="A137" s="26">
        <v>39173</v>
      </c>
      <c r="B137" s="6">
        <f>[1]עקיף!$C141</f>
        <v>3426</v>
      </c>
      <c r="C137" s="6">
        <f>-1*[1]עקיף!$D141</f>
        <v>-1665</v>
      </c>
      <c r="D137" s="7">
        <f>SUM(consumption_tax!B137:C137, import_trade_tax!B137)</f>
        <v>4064</v>
      </c>
      <c r="E137" s="6">
        <f>[1]עקיף!$I141</f>
        <v>40</v>
      </c>
      <c r="F137" s="6">
        <f>[1]עקיף!$K141</f>
        <v>969</v>
      </c>
    </row>
    <row r="138" spans="1:6" x14ac:dyDescent="0.2">
      <c r="A138" s="26">
        <v>39203</v>
      </c>
      <c r="B138" s="6">
        <f>[1]עקיף!$C142</f>
        <v>3798</v>
      </c>
      <c r="C138" s="6">
        <f>-1*[1]עקיף!$D142</f>
        <v>-1949</v>
      </c>
      <c r="D138" s="7">
        <f>SUM(consumption_tax!B138:C138, import_trade_tax!B138)</f>
        <v>4541</v>
      </c>
      <c r="E138" s="6">
        <f>[1]עקיף!$I142</f>
        <v>40</v>
      </c>
      <c r="F138" s="6">
        <f>[1]עקיף!$K142</f>
        <v>978</v>
      </c>
    </row>
    <row r="139" spans="1:6" x14ac:dyDescent="0.2">
      <c r="A139" s="26">
        <v>39234</v>
      </c>
      <c r="B139" s="6">
        <f>[1]עקיף!$C143</f>
        <v>3091</v>
      </c>
      <c r="C139" s="6">
        <f>-1*[1]עקיף!$D143</f>
        <v>-2197</v>
      </c>
      <c r="D139" s="7">
        <f>SUM(consumption_tax!B139:C139, import_trade_tax!B139)</f>
        <v>3559</v>
      </c>
      <c r="E139" s="6">
        <f>[1]עקיף!$I143</f>
        <v>29</v>
      </c>
      <c r="F139" s="6">
        <f>[1]עקיף!$K143</f>
        <v>925</v>
      </c>
    </row>
    <row r="140" spans="1:6" x14ac:dyDescent="0.2">
      <c r="A140" s="26">
        <v>39264</v>
      </c>
      <c r="B140" s="6">
        <f>[1]עקיף!$C144</f>
        <v>4298</v>
      </c>
      <c r="C140" s="6">
        <f>-1*[1]עקיף!$D144</f>
        <v>-2150</v>
      </c>
      <c r="D140" s="7">
        <f>SUM(consumption_tax!B140:C140, import_trade_tax!B140)</f>
        <v>5176</v>
      </c>
      <c r="E140" s="6">
        <f>[1]עקיף!$I144</f>
        <v>9</v>
      </c>
      <c r="F140" s="6">
        <f>[1]עקיף!$K144</f>
        <v>1147</v>
      </c>
    </row>
    <row r="141" spans="1:6" x14ac:dyDescent="0.2">
      <c r="A141" s="26">
        <v>39295</v>
      </c>
      <c r="B141" s="6">
        <f>[1]עקיף!$C145</f>
        <v>3357</v>
      </c>
      <c r="C141" s="6">
        <f>-1*[1]עקיף!$D145</f>
        <v>-2114</v>
      </c>
      <c r="D141" s="7">
        <f>SUM(consumption_tax!B141:C141, import_trade_tax!B141)</f>
        <v>4300</v>
      </c>
      <c r="E141" s="6">
        <f>[1]עקיף!$I145</f>
        <v>16</v>
      </c>
      <c r="F141" s="6">
        <f>[1]עקיף!$K145</f>
        <v>1217</v>
      </c>
    </row>
    <row r="142" spans="1:6" x14ac:dyDescent="0.2">
      <c r="A142" s="26">
        <v>39326</v>
      </c>
      <c r="B142" s="6">
        <f>[1]עקיף!$C146</f>
        <v>4116</v>
      </c>
      <c r="C142" s="6">
        <f>-1*[1]עקיף!$D146</f>
        <v>-1775</v>
      </c>
      <c r="D142" s="7">
        <f>SUM(consumption_tax!B142:C142, import_trade_tax!B142)</f>
        <v>4722</v>
      </c>
      <c r="E142" s="6">
        <f>[1]עקיף!$I146</f>
        <v>7</v>
      </c>
      <c r="F142" s="6">
        <f>[1]עקיף!$K146</f>
        <v>1126</v>
      </c>
    </row>
    <row r="143" spans="1:6" x14ac:dyDescent="0.2">
      <c r="A143" s="26">
        <v>39356</v>
      </c>
      <c r="B143" s="6">
        <f>[1]עקיף!$C147</f>
        <v>3374</v>
      </c>
      <c r="C143" s="6">
        <f>-1*[1]עקיף!$D147</f>
        <v>-2144</v>
      </c>
      <c r="D143" s="7">
        <f>SUM(consumption_tax!B143:C143, import_trade_tax!B143)</f>
        <v>4170</v>
      </c>
      <c r="E143" s="6">
        <f>[1]עקיף!$I147</f>
        <v>24</v>
      </c>
      <c r="F143" s="6">
        <f>[1]עקיף!$K147</f>
        <v>1064</v>
      </c>
    </row>
    <row r="144" spans="1:6" x14ac:dyDescent="0.2">
      <c r="A144" s="26">
        <v>39387</v>
      </c>
      <c r="B144" s="6">
        <f>[1]עקיף!$C148</f>
        <v>3940</v>
      </c>
      <c r="C144" s="6">
        <f>-1*[1]עקיף!$D148</f>
        <v>-2207</v>
      </c>
      <c r="D144" s="7">
        <f>SUM(consumption_tax!B144:C144, import_trade_tax!B144)</f>
        <v>4463</v>
      </c>
      <c r="E144" s="6">
        <f>[1]עקיף!$I148</f>
        <v>21</v>
      </c>
      <c r="F144" s="6">
        <f>[1]עקיף!$K148</f>
        <v>1136</v>
      </c>
    </row>
    <row r="145" spans="1:6" x14ac:dyDescent="0.2">
      <c r="A145" s="26">
        <v>39417</v>
      </c>
      <c r="B145" s="6">
        <f>[1]עקיף!$C149</f>
        <v>3313</v>
      </c>
      <c r="C145" s="6">
        <f>-1*[1]עקיף!$D149</f>
        <v>-2068</v>
      </c>
      <c r="D145" s="7">
        <f>SUM(consumption_tax!B145:C145, import_trade_tax!B145)</f>
        <v>4200</v>
      </c>
      <c r="E145" s="6">
        <f>[1]עקיף!$I149</f>
        <v>19</v>
      </c>
      <c r="F145" s="6">
        <f>[1]עקיף!$K149</f>
        <v>1206</v>
      </c>
    </row>
    <row r="146" spans="1:6" x14ac:dyDescent="0.2">
      <c r="A146" s="26">
        <v>39448</v>
      </c>
      <c r="B146" s="6">
        <f>[1]עקיף!$C150</f>
        <v>4850</v>
      </c>
      <c r="C146" s="6">
        <f>-1*[1]עקיף!$D150</f>
        <v>-2523</v>
      </c>
      <c r="D146" s="7">
        <f>SUM(consumption_tax!B146:C146, import_trade_tax!B146)</f>
        <v>5416</v>
      </c>
      <c r="E146" s="6">
        <f>[1]עקיף!$I150</f>
        <v>17</v>
      </c>
      <c r="F146" s="6">
        <f>[1]עקיף!$K150</f>
        <v>1172</v>
      </c>
    </row>
    <row r="147" spans="1:6" x14ac:dyDescent="0.2">
      <c r="A147" s="26">
        <v>39479</v>
      </c>
      <c r="B147" s="6">
        <f>[1]עקיף!$C151</f>
        <v>3442</v>
      </c>
      <c r="C147" s="6">
        <f>-1*[1]עקיף!$D151</f>
        <v>-2147</v>
      </c>
      <c r="D147" s="7">
        <f>SUM(consumption_tax!B147:C147, import_trade_tax!B147)</f>
        <v>3923</v>
      </c>
      <c r="E147" s="6">
        <f>[1]עקיף!$I151</f>
        <v>23</v>
      </c>
      <c r="F147" s="6">
        <f>[1]עקיף!$K151</f>
        <v>1155</v>
      </c>
    </row>
    <row r="148" spans="1:6" x14ac:dyDescent="0.2">
      <c r="A148" s="26">
        <v>39508</v>
      </c>
      <c r="B148" s="6">
        <f>[1]עקיף!$C152</f>
        <v>4168</v>
      </c>
      <c r="C148" s="6">
        <f>-1*[1]עקיף!$D152</f>
        <v>-1780</v>
      </c>
      <c r="D148" s="7">
        <f>SUM(consumption_tax!B148:C148, import_trade_tax!B148)</f>
        <v>5509</v>
      </c>
      <c r="E148" s="6">
        <f>[1]עקיף!$I152</f>
        <v>19</v>
      </c>
      <c r="F148" s="6">
        <f>[1]עקיף!$K152</f>
        <v>1220</v>
      </c>
    </row>
    <row r="149" spans="1:6" x14ac:dyDescent="0.2">
      <c r="A149" s="26">
        <v>39539</v>
      </c>
      <c r="B149" s="6">
        <f>[1]עקיף!$C153</f>
        <v>3370</v>
      </c>
      <c r="C149" s="6">
        <f>-1*[1]עקיף!$D153</f>
        <v>-2306</v>
      </c>
      <c r="D149" s="7">
        <f>SUM(consumption_tax!B149:C149, import_trade_tax!B149)</f>
        <v>3877</v>
      </c>
      <c r="E149" s="6">
        <f>[1]עקיף!$I153</f>
        <v>16</v>
      </c>
      <c r="F149" s="6">
        <f>[1]עקיף!$K153</f>
        <v>1137</v>
      </c>
    </row>
    <row r="150" spans="1:6" x14ac:dyDescent="0.2">
      <c r="A150" s="26">
        <v>39569</v>
      </c>
      <c r="B150" s="6">
        <f>[1]עקיף!$C154</f>
        <v>4521</v>
      </c>
      <c r="C150" s="6">
        <f>-1*[1]עקיף!$D154</f>
        <v>-2071</v>
      </c>
      <c r="D150" s="7">
        <f>SUM(consumption_tax!B150:C150, import_trade_tax!B150)</f>
        <v>5285</v>
      </c>
      <c r="E150" s="6">
        <f>[1]עקיף!$I154</f>
        <v>20</v>
      </c>
      <c r="F150" s="6">
        <f>[1]עקיף!$K154</f>
        <v>1120</v>
      </c>
    </row>
    <row r="151" spans="1:6" x14ac:dyDescent="0.2">
      <c r="A151" s="26">
        <v>39600</v>
      </c>
      <c r="B151" s="6">
        <f>[1]עקיף!$C155</f>
        <v>3298</v>
      </c>
      <c r="C151" s="6">
        <f>-1*[1]עקיף!$D155</f>
        <v>-2088</v>
      </c>
      <c r="D151" s="7">
        <f>SUM(consumption_tax!B151:C151, import_trade_tax!B151)</f>
        <v>4010</v>
      </c>
      <c r="E151" s="6">
        <f>[1]עקיף!$I155</f>
        <v>21</v>
      </c>
      <c r="F151" s="6">
        <f>[1]עקיף!$K155</f>
        <v>1292</v>
      </c>
    </row>
    <row r="152" spans="1:6" x14ac:dyDescent="0.2">
      <c r="A152" s="26">
        <v>39630</v>
      </c>
      <c r="B152" s="6">
        <f>[1]עקיף!$C156</f>
        <v>4393</v>
      </c>
      <c r="C152" s="6">
        <f>-1*[1]עקיף!$D156</f>
        <v>-2141</v>
      </c>
      <c r="D152" s="7">
        <f>SUM(consumption_tax!B152:C152, import_trade_tax!B152)</f>
        <v>5296</v>
      </c>
      <c r="E152" s="6">
        <f>[1]עקיף!$I156</f>
        <v>14</v>
      </c>
      <c r="F152" s="6">
        <f>[1]עקיף!$K156</f>
        <v>1277</v>
      </c>
    </row>
    <row r="153" spans="1:6" x14ac:dyDescent="0.2">
      <c r="A153" s="26">
        <v>39661</v>
      </c>
      <c r="B153" s="6">
        <f>[1]עקיף!$C157</f>
        <v>3661</v>
      </c>
      <c r="C153" s="6">
        <f>-1*[1]עקיף!$D157</f>
        <v>-2077</v>
      </c>
      <c r="D153" s="7">
        <f>SUM(consumption_tax!B153:C153, import_trade_tax!B153)</f>
        <v>4652</v>
      </c>
      <c r="E153" s="6">
        <f>[1]עקיף!$I157</f>
        <v>29</v>
      </c>
      <c r="F153" s="6">
        <f>[1]עקיף!$K157</f>
        <v>1329</v>
      </c>
    </row>
    <row r="154" spans="1:6" x14ac:dyDescent="0.2">
      <c r="A154" s="26">
        <v>39692</v>
      </c>
      <c r="B154" s="6">
        <f>[1]עקיף!$C158</f>
        <v>4395</v>
      </c>
      <c r="C154" s="6">
        <f>-1*[1]עקיף!$D158</f>
        <v>-2163</v>
      </c>
      <c r="D154" s="7">
        <f>SUM(consumption_tax!B154:C154, import_trade_tax!B154)</f>
        <v>4953</v>
      </c>
      <c r="E154" s="6">
        <f>[1]עקיף!$I158</f>
        <v>22</v>
      </c>
      <c r="F154" s="6">
        <f>[1]עקיף!$K158</f>
        <v>1261</v>
      </c>
    </row>
    <row r="155" spans="1:6" x14ac:dyDescent="0.2">
      <c r="A155" s="26">
        <v>39722</v>
      </c>
      <c r="B155" s="6">
        <f>[1]עקיף!$C159</f>
        <v>3585</v>
      </c>
      <c r="C155" s="6">
        <f>-1*[1]עקיף!$D159</f>
        <v>-1731</v>
      </c>
      <c r="D155" s="7">
        <f>SUM(consumption_tax!B155:C155, import_trade_tax!B155)</f>
        <v>4556</v>
      </c>
      <c r="E155" s="6">
        <f>[1]עקיף!$I159</f>
        <v>17</v>
      </c>
      <c r="F155" s="6">
        <f>[1]עקיף!$K159</f>
        <v>1113</v>
      </c>
    </row>
    <row r="156" spans="1:6" x14ac:dyDescent="0.2">
      <c r="A156" s="26">
        <v>39753</v>
      </c>
      <c r="B156" s="6">
        <f>[1]עקיף!$C160</f>
        <v>4133</v>
      </c>
      <c r="C156" s="6">
        <f>-1*[1]עקיף!$D160</f>
        <v>-2371</v>
      </c>
      <c r="D156" s="7">
        <f>SUM(consumption_tax!B156:C156, import_trade_tax!B156)</f>
        <v>4484</v>
      </c>
      <c r="E156" s="6">
        <f>[1]עקיף!$I160</f>
        <v>18</v>
      </c>
      <c r="F156" s="6">
        <f>[1]עקיף!$K160</f>
        <v>1231</v>
      </c>
    </row>
    <row r="157" spans="1:6" x14ac:dyDescent="0.2">
      <c r="A157" s="26">
        <v>39783</v>
      </c>
      <c r="B157" s="6">
        <f>[1]עקיף!$C161</f>
        <v>3225</v>
      </c>
      <c r="C157" s="6">
        <f>-1*[1]עקיף!$D161</f>
        <v>-2204</v>
      </c>
      <c r="D157" s="7">
        <f>SUM(consumption_tax!B157:C157, import_trade_tax!B157)</f>
        <v>3335</v>
      </c>
      <c r="E157" s="6">
        <f>[1]עקיף!$I161</f>
        <v>17</v>
      </c>
      <c r="F157" s="6">
        <f>[1]עקיף!$K161</f>
        <v>1185</v>
      </c>
    </row>
    <row r="158" spans="1:6" x14ac:dyDescent="0.2">
      <c r="A158" s="26">
        <v>39814</v>
      </c>
      <c r="B158" s="6">
        <f>[1]עקיף!$C162</f>
        <v>4664</v>
      </c>
      <c r="C158" s="6">
        <f>-1*[1]עקיף!$D162</f>
        <v>-2057</v>
      </c>
      <c r="D158" s="7">
        <f>SUM(consumption_tax!B158:C158, import_trade_tax!B158)</f>
        <v>4839</v>
      </c>
      <c r="E158" s="6">
        <f>[1]עקיף!$I162</f>
        <v>17</v>
      </c>
      <c r="F158" s="6">
        <f>[1]עקיף!$K162</f>
        <v>1149</v>
      </c>
    </row>
    <row r="159" spans="1:6" x14ac:dyDescent="0.2">
      <c r="A159" s="26">
        <v>39845</v>
      </c>
      <c r="B159" s="6">
        <f>[1]עקיף!$C163</f>
        <v>3277</v>
      </c>
      <c r="C159" s="6">
        <f>-1*[1]עקיף!$D163</f>
        <v>-1678</v>
      </c>
      <c r="D159" s="7">
        <f>SUM(consumption_tax!B159:C159, import_trade_tax!B159)</f>
        <v>3736</v>
      </c>
      <c r="E159" s="6">
        <f>[1]עקיף!$I163</f>
        <v>16</v>
      </c>
      <c r="F159" s="6">
        <f>[1]עקיף!$K163</f>
        <v>1083</v>
      </c>
    </row>
    <row r="160" spans="1:6" x14ac:dyDescent="0.2">
      <c r="A160" s="26">
        <v>39873</v>
      </c>
      <c r="B160" s="6">
        <f>[1]עקיף!$C164</f>
        <v>4281</v>
      </c>
      <c r="C160" s="6">
        <f>-1*[1]עקיף!$D164</f>
        <v>-1536</v>
      </c>
      <c r="D160" s="7">
        <f>SUM(consumption_tax!B160:C160, import_trade_tax!B160)</f>
        <v>5192</v>
      </c>
      <c r="E160" s="6">
        <f>[1]עקיף!$I164</f>
        <v>18</v>
      </c>
      <c r="F160" s="6">
        <f>[1]עקיף!$K164</f>
        <v>1259</v>
      </c>
    </row>
    <row r="161" spans="1:6" x14ac:dyDescent="0.2">
      <c r="A161" s="26">
        <v>39904</v>
      </c>
      <c r="B161" s="6">
        <f>[1]עקיף!$C165</f>
        <v>3626</v>
      </c>
      <c r="C161" s="6">
        <f>-1*[1]עקיף!$D165</f>
        <v>-1599</v>
      </c>
      <c r="D161" s="7">
        <f>SUM(consumption_tax!B161:C161, import_trade_tax!B161)</f>
        <v>4111</v>
      </c>
      <c r="E161" s="6">
        <f>[1]עקיף!$I165</f>
        <v>17</v>
      </c>
      <c r="F161" s="6">
        <f>[1]עקיף!$K165</f>
        <v>1191</v>
      </c>
    </row>
    <row r="162" spans="1:6" x14ac:dyDescent="0.2">
      <c r="A162" s="26">
        <v>39934</v>
      </c>
      <c r="B162" s="6">
        <f>[1]עקיף!$C166</f>
        <v>4195</v>
      </c>
      <c r="C162" s="6">
        <f>-1*[1]עקיף!$D166</f>
        <v>-1608</v>
      </c>
      <c r="D162" s="7">
        <f>SUM(consumption_tax!B162:C162, import_trade_tax!B162)</f>
        <v>4772</v>
      </c>
      <c r="E162" s="6">
        <f>[1]עקיף!$I166</f>
        <v>18</v>
      </c>
      <c r="F162" s="6">
        <f>[1]עקיף!$K166</f>
        <v>1245</v>
      </c>
    </row>
    <row r="163" spans="1:6" x14ac:dyDescent="0.2">
      <c r="A163" s="26">
        <v>39965</v>
      </c>
      <c r="B163" s="6">
        <f>[1]עקיף!$C167</f>
        <v>3146</v>
      </c>
      <c r="C163" s="6">
        <f>-1*[1]עקיף!$D167</f>
        <v>-1668</v>
      </c>
      <c r="D163" s="7">
        <f>SUM(consumption_tax!B163:C163, import_trade_tax!B163)</f>
        <v>3832</v>
      </c>
      <c r="E163" s="6">
        <f>[1]עקיף!$I167</f>
        <v>22</v>
      </c>
      <c r="F163" s="6">
        <f>[1]עקיף!$K167</f>
        <v>1287</v>
      </c>
    </row>
    <row r="164" spans="1:6" x14ac:dyDescent="0.2">
      <c r="A164" s="26">
        <v>39995</v>
      </c>
      <c r="B164" s="6">
        <f>[1]עקיף!$C168</f>
        <v>5494</v>
      </c>
      <c r="C164" s="6">
        <f>-1*[1]עקיף!$D168</f>
        <v>-1628</v>
      </c>
      <c r="D164" s="7">
        <f>SUM(consumption_tax!B164:C164, import_trade_tax!B164)</f>
        <v>6710</v>
      </c>
      <c r="E164" s="6">
        <f>[1]עקיף!$I168</f>
        <v>22</v>
      </c>
      <c r="F164" s="6">
        <f>[1]עקיף!$K168</f>
        <v>1454</v>
      </c>
    </row>
    <row r="165" spans="1:6" x14ac:dyDescent="0.2">
      <c r="A165" s="26">
        <v>40026</v>
      </c>
      <c r="B165" s="6">
        <f>[1]עקיף!$C169</f>
        <v>3538</v>
      </c>
      <c r="C165" s="6">
        <f>-1*[1]עקיף!$D169</f>
        <v>-1696</v>
      </c>
      <c r="D165" s="7">
        <f>SUM(consumption_tax!B165:C165, import_trade_tax!B165)</f>
        <v>4841</v>
      </c>
      <c r="E165" s="6">
        <f>[1]עקיף!$I169</f>
        <v>20</v>
      </c>
      <c r="F165" s="6">
        <f>[1]עקיף!$K169</f>
        <v>1477</v>
      </c>
    </row>
    <row r="166" spans="1:6" x14ac:dyDescent="0.2">
      <c r="A166" s="26">
        <v>40057</v>
      </c>
      <c r="B166" s="6">
        <f>[1]עקיף!$C170</f>
        <v>4969</v>
      </c>
      <c r="C166" s="6">
        <f>-1*[1]עקיף!$D170</f>
        <v>-1795</v>
      </c>
      <c r="D166" s="7">
        <f>SUM(consumption_tax!B166:C166, import_trade_tax!B166)</f>
        <v>5471</v>
      </c>
      <c r="E166" s="6">
        <f>[1]עקיף!$I170</f>
        <v>24</v>
      </c>
      <c r="F166" s="6">
        <f>[1]עקיף!$K170</f>
        <v>1380</v>
      </c>
    </row>
    <row r="167" spans="1:6" x14ac:dyDescent="0.2">
      <c r="A167" s="26">
        <v>40087</v>
      </c>
      <c r="B167" s="6">
        <f>[1]עקיף!$C171</f>
        <v>3635</v>
      </c>
      <c r="C167" s="6">
        <f>-1*[1]עקיף!$D171</f>
        <v>-1803</v>
      </c>
      <c r="D167" s="7">
        <f>SUM(consumption_tax!B167:C167, import_trade_tax!B167)</f>
        <v>4242</v>
      </c>
      <c r="E167" s="6">
        <f>[1]עקיף!$I171</f>
        <v>23</v>
      </c>
      <c r="F167" s="6">
        <f>[1]עקיף!$K171</f>
        <v>1398</v>
      </c>
    </row>
    <row r="168" spans="1:6" x14ac:dyDescent="0.2">
      <c r="A168" s="26">
        <v>40118</v>
      </c>
      <c r="B168" s="6">
        <f>[1]עקיף!$C172</f>
        <v>4983</v>
      </c>
      <c r="C168" s="6">
        <f>-1*[1]עקיף!$D172</f>
        <v>-1826</v>
      </c>
      <c r="D168" s="7">
        <f>SUM(consumption_tax!B168:C168, import_trade_tax!B168)</f>
        <v>5850</v>
      </c>
      <c r="E168" s="6">
        <f>[1]עקיף!$I172</f>
        <v>16</v>
      </c>
      <c r="F168" s="6">
        <f>[1]עקיף!$K172</f>
        <v>1537</v>
      </c>
    </row>
    <row r="169" spans="1:6" x14ac:dyDescent="0.2">
      <c r="A169" s="26">
        <v>40148</v>
      </c>
      <c r="B169" s="6">
        <f>[1]עקיף!$C173</f>
        <v>3676</v>
      </c>
      <c r="C169" s="6">
        <f>-1*[1]עקיף!$D173</f>
        <v>-1977</v>
      </c>
      <c r="D169" s="7">
        <f>SUM(consumption_tax!B169:C169, import_trade_tax!B169)</f>
        <v>4357</v>
      </c>
      <c r="E169" s="6">
        <f>[1]עקיף!$I173</f>
        <v>16</v>
      </c>
      <c r="F169" s="6">
        <f>[1]עקיף!$K173</f>
        <v>1532</v>
      </c>
    </row>
    <row r="170" spans="1:6" x14ac:dyDescent="0.2">
      <c r="A170" s="26">
        <v>40179</v>
      </c>
      <c r="B170" s="6">
        <f>[1]עקיף!$C174</f>
        <v>5774</v>
      </c>
      <c r="C170" s="6">
        <f>-1*[1]עקיף!$D174</f>
        <v>-2007</v>
      </c>
      <c r="D170" s="7">
        <f>SUM(consumption_tax!B170:C170, import_trade_tax!B170)</f>
        <v>6481</v>
      </c>
      <c r="E170" s="6">
        <f>[1]עקיף!$I174</f>
        <v>21</v>
      </c>
      <c r="F170" s="6">
        <f>[1]עקיף!$K174</f>
        <v>1544</v>
      </c>
    </row>
    <row r="171" spans="1:6" x14ac:dyDescent="0.2">
      <c r="A171" s="26">
        <v>40210</v>
      </c>
      <c r="B171" s="6">
        <f>[1]עקיף!$C175</f>
        <v>3967</v>
      </c>
      <c r="C171" s="6">
        <f>-1*[1]עקיף!$D175</f>
        <v>-1850</v>
      </c>
      <c r="D171" s="7">
        <f>SUM(consumption_tax!B171:C171, import_trade_tax!B171)</f>
        <v>4541</v>
      </c>
      <c r="E171" s="6">
        <f>[1]עקיף!$I175</f>
        <v>15</v>
      </c>
      <c r="F171" s="6">
        <f>[1]עקיף!$K175</f>
        <v>1241</v>
      </c>
    </row>
    <row r="172" spans="1:6" x14ac:dyDescent="0.2">
      <c r="A172" s="26">
        <v>40238</v>
      </c>
      <c r="B172" s="6">
        <f>[1]עקיף!$C176</f>
        <v>4831</v>
      </c>
      <c r="C172" s="6">
        <f>-1*[1]עקיף!$D176</f>
        <v>-1982</v>
      </c>
      <c r="D172" s="7">
        <f>SUM(consumption_tax!B172:C172, import_trade_tax!B172)</f>
        <v>5787</v>
      </c>
      <c r="E172" s="6">
        <f>[1]עקיף!$I176</f>
        <v>35</v>
      </c>
      <c r="F172" s="6">
        <f>[1]עקיף!$K176</f>
        <v>1620</v>
      </c>
    </row>
    <row r="173" spans="1:6" x14ac:dyDescent="0.2">
      <c r="A173" s="26">
        <v>40269</v>
      </c>
      <c r="B173" s="6">
        <f>[1]עקיף!$C177</f>
        <v>4065</v>
      </c>
      <c r="C173" s="6">
        <f>-1*[1]עקיף!$D177</f>
        <v>-2122</v>
      </c>
      <c r="D173" s="7">
        <f>SUM(consumption_tax!B173:C173, import_trade_tax!B173)</f>
        <v>4554</v>
      </c>
      <c r="E173" s="6">
        <f>[1]עקיף!$I177</f>
        <v>20</v>
      </c>
      <c r="F173" s="6">
        <f>[1]עקיף!$K177</f>
        <v>1362</v>
      </c>
    </row>
    <row r="174" spans="1:6" x14ac:dyDescent="0.2">
      <c r="A174" s="26">
        <v>40299</v>
      </c>
      <c r="B174" s="6">
        <f>[1]עקיף!$C178</f>
        <v>4850</v>
      </c>
      <c r="C174" s="6">
        <f>-1*[1]עקיף!$D178</f>
        <v>-1927</v>
      </c>
      <c r="D174" s="7">
        <f>SUM(consumption_tax!B174:C174, import_trade_tax!B174)</f>
        <v>5724</v>
      </c>
      <c r="E174" s="6">
        <f>[1]עקיף!$I178</f>
        <v>20</v>
      </c>
      <c r="F174" s="6">
        <f>[1]עקיף!$K178</f>
        <v>1545</v>
      </c>
    </row>
    <row r="175" spans="1:6" x14ac:dyDescent="0.2">
      <c r="A175" s="26">
        <v>40330</v>
      </c>
      <c r="B175" s="6">
        <f>[1]עקיף!$C179</f>
        <v>3520</v>
      </c>
      <c r="C175" s="6">
        <f>-1*[1]עקיף!$D179</f>
        <v>-2098</v>
      </c>
      <c r="D175" s="7">
        <f>SUM(consumption_tax!B175:C175, import_trade_tax!B175)</f>
        <v>4262</v>
      </c>
      <c r="E175" s="6">
        <f>[1]עקיף!$I179</f>
        <v>23</v>
      </c>
      <c r="F175" s="6">
        <f>[1]עקיף!$K179</f>
        <v>1490</v>
      </c>
    </row>
    <row r="176" spans="1:6" x14ac:dyDescent="0.2">
      <c r="A176" s="26">
        <v>40360</v>
      </c>
      <c r="B176" s="6">
        <f>[1]עקיף!$C180</f>
        <v>5573</v>
      </c>
      <c r="C176" s="6">
        <f>-1*[1]עקיף!$D180</f>
        <v>-2117</v>
      </c>
      <c r="D176" s="7">
        <f>SUM(consumption_tax!B176:C176, import_trade_tax!B176)</f>
        <v>6383</v>
      </c>
      <c r="E176" s="6">
        <f>[1]עקיף!$I180</f>
        <v>27</v>
      </c>
      <c r="F176" s="6">
        <f>[1]עקיף!$K180</f>
        <v>1579</v>
      </c>
    </row>
    <row r="177" spans="1:6" x14ac:dyDescent="0.2">
      <c r="A177" s="26">
        <v>40391</v>
      </c>
      <c r="B177" s="6">
        <f>[1]עקיף!$C181</f>
        <v>3851</v>
      </c>
      <c r="C177" s="6">
        <f>-1*[1]עקיף!$D181</f>
        <v>-2227</v>
      </c>
      <c r="D177" s="7">
        <f>SUM(consumption_tax!B177:C177, import_trade_tax!B177)</f>
        <v>4649</v>
      </c>
      <c r="E177" s="6">
        <f>[1]עקיף!$I181</f>
        <v>25</v>
      </c>
      <c r="F177" s="6">
        <f>[1]עקיף!$K181</f>
        <v>1642</v>
      </c>
    </row>
    <row r="178" spans="1:6" x14ac:dyDescent="0.2">
      <c r="A178" s="26">
        <v>40422</v>
      </c>
      <c r="B178" s="6">
        <f>[1]עקיף!$C182</f>
        <v>5551</v>
      </c>
      <c r="C178" s="6">
        <f>-1*[1]עקיף!$D182</f>
        <v>-1463</v>
      </c>
      <c r="D178" s="7">
        <f>SUM(consumption_tax!B178:C178, import_trade_tax!B178)</f>
        <v>6523</v>
      </c>
      <c r="E178" s="6">
        <f>[1]עקיף!$I182</f>
        <v>27</v>
      </c>
      <c r="F178" s="6">
        <f>[1]עקיף!$K182</f>
        <v>1575</v>
      </c>
    </row>
    <row r="179" spans="1:6" x14ac:dyDescent="0.2">
      <c r="A179" s="26">
        <v>40452</v>
      </c>
      <c r="B179" s="6">
        <f>[1]עקיף!$C183</f>
        <v>3738</v>
      </c>
      <c r="C179" s="6">
        <f>-1*[1]עקיף!$D183</f>
        <v>-2459</v>
      </c>
      <c r="D179" s="7">
        <f>SUM(consumption_tax!B179:C179, import_trade_tax!B179)</f>
        <v>4406</v>
      </c>
      <c r="E179" s="6">
        <f>[1]עקיף!$I183</f>
        <v>29</v>
      </c>
      <c r="F179" s="6">
        <f>[1]עקיף!$K183</f>
        <v>1696</v>
      </c>
    </row>
    <row r="180" spans="1:6" x14ac:dyDescent="0.2">
      <c r="A180" s="26">
        <v>40483</v>
      </c>
      <c r="B180" s="6">
        <f>[1]עקיף!$C184</f>
        <v>5190</v>
      </c>
      <c r="C180" s="6">
        <f>-1*[1]עקיף!$D184</f>
        <v>-2071</v>
      </c>
      <c r="D180" s="7">
        <f>SUM(consumption_tax!B180:C180, import_trade_tax!B180)</f>
        <v>5818</v>
      </c>
      <c r="E180" s="6">
        <f>[1]עקיף!$I184</f>
        <v>24</v>
      </c>
      <c r="F180" s="6">
        <f>[1]עקיף!$K184</f>
        <v>1545</v>
      </c>
    </row>
    <row r="181" spans="1:6" x14ac:dyDescent="0.2">
      <c r="A181" s="26">
        <v>40513</v>
      </c>
      <c r="B181" s="6">
        <f>[1]עקיף!$C185</f>
        <v>3924</v>
      </c>
      <c r="C181" s="6">
        <f>-1*[1]עקיף!$D185</f>
        <v>-2006</v>
      </c>
      <c r="D181" s="7">
        <f>SUM(consumption_tax!B181:C181, import_trade_tax!B181)</f>
        <v>4998</v>
      </c>
      <c r="E181" s="6">
        <f>[1]עקיף!$I185</f>
        <v>25</v>
      </c>
      <c r="F181" s="6">
        <f>[1]עקיף!$K185</f>
        <v>1600</v>
      </c>
    </row>
    <row r="182" spans="1:6" x14ac:dyDescent="0.2">
      <c r="A182" s="26">
        <v>40544</v>
      </c>
      <c r="B182" s="6">
        <f>[1]עקיף!$C186</f>
        <v>6051</v>
      </c>
      <c r="C182" s="6">
        <f>-1*[1]עקיף!$D186</f>
        <v>-2144</v>
      </c>
      <c r="D182" s="7">
        <f>SUM(consumption_tax!B182:C182, import_trade_tax!B182)</f>
        <v>7016</v>
      </c>
      <c r="E182" s="6">
        <f>[1]עקיף!$I186</f>
        <v>32</v>
      </c>
      <c r="F182" s="6">
        <f>[1]עקיף!$K186</f>
        <v>1675</v>
      </c>
    </row>
    <row r="183" spans="1:6" x14ac:dyDescent="0.2">
      <c r="A183" s="26">
        <v>40575</v>
      </c>
      <c r="B183" s="6">
        <f>[1]עקיף!$C187</f>
        <v>4058</v>
      </c>
      <c r="C183" s="6">
        <f>-1*[1]עקיף!$D187</f>
        <v>-2142</v>
      </c>
      <c r="D183" s="7">
        <f>SUM(consumption_tax!B183:C183, import_trade_tax!B183)</f>
        <v>4905</v>
      </c>
      <c r="E183" s="6">
        <f>[1]עקיף!$I187</f>
        <v>23</v>
      </c>
      <c r="F183" s="6">
        <f>[1]עקיף!$K187</f>
        <v>1482</v>
      </c>
    </row>
    <row r="184" spans="1:6" x14ac:dyDescent="0.2">
      <c r="A184" s="26">
        <v>40603</v>
      </c>
      <c r="B184" s="6">
        <f>[1]עקיף!$C188</f>
        <v>5460</v>
      </c>
      <c r="C184" s="6">
        <f>-1*[1]עקיף!$D188</f>
        <v>-2589</v>
      </c>
      <c r="D184" s="7">
        <f>SUM(consumption_tax!B184:C184, import_trade_tax!B184)</f>
        <v>6552</v>
      </c>
      <c r="E184" s="6">
        <f>[1]עקיף!$I188</f>
        <v>23</v>
      </c>
      <c r="F184" s="6">
        <f>[1]עקיף!$K188</f>
        <v>1603</v>
      </c>
    </row>
    <row r="185" spans="1:6" x14ac:dyDescent="0.2">
      <c r="A185" s="26">
        <v>40634</v>
      </c>
      <c r="B185" s="6">
        <f>[1]עקיף!$C189</f>
        <v>3984</v>
      </c>
      <c r="C185" s="6">
        <f>-1*[1]עקיף!$D189</f>
        <v>-1648</v>
      </c>
      <c r="D185" s="7">
        <f>SUM(consumption_tax!B185:C185, import_trade_tax!B185)</f>
        <v>5415</v>
      </c>
      <c r="E185" s="6">
        <f>[1]עקיף!$I189</f>
        <v>18</v>
      </c>
      <c r="F185" s="6">
        <f>[1]עקיף!$K189</f>
        <v>1497</v>
      </c>
    </row>
    <row r="186" spans="1:6" x14ac:dyDescent="0.2">
      <c r="A186" s="26">
        <v>40664</v>
      </c>
      <c r="B186" s="6">
        <f>[1]עקיף!$C190</f>
        <v>5649</v>
      </c>
      <c r="C186" s="6">
        <f>-1*[1]עקיף!$D190</f>
        <v>-3314</v>
      </c>
      <c r="D186" s="7">
        <f>SUM(consumption_tax!B186:C186, import_trade_tax!B186)</f>
        <v>5797</v>
      </c>
      <c r="E186" s="6">
        <f>[1]עקיף!$I190</f>
        <v>21</v>
      </c>
      <c r="F186" s="6">
        <f>[1]עקיף!$K190</f>
        <v>1613</v>
      </c>
    </row>
    <row r="187" spans="1:6" x14ac:dyDescent="0.2">
      <c r="A187" s="26">
        <v>40695</v>
      </c>
      <c r="B187" s="6">
        <f>[1]עקיף!$C191</f>
        <v>3648</v>
      </c>
      <c r="C187" s="6">
        <f>-1*[1]עקיף!$D191</f>
        <v>-2347</v>
      </c>
      <c r="D187" s="7">
        <f>SUM(consumption_tax!B187:C187, import_trade_tax!B187)</f>
        <v>4445</v>
      </c>
      <c r="E187" s="6">
        <f>[1]עקיף!$I191</f>
        <v>30</v>
      </c>
      <c r="F187" s="6">
        <f>[1]עקיף!$K191</f>
        <v>1644</v>
      </c>
    </row>
    <row r="188" spans="1:6" x14ac:dyDescent="0.2">
      <c r="A188" s="26">
        <v>40725</v>
      </c>
      <c r="B188" s="6">
        <f>[1]עקיף!$C192</f>
        <v>5877</v>
      </c>
      <c r="C188" s="6">
        <f>-1*[1]עקיף!$D192</f>
        <v>-2551</v>
      </c>
      <c r="D188" s="7">
        <f>SUM(consumption_tax!B188:C188, import_trade_tax!B188)</f>
        <v>6677</v>
      </c>
      <c r="E188" s="6">
        <f>[1]עקיף!$I192</f>
        <v>33</v>
      </c>
      <c r="F188" s="6">
        <f>[1]עקיף!$K192</f>
        <v>1795</v>
      </c>
    </row>
    <row r="189" spans="1:6" x14ac:dyDescent="0.2">
      <c r="A189" s="26">
        <v>40756</v>
      </c>
      <c r="B189" s="6">
        <f>[1]עקיף!$C193</f>
        <v>3744</v>
      </c>
      <c r="C189" s="6">
        <f>-1*[1]עקיף!$D193</f>
        <v>-2540</v>
      </c>
      <c r="D189" s="7">
        <f>SUM(consumption_tax!B189:C189, import_trade_tax!B189)</f>
        <v>4903</v>
      </c>
      <c r="E189" s="6">
        <f>[1]עקיף!$I193</f>
        <v>20</v>
      </c>
      <c r="F189" s="6">
        <f>[1]עקיף!$K193</f>
        <v>1644</v>
      </c>
    </row>
    <row r="190" spans="1:6" x14ac:dyDescent="0.2">
      <c r="A190" s="26">
        <v>40787</v>
      </c>
      <c r="B190" s="6">
        <f>[1]עקיף!$C194</f>
        <v>5585</v>
      </c>
      <c r="C190" s="6">
        <f>-1*[1]עקיף!$D194</f>
        <v>-2209</v>
      </c>
      <c r="D190" s="7">
        <f>SUM(consumption_tax!B190:C190, import_trade_tax!B190)</f>
        <v>6634</v>
      </c>
      <c r="E190" s="6">
        <f>[1]עקיף!$I194</f>
        <v>27</v>
      </c>
      <c r="F190" s="6">
        <f>[1]עקיף!$K194</f>
        <v>1458</v>
      </c>
    </row>
    <row r="191" spans="1:6" x14ac:dyDescent="0.2">
      <c r="A191" s="26">
        <v>40817</v>
      </c>
      <c r="B191" s="6">
        <f>[1]עקיף!$C195</f>
        <v>3648</v>
      </c>
      <c r="C191" s="6">
        <f>-1*[1]עקיף!$D195</f>
        <v>-2159</v>
      </c>
      <c r="D191" s="7">
        <f>SUM(consumption_tax!B191:C191, import_trade_tax!B191)</f>
        <v>4811</v>
      </c>
      <c r="E191" s="6">
        <f>[1]עקיף!$I195</f>
        <v>26</v>
      </c>
      <c r="F191" s="6">
        <f>[1]עקיף!$K195</f>
        <v>1640</v>
      </c>
    </row>
    <row r="192" spans="1:6" x14ac:dyDescent="0.2">
      <c r="A192" s="26">
        <v>40848</v>
      </c>
      <c r="B192" s="6">
        <f>[1]עקיף!$C196</f>
        <v>5302</v>
      </c>
      <c r="C192" s="6">
        <f>-1*[1]עקיף!$D196</f>
        <v>-2520</v>
      </c>
      <c r="D192" s="7">
        <f>SUM(consumption_tax!B192:C192, import_trade_tax!B192)</f>
        <v>6323</v>
      </c>
      <c r="E192" s="6">
        <f>[1]עקיף!$I196</f>
        <v>27</v>
      </c>
      <c r="F192" s="6">
        <f>[1]עקיף!$K196</f>
        <v>1608</v>
      </c>
    </row>
    <row r="193" spans="1:6" x14ac:dyDescent="0.2">
      <c r="A193" s="26">
        <v>40878</v>
      </c>
      <c r="B193" s="6">
        <f>[1]עקיף!$C197</f>
        <v>3771</v>
      </c>
      <c r="C193" s="6">
        <f>-1*[1]עקיף!$D197</f>
        <v>-1668</v>
      </c>
      <c r="D193" s="7">
        <f>SUM(consumption_tax!B193:C193, import_trade_tax!B193)</f>
        <v>5276</v>
      </c>
      <c r="E193" s="6">
        <f>[1]עקיף!$I197</f>
        <v>27</v>
      </c>
      <c r="F193" s="6">
        <f>[1]עקיף!$K197</f>
        <v>1555</v>
      </c>
    </row>
    <row r="194" spans="1:6" x14ac:dyDescent="0.2">
      <c r="A194" s="26">
        <v>40909</v>
      </c>
      <c r="B194" s="6">
        <f>[1]עקיף!$C198</f>
        <v>6527</v>
      </c>
      <c r="C194" s="6">
        <f>-1*[1]עקיף!$D198</f>
        <v>-3132</v>
      </c>
      <c r="D194" s="7">
        <f>SUM(consumption_tax!B194:C194, import_trade_tax!B194)</f>
        <v>7366</v>
      </c>
      <c r="E194" s="6">
        <f>[1]עקיף!$I198</f>
        <v>17</v>
      </c>
      <c r="F194" s="6">
        <f>[1]עקיף!$K198</f>
        <v>1755</v>
      </c>
    </row>
    <row r="195" spans="1:6" x14ac:dyDescent="0.2">
      <c r="A195" s="26">
        <v>40940</v>
      </c>
      <c r="B195" s="6">
        <f>[1]עקיף!$C199</f>
        <v>3868</v>
      </c>
      <c r="C195" s="6">
        <f>-1*[1]עקיף!$D199</f>
        <v>-2749</v>
      </c>
      <c r="D195" s="7">
        <f>SUM(consumption_tax!B195:C195, import_trade_tax!B195)</f>
        <v>4741</v>
      </c>
      <c r="E195" s="6">
        <f>[1]עקיף!$I199</f>
        <v>13</v>
      </c>
      <c r="F195" s="6">
        <f>[1]עקיף!$K199</f>
        <v>1607</v>
      </c>
    </row>
    <row r="196" spans="1:6" x14ac:dyDescent="0.2">
      <c r="A196" s="26">
        <v>40969</v>
      </c>
      <c r="B196" s="6">
        <f>[1]עקיף!$C200</f>
        <v>5252</v>
      </c>
      <c r="C196" s="6">
        <f>-1*[1]עקיף!$D200</f>
        <v>-2928</v>
      </c>
      <c r="D196" s="7">
        <f>SUM(consumption_tax!B196:C196, import_trade_tax!B196)</f>
        <v>6135</v>
      </c>
      <c r="E196" s="6">
        <f>[1]עקיף!$I200</f>
        <v>28</v>
      </c>
      <c r="F196" s="6">
        <f>[1]עקיף!$K200</f>
        <v>1581</v>
      </c>
    </row>
    <row r="197" spans="1:6" x14ac:dyDescent="0.2">
      <c r="A197" s="26">
        <v>41000</v>
      </c>
      <c r="B197" s="6">
        <f>[1]עקיף!$C201</f>
        <v>3784</v>
      </c>
      <c r="C197" s="6">
        <f>-1*[1]עקיף!$D201</f>
        <v>-2165</v>
      </c>
      <c r="D197" s="7">
        <f>SUM(consumption_tax!B197:C197, import_trade_tax!B197)</f>
        <v>5297</v>
      </c>
      <c r="E197" s="6">
        <f>[1]עקיף!$I201</f>
        <v>19</v>
      </c>
      <c r="F197" s="6">
        <f>[1]עקיף!$K201</f>
        <v>1627</v>
      </c>
    </row>
    <row r="198" spans="1:6" x14ac:dyDescent="0.2">
      <c r="A198" s="26">
        <v>41030</v>
      </c>
      <c r="B198" s="6">
        <f>[1]עקיף!$C202</f>
        <v>5435</v>
      </c>
      <c r="C198" s="6">
        <f>-1*[1]עקיף!$D202</f>
        <v>-3263</v>
      </c>
      <c r="D198" s="7">
        <f>SUM(consumption_tax!B198:C198, import_trade_tax!B198)</f>
        <v>5903</v>
      </c>
      <c r="E198" s="6">
        <f>[1]עקיף!$I202</f>
        <v>30</v>
      </c>
      <c r="F198" s="6">
        <f>[1]עקיף!$K202</f>
        <v>1699</v>
      </c>
    </row>
    <row r="199" spans="1:6" x14ac:dyDescent="0.2">
      <c r="A199" s="26">
        <v>41061</v>
      </c>
      <c r="B199" s="6">
        <f>[1]עקיף!$C203</f>
        <v>4139</v>
      </c>
      <c r="C199" s="6">
        <f>-1*[1]עקיף!$D203</f>
        <v>-2976</v>
      </c>
      <c r="D199" s="7">
        <f>SUM(consumption_tax!B199:C199, import_trade_tax!B199)</f>
        <v>4668</v>
      </c>
      <c r="E199" s="6">
        <f>[1]עקיף!$I203</f>
        <v>29</v>
      </c>
      <c r="F199" s="6">
        <f>[1]עקיף!$K203</f>
        <v>1513</v>
      </c>
    </row>
    <row r="200" spans="1:6" x14ac:dyDescent="0.2">
      <c r="A200" s="26">
        <v>41091</v>
      </c>
      <c r="B200" s="6">
        <f>[1]עקיף!$C204</f>
        <v>5731</v>
      </c>
      <c r="C200" s="6">
        <f>-1*[1]עקיף!$D204</f>
        <v>-2557</v>
      </c>
      <c r="D200" s="7">
        <f>SUM(consumption_tax!B200:C200, import_trade_tax!B200)</f>
        <v>7107</v>
      </c>
      <c r="E200" s="6">
        <f>[1]עקיף!$I204</f>
        <v>30</v>
      </c>
      <c r="F200" s="6">
        <f>[1]עקיף!$K204</f>
        <v>1891</v>
      </c>
    </row>
    <row r="201" spans="1:6" x14ac:dyDescent="0.2">
      <c r="A201" s="26">
        <v>41122</v>
      </c>
      <c r="B201" s="6">
        <f>[1]עקיף!$C205</f>
        <v>4403</v>
      </c>
      <c r="C201" s="6">
        <f>-1*[1]עקיף!$D205</f>
        <v>-2715</v>
      </c>
      <c r="D201" s="7">
        <f>SUM(consumption_tax!B201:C201, import_trade_tax!B201)</f>
        <v>5827</v>
      </c>
      <c r="E201" s="6">
        <f>[1]עקיף!$I205</f>
        <v>27</v>
      </c>
      <c r="F201" s="6">
        <f>[1]עקיף!$K205</f>
        <v>1801</v>
      </c>
    </row>
    <row r="202" spans="1:6" x14ac:dyDescent="0.2">
      <c r="A202" s="26">
        <v>41153</v>
      </c>
      <c r="B202" s="6">
        <f>[1]עקיף!$C206</f>
        <v>6475</v>
      </c>
      <c r="C202" s="6">
        <f>-1*[1]עקיף!$D206</f>
        <v>-2188</v>
      </c>
      <c r="D202" s="7">
        <f>SUM(consumption_tax!B202:C202, import_trade_tax!B202)</f>
        <v>7307</v>
      </c>
      <c r="E202" s="6">
        <f>[1]עקיף!$I206</f>
        <v>27</v>
      </c>
      <c r="F202" s="6">
        <f>[1]עקיף!$K206</f>
        <v>1562</v>
      </c>
    </row>
    <row r="203" spans="1:6" x14ac:dyDescent="0.2">
      <c r="A203" s="26">
        <v>41183</v>
      </c>
      <c r="B203" s="6">
        <f>[1]עקיף!$C207</f>
        <v>4237</v>
      </c>
      <c r="C203" s="6">
        <f>-1*[1]עקיף!$D207</f>
        <v>-2946</v>
      </c>
      <c r="D203" s="7">
        <f>SUM(consumption_tax!B203:C203, import_trade_tax!B203)</f>
        <v>5641</v>
      </c>
      <c r="E203" s="6">
        <f>[1]עקיף!$I207</f>
        <v>24</v>
      </c>
      <c r="F203" s="6">
        <f>[1]עקיף!$K207</f>
        <v>1719</v>
      </c>
    </row>
    <row r="204" spans="1:6" x14ac:dyDescent="0.2">
      <c r="A204" s="26">
        <v>41214</v>
      </c>
      <c r="B204" s="6">
        <f>[1]עקיף!$C208</f>
        <v>5510</v>
      </c>
      <c r="C204" s="6">
        <f>-1*[1]עקיף!$D208</f>
        <v>-3122</v>
      </c>
      <c r="D204" s="7">
        <f>SUM(consumption_tax!B204:C204, import_trade_tax!B204)</f>
        <v>5538</v>
      </c>
      <c r="E204" s="6">
        <f>[1]עקיף!$I208</f>
        <v>39</v>
      </c>
      <c r="F204" s="6">
        <f>[1]עקיף!$K208</f>
        <v>1633</v>
      </c>
    </row>
    <row r="205" spans="1:6" x14ac:dyDescent="0.2">
      <c r="A205" s="26">
        <v>41244</v>
      </c>
      <c r="B205" s="6">
        <f>[1]עקיף!$C209</f>
        <v>4397</v>
      </c>
      <c r="C205" s="6">
        <f>-1*[1]עקיף!$D209</f>
        <v>-2931</v>
      </c>
      <c r="D205" s="7">
        <f>SUM(consumption_tax!B205:C205, import_trade_tax!B205)</f>
        <v>5507</v>
      </c>
      <c r="E205" s="6">
        <f>[1]עקיף!$I209</f>
        <v>22</v>
      </c>
      <c r="F205" s="6">
        <f>[1]עקיף!$K209</f>
        <v>1701</v>
      </c>
    </row>
    <row r="206" spans="1:6" x14ac:dyDescent="0.2">
      <c r="A206" s="26">
        <v>41275</v>
      </c>
      <c r="B206" s="6">
        <f>[1]עקיף!$C210</f>
        <v>7157</v>
      </c>
      <c r="C206" s="6">
        <f>-1*[1]עקיף!$D210</f>
        <v>-3134</v>
      </c>
      <c r="D206" s="7">
        <f>SUM(consumption_tax!B206:C206, import_trade_tax!B206)</f>
        <v>7618</v>
      </c>
      <c r="E206" s="6">
        <f>[1]עקיף!$I210</f>
        <v>27</v>
      </c>
      <c r="F206" s="6">
        <f>[1]עקיף!$K210</f>
        <v>1670</v>
      </c>
    </row>
    <row r="207" spans="1:6" x14ac:dyDescent="0.2">
      <c r="A207" s="26">
        <v>41306</v>
      </c>
      <c r="B207" s="6">
        <f>[1]עקיף!$C211</f>
        <v>4701</v>
      </c>
      <c r="C207" s="6">
        <f>-1*[1]עקיף!$D211</f>
        <v>-2640</v>
      </c>
      <c r="D207" s="7">
        <f>SUM(consumption_tax!B207:C207, import_trade_tax!B207)</f>
        <v>5638</v>
      </c>
      <c r="E207" s="6">
        <f>[1]עקיף!$I211</f>
        <v>40</v>
      </c>
      <c r="F207" s="6">
        <f>[1]עקיף!$K211</f>
        <v>1527</v>
      </c>
    </row>
    <row r="208" spans="1:6" x14ac:dyDescent="0.2">
      <c r="A208" s="26">
        <v>41334</v>
      </c>
      <c r="B208" s="6">
        <f>[1]עקיף!$C212</f>
        <v>6266</v>
      </c>
      <c r="C208" s="6">
        <f>-1*[1]עקיף!$D212</f>
        <v>-2476</v>
      </c>
      <c r="D208" s="7">
        <f>SUM(consumption_tax!B208:C208, import_trade_tax!B208)</f>
        <v>7159</v>
      </c>
      <c r="E208" s="6">
        <f>[1]עקיף!$I212</f>
        <v>26</v>
      </c>
      <c r="F208" s="6">
        <f>[1]עקיף!$K212</f>
        <v>1775</v>
      </c>
    </row>
    <row r="209" spans="1:6" x14ac:dyDescent="0.2">
      <c r="A209" s="26">
        <v>41365</v>
      </c>
      <c r="B209" s="6">
        <f>[1]עקיף!$C213</f>
        <v>4536</v>
      </c>
      <c r="C209" s="6">
        <f>-1*[1]עקיף!$D213</f>
        <v>-2833</v>
      </c>
      <c r="D209" s="7">
        <f>SUM(consumption_tax!B209:C209, import_trade_tax!B209)</f>
        <v>5445</v>
      </c>
      <c r="E209" s="6">
        <f>[1]עקיף!$I213</f>
        <v>33</v>
      </c>
      <c r="F209" s="6">
        <f>[1]עקיף!$K213</f>
        <v>1514</v>
      </c>
    </row>
    <row r="210" spans="1:6" x14ac:dyDescent="0.2">
      <c r="A210" s="26">
        <v>41395</v>
      </c>
      <c r="B210" s="6">
        <f>[1]עקיף!$C214</f>
        <v>6249</v>
      </c>
      <c r="C210" s="6">
        <f>-1*[1]עקיף!$D214</f>
        <v>-2971</v>
      </c>
      <c r="D210" s="7">
        <f>SUM(consumption_tax!B210:C210, import_trade_tax!B210)</f>
        <v>6844</v>
      </c>
      <c r="E210" s="6">
        <f>[1]עקיף!$I214</f>
        <v>65</v>
      </c>
      <c r="F210" s="6">
        <f>[1]עקיף!$K214</f>
        <v>1811</v>
      </c>
    </row>
    <row r="211" spans="1:6" x14ac:dyDescent="0.2">
      <c r="A211" s="26">
        <v>41426</v>
      </c>
      <c r="B211" s="6">
        <f>[1]עקיף!$C215</f>
        <v>5364</v>
      </c>
      <c r="C211" s="6">
        <f>-1*[1]עקיף!$D215</f>
        <v>-2613</v>
      </c>
      <c r="D211" s="7">
        <f>SUM(consumption_tax!B211:C211, import_trade_tax!B211)</f>
        <v>6249</v>
      </c>
      <c r="E211" s="6">
        <f>[1]עקיף!$I215</f>
        <v>60</v>
      </c>
      <c r="F211" s="6">
        <f>[1]עקיף!$K215</f>
        <v>1783</v>
      </c>
    </row>
    <row r="212" spans="1:6" x14ac:dyDescent="0.2">
      <c r="A212" s="26">
        <v>41456</v>
      </c>
      <c r="B212" s="6">
        <f>[1]עקיף!$C216</f>
        <v>6984</v>
      </c>
      <c r="C212" s="6">
        <f>-1*[1]עקיף!$D216</f>
        <v>-2704</v>
      </c>
      <c r="D212" s="7">
        <f>SUM(consumption_tax!B212:C212, import_trade_tax!B212)</f>
        <v>8609</v>
      </c>
      <c r="E212" s="6">
        <f>[1]עקיף!$I216</f>
        <v>71</v>
      </c>
      <c r="F212" s="6">
        <f>[1]עקיף!$K216</f>
        <v>1797</v>
      </c>
    </row>
    <row r="213" spans="1:6" x14ac:dyDescent="0.2">
      <c r="A213" s="26">
        <v>41487</v>
      </c>
      <c r="B213" s="6">
        <f>[1]עקיף!$C217</f>
        <v>4972</v>
      </c>
      <c r="C213" s="6">
        <f>-1*[1]עקיף!$D217</f>
        <v>-3126</v>
      </c>
      <c r="D213" s="7">
        <f>SUM(consumption_tax!B213:C213, import_trade_tax!B213)</f>
        <v>5587</v>
      </c>
      <c r="E213" s="6">
        <f>[1]עקיף!$I217</f>
        <v>35</v>
      </c>
      <c r="F213" s="6">
        <f>[1]עקיף!$K217</f>
        <v>1790</v>
      </c>
    </row>
    <row r="214" spans="1:6" x14ac:dyDescent="0.2">
      <c r="A214" s="26">
        <v>41518</v>
      </c>
      <c r="B214" s="6">
        <f>[1]עקיף!$C218</f>
        <v>6760</v>
      </c>
      <c r="C214" s="6">
        <f>-1*[1]עקיף!$D218</f>
        <v>-1544</v>
      </c>
      <c r="D214" s="7">
        <f>SUM(consumption_tax!B214:C214, import_trade_tax!B214)</f>
        <v>8506</v>
      </c>
      <c r="E214" s="6">
        <f>[1]עקיף!$I218</f>
        <v>16</v>
      </c>
      <c r="F214" s="6">
        <f>[1]עקיף!$K218</f>
        <v>1767</v>
      </c>
    </row>
    <row r="215" spans="1:6" x14ac:dyDescent="0.2">
      <c r="A215" s="26">
        <v>41548</v>
      </c>
      <c r="B215" s="6">
        <f>[1]עקיף!$C219</f>
        <v>5064</v>
      </c>
      <c r="C215" s="6">
        <f>-1*[1]עקיף!$D219</f>
        <v>-3993</v>
      </c>
      <c r="D215" s="7">
        <f>SUM(consumption_tax!B215:C215, import_trade_tax!B215)</f>
        <v>5055</v>
      </c>
      <c r="E215" s="6">
        <f>[1]עקיף!$I219</f>
        <v>15</v>
      </c>
      <c r="F215" s="6">
        <f>[1]עקיף!$K219</f>
        <v>1769</v>
      </c>
    </row>
    <row r="216" spans="1:6" x14ac:dyDescent="0.2">
      <c r="A216" s="26">
        <v>41579</v>
      </c>
      <c r="B216" s="6">
        <f>[1]עקיף!$C220</f>
        <v>6981</v>
      </c>
      <c r="C216" s="6">
        <f>-1*[1]עקיף!$D220</f>
        <v>-2711</v>
      </c>
      <c r="D216" s="7">
        <f>SUM(consumption_tax!B216:C216, import_trade_tax!B216)</f>
        <v>7703</v>
      </c>
      <c r="E216" s="6">
        <f>[1]עקיף!$I220</f>
        <v>35</v>
      </c>
      <c r="F216" s="6">
        <f>[1]עקיף!$K220</f>
        <v>1734</v>
      </c>
    </row>
    <row r="217" spans="1:6" x14ac:dyDescent="0.2">
      <c r="A217" s="26">
        <v>41609</v>
      </c>
      <c r="B217" s="6">
        <f>[1]עקיף!$C221</f>
        <v>4902</v>
      </c>
      <c r="C217" s="6">
        <f>-1*[1]עקיף!$D221</f>
        <v>-3320</v>
      </c>
      <c r="D217" s="7">
        <f>SUM(consumption_tax!B217:C217, import_trade_tax!B217)</f>
        <v>5243</v>
      </c>
      <c r="E217" s="6">
        <f>[1]עקיף!$I221</f>
        <v>34</v>
      </c>
      <c r="F217" s="6">
        <f>[1]עקיף!$K221</f>
        <v>1797</v>
      </c>
    </row>
    <row r="218" spans="1:6" x14ac:dyDescent="0.2">
      <c r="A218" s="26">
        <v>41640</v>
      </c>
      <c r="B218" s="6">
        <f>[1]עקיף!$C222</f>
        <v>8163</v>
      </c>
      <c r="C218" s="6">
        <f>-1*[1]עקיף!$D222</f>
        <v>-2923</v>
      </c>
      <c r="D218" s="7">
        <f>SUM(consumption_tax!B218:C218, import_trade_tax!B218)</f>
        <v>9205</v>
      </c>
      <c r="E218" s="6">
        <f>[1]עקיף!$I222</f>
        <v>35</v>
      </c>
      <c r="F218" s="6">
        <f>[1]עקיף!$K222</f>
        <v>1904</v>
      </c>
    </row>
    <row r="219" spans="1:6" x14ac:dyDescent="0.2">
      <c r="A219" s="26">
        <v>41671</v>
      </c>
      <c r="B219" s="6">
        <f>[1]עקיף!$C223</f>
        <v>5249</v>
      </c>
      <c r="C219" s="6">
        <f>-1*[1]עקיף!$D223</f>
        <v>-2880</v>
      </c>
      <c r="D219" s="7">
        <f>SUM(consumption_tax!B219:C219, import_trade_tax!B219)</f>
        <v>5973</v>
      </c>
      <c r="E219" s="6">
        <f>[1]עקיף!$I223</f>
        <v>29</v>
      </c>
      <c r="F219" s="6">
        <f>[1]עקיף!$K223</f>
        <v>1667</v>
      </c>
    </row>
    <row r="220" spans="1:6" x14ac:dyDescent="0.2">
      <c r="A220" s="26">
        <v>41699</v>
      </c>
      <c r="B220" s="6">
        <f>[1]עקיף!$C224</f>
        <v>6840</v>
      </c>
      <c r="C220" s="6">
        <f>-1*[1]עקיף!$D224</f>
        <v>-2640</v>
      </c>
      <c r="D220" s="7">
        <f>SUM(consumption_tax!B220:C220, import_trade_tax!B220)</f>
        <v>7883</v>
      </c>
      <c r="E220" s="6">
        <f>[1]עקיף!$I224</f>
        <v>27</v>
      </c>
      <c r="F220" s="6">
        <f>[1]עקיף!$K224</f>
        <v>1841</v>
      </c>
    </row>
    <row r="221" spans="1:6" x14ac:dyDescent="0.2">
      <c r="A221" s="26">
        <v>41730</v>
      </c>
      <c r="B221" s="6">
        <f>[1]עקיף!$C225</f>
        <v>4896</v>
      </c>
      <c r="C221" s="6">
        <f>-1*[1]עקיף!$D225</f>
        <v>-2304</v>
      </c>
      <c r="D221" s="7">
        <f>SUM(consumption_tax!B221:C221, import_trade_tax!B221)</f>
        <v>6141</v>
      </c>
      <c r="E221" s="6">
        <f>[1]עקיף!$I225</f>
        <v>31</v>
      </c>
      <c r="F221" s="6">
        <f>[1]עקיף!$K225</f>
        <v>1737</v>
      </c>
    </row>
    <row r="222" spans="1:6" x14ac:dyDescent="0.2">
      <c r="A222" s="26">
        <v>41760</v>
      </c>
      <c r="B222" s="6">
        <f>[1]עקיף!$C226</f>
        <v>7364</v>
      </c>
      <c r="C222" s="6">
        <f>-1*[1]עקיף!$D226</f>
        <v>-3136</v>
      </c>
      <c r="D222" s="7">
        <f>SUM(consumption_tax!B222:C222, import_trade_tax!B222)</f>
        <v>8028</v>
      </c>
      <c r="E222" s="6">
        <f>[1]עקיף!$I226</f>
        <v>35</v>
      </c>
      <c r="F222" s="6">
        <f>[1]עקיף!$K226</f>
        <v>1798</v>
      </c>
    </row>
    <row r="223" spans="1:6" x14ac:dyDescent="0.2">
      <c r="A223" s="26">
        <v>41791</v>
      </c>
      <c r="B223" s="6">
        <f>[1]עקיף!$C227</f>
        <v>4828</v>
      </c>
      <c r="C223" s="6">
        <f>-1*[1]עקיף!$D227</f>
        <v>-2474</v>
      </c>
      <c r="D223" s="7">
        <f>SUM(consumption_tax!B223:C223, import_trade_tax!B223)</f>
        <v>5921</v>
      </c>
      <c r="E223" s="6">
        <f>[1]עקיף!$I227</f>
        <v>35</v>
      </c>
      <c r="F223" s="6">
        <f>[1]עקיף!$K227</f>
        <v>1905</v>
      </c>
    </row>
    <row r="224" spans="1:6" x14ac:dyDescent="0.2">
      <c r="A224" s="26">
        <v>41821</v>
      </c>
      <c r="B224" s="6">
        <f>[1]עקיף!$C228</f>
        <v>6863</v>
      </c>
      <c r="C224" s="6">
        <f>-1*[1]עקיף!$D228</f>
        <v>-3195</v>
      </c>
      <c r="D224" s="7">
        <f>SUM(consumption_tax!B224:C224, import_trade_tax!B224)</f>
        <v>7681</v>
      </c>
      <c r="E224" s="6">
        <f>[1]עקיף!$I228</f>
        <v>26</v>
      </c>
      <c r="F224" s="6">
        <f>[1]עקיף!$K228</f>
        <v>1835</v>
      </c>
    </row>
    <row r="225" spans="1:6" x14ac:dyDescent="0.2">
      <c r="A225" s="26">
        <v>41852</v>
      </c>
      <c r="B225" s="6">
        <f>[1]עקיף!$C229</f>
        <v>5362</v>
      </c>
      <c r="C225" s="6">
        <f>-1*[1]עקיף!$D229</f>
        <v>-2985</v>
      </c>
      <c r="D225" s="7">
        <f>SUM(consumption_tax!B225:C225, import_trade_tax!B225)</f>
        <v>6158</v>
      </c>
      <c r="E225" s="6">
        <f>[1]עקיף!$I229</f>
        <v>36</v>
      </c>
      <c r="F225" s="6">
        <f>[1]עקיף!$K229</f>
        <v>1840</v>
      </c>
    </row>
    <row r="226" spans="1:6" x14ac:dyDescent="0.2">
      <c r="A226" s="26">
        <v>41883</v>
      </c>
      <c r="B226" s="6">
        <f>[1]עקיף!$C230</f>
        <v>7090</v>
      </c>
      <c r="C226" s="6">
        <f>-1*[1]עקיף!$D230</f>
        <v>-2454</v>
      </c>
      <c r="D226" s="7">
        <f>SUM(consumption_tax!B226:C226, import_trade_tax!B226)</f>
        <v>8174</v>
      </c>
      <c r="E226" s="6">
        <f>[1]עקיף!$I230</f>
        <v>24</v>
      </c>
      <c r="F226" s="6">
        <f>[1]עקיף!$K230</f>
        <v>1865</v>
      </c>
    </row>
    <row r="227" spans="1:6" x14ac:dyDescent="0.2">
      <c r="A227" s="26">
        <v>41913</v>
      </c>
      <c r="B227" s="6">
        <f>[1]עקיף!$C231</f>
        <v>5470</v>
      </c>
      <c r="C227" s="6">
        <f>-1*[1]עקיף!$D231</f>
        <v>-2748</v>
      </c>
      <c r="D227" s="7">
        <f>SUM(consumption_tax!B227:C227, import_trade_tax!B227)</f>
        <v>6460</v>
      </c>
      <c r="E227" s="6">
        <f>[1]עקיף!$I231</f>
        <v>44</v>
      </c>
      <c r="F227" s="6">
        <f>[1]עקיף!$K231</f>
        <v>1783</v>
      </c>
    </row>
    <row r="228" spans="1:6" x14ac:dyDescent="0.2">
      <c r="A228" s="26">
        <v>41944</v>
      </c>
      <c r="B228" s="6">
        <f>[1]עקיף!$C232</f>
        <v>6857</v>
      </c>
      <c r="C228" s="6">
        <f>-1*[1]עקיף!$D232</f>
        <v>-2697</v>
      </c>
      <c r="D228" s="7">
        <f>SUM(consumption_tax!B228:C228, import_trade_tax!B228)</f>
        <v>7581</v>
      </c>
      <c r="E228" s="6">
        <f>[1]עקיף!$I232</f>
        <v>35</v>
      </c>
      <c r="F228" s="6">
        <f>[1]עקיף!$K232</f>
        <v>1868</v>
      </c>
    </row>
    <row r="229" spans="1:6" x14ac:dyDescent="0.2">
      <c r="A229" s="26">
        <v>41974</v>
      </c>
      <c r="B229" s="6">
        <f>[1]עקיף!$C233</f>
        <v>5114</v>
      </c>
      <c r="C229" s="6">
        <f>-1*[1]עקיף!$D233</f>
        <v>-3099</v>
      </c>
      <c r="D229" s="7">
        <f>SUM(consumption_tax!B229:C229, import_trade_tax!B229)</f>
        <v>6500</v>
      </c>
      <c r="E229" s="6">
        <f>[1]עקיף!$I233</f>
        <v>37</v>
      </c>
      <c r="F229" s="6">
        <f>[1]עקיף!$K233</f>
        <v>1844</v>
      </c>
    </row>
    <row r="230" spans="1:6" x14ac:dyDescent="0.2">
      <c r="A230" s="26">
        <v>42005</v>
      </c>
      <c r="B230" s="6">
        <f>[1]עקיף!$C234</f>
        <v>8809</v>
      </c>
      <c r="C230" s="6">
        <f>-1*[1]עקיף!$D234</f>
        <v>-3122</v>
      </c>
      <c r="D230" s="7">
        <f>SUM(consumption_tax!B230:C230, import_trade_tax!B230)</f>
        <v>9098</v>
      </c>
      <c r="E230" s="6">
        <f>[1]עקיף!$I234</f>
        <v>40</v>
      </c>
      <c r="F230" s="6">
        <f>[1]עקיף!$K234</f>
        <v>1818</v>
      </c>
    </row>
    <row r="231" spans="1:6" x14ac:dyDescent="0.2">
      <c r="A231" s="26">
        <v>42036</v>
      </c>
      <c r="B231" s="6">
        <f>[1]עקיף!$C235</f>
        <v>5536</v>
      </c>
      <c r="C231" s="6">
        <f>-1*[1]עקיף!$D235</f>
        <v>-2775</v>
      </c>
      <c r="D231" s="7">
        <f>SUM(consumption_tax!B231:C231, import_trade_tax!B231)</f>
        <v>6033</v>
      </c>
      <c r="E231" s="6">
        <f>[1]עקיף!$I235</f>
        <v>40</v>
      </c>
      <c r="F231" s="6">
        <f>[1]עקיף!$K235</f>
        <v>1754</v>
      </c>
    </row>
    <row r="232" spans="1:6" x14ac:dyDescent="0.2">
      <c r="A232" s="26">
        <v>42064</v>
      </c>
      <c r="B232" s="6">
        <f>[1]עקיף!$C236</f>
        <v>7253</v>
      </c>
      <c r="C232" s="6">
        <f>-1*[1]עקיף!$D236</f>
        <v>-2844</v>
      </c>
      <c r="D232" s="7">
        <f>SUM(consumption_tax!B232:C232, import_trade_tax!B232)</f>
        <v>8506</v>
      </c>
      <c r="E232" s="6">
        <f>[1]עקיף!$I236</f>
        <v>31</v>
      </c>
      <c r="F232" s="6">
        <f>[1]עקיף!$K236</f>
        <v>1915</v>
      </c>
    </row>
    <row r="233" spans="1:6" x14ac:dyDescent="0.2">
      <c r="A233" s="26">
        <v>42095</v>
      </c>
      <c r="B233" s="6">
        <f>[1]עקיף!$C237</f>
        <v>5606</v>
      </c>
      <c r="C233" s="6">
        <f>-1*[1]עקיף!$D237</f>
        <v>-2607</v>
      </c>
      <c r="D233" s="7">
        <f>SUM(consumption_tax!B233:C233, import_trade_tax!B233)</f>
        <v>6389</v>
      </c>
      <c r="E233" s="6">
        <f>[1]עקיף!$I237</f>
        <v>47</v>
      </c>
      <c r="F233" s="6">
        <f>[1]עקיף!$K237</f>
        <v>1902</v>
      </c>
    </row>
    <row r="234" spans="1:6" x14ac:dyDescent="0.2">
      <c r="A234" s="26">
        <v>42125</v>
      </c>
      <c r="B234" s="6">
        <f>[1]עקיף!$C238</f>
        <v>7407</v>
      </c>
      <c r="C234" s="6">
        <f>-1*[1]עקיף!$D238</f>
        <v>-2839</v>
      </c>
      <c r="D234" s="7">
        <f>SUM(consumption_tax!B234:C234, import_trade_tax!B234)</f>
        <v>8213</v>
      </c>
      <c r="E234" s="6">
        <f>[1]עקיף!$I238</f>
        <v>35</v>
      </c>
      <c r="F234" s="6">
        <f>[1]עקיף!$K238</f>
        <v>2027</v>
      </c>
    </row>
    <row r="235" spans="1:6" x14ac:dyDescent="0.2">
      <c r="A235" s="26">
        <v>42156</v>
      </c>
      <c r="B235" s="6">
        <f>[1]עקיף!$C239</f>
        <v>5445</v>
      </c>
      <c r="C235" s="6">
        <f>-1*[1]עקיף!$D239</f>
        <v>-3090</v>
      </c>
      <c r="D235" s="7">
        <f>SUM(consumption_tax!B235:C235, import_trade_tax!B235)</f>
        <v>6126</v>
      </c>
      <c r="E235" s="6">
        <f>[1]עקיף!$I239</f>
        <v>41</v>
      </c>
      <c r="F235" s="6">
        <f>[1]עקיף!$K239</f>
        <v>1880</v>
      </c>
    </row>
    <row r="236" spans="1:6" x14ac:dyDescent="0.2">
      <c r="A236" s="26">
        <v>42186</v>
      </c>
      <c r="B236" s="6">
        <f>[1]עקיף!$C240</f>
        <v>8216</v>
      </c>
      <c r="C236" s="6">
        <f>-1*[1]עקיף!$D240</f>
        <v>-3411</v>
      </c>
      <c r="D236" s="7">
        <f>SUM(consumption_tax!B236:C236, import_trade_tax!B236)</f>
        <v>8617</v>
      </c>
      <c r="E236" s="6">
        <f>[1]עקיף!$I240</f>
        <v>45</v>
      </c>
      <c r="F236" s="6">
        <f>[1]עקיף!$K240</f>
        <v>2037</v>
      </c>
    </row>
    <row r="237" spans="1:6" x14ac:dyDescent="0.2">
      <c r="A237" s="26">
        <v>42217</v>
      </c>
      <c r="B237" s="6">
        <f>[1]עקיף!$C241</f>
        <v>5991</v>
      </c>
      <c r="C237" s="6">
        <f>-1*[1]עקיף!$D241</f>
        <v>-2334</v>
      </c>
      <c r="D237" s="7">
        <f>SUM(consumption_tax!B237:C237, import_trade_tax!B237)</f>
        <v>7423</v>
      </c>
      <c r="E237" s="6">
        <f>[1]עקיף!$I241</f>
        <v>41</v>
      </c>
      <c r="F237" s="6">
        <f>[1]עקיף!$K241</f>
        <v>2087</v>
      </c>
    </row>
    <row r="238" spans="1:6" x14ac:dyDescent="0.2">
      <c r="A238" s="26">
        <v>42248</v>
      </c>
      <c r="B238" s="6">
        <f>[1]עקיף!$C242</f>
        <v>7951</v>
      </c>
      <c r="C238" s="6">
        <f>-1*[1]עקיף!$D242</f>
        <v>-2451</v>
      </c>
      <c r="D238" s="7">
        <f>SUM(consumption_tax!B238:C238, import_trade_tax!B238)</f>
        <v>8409</v>
      </c>
      <c r="E238" s="6">
        <f>[1]עקיף!$I242</f>
        <v>56</v>
      </c>
      <c r="F238" s="6">
        <f>[1]עקיף!$K242</f>
        <v>1936</v>
      </c>
    </row>
    <row r="239" spans="1:6" x14ac:dyDescent="0.2">
      <c r="A239" s="26">
        <v>42278</v>
      </c>
      <c r="B239" s="6">
        <f>[1]עקיף!$C243</f>
        <v>5972</v>
      </c>
      <c r="C239" s="6">
        <f>-1*[1]עקיף!$D243</f>
        <v>-2925</v>
      </c>
      <c r="D239" s="7">
        <f>SUM(consumption_tax!B239:C239, import_trade_tax!B239)</f>
        <v>6598</v>
      </c>
      <c r="E239" s="6">
        <f>[1]עקיף!$I243</f>
        <v>32</v>
      </c>
      <c r="F239" s="6">
        <f>[1]עקיף!$K243</f>
        <v>1815</v>
      </c>
    </row>
    <row r="240" spans="1:6" x14ac:dyDescent="0.2">
      <c r="A240" s="26">
        <v>42309</v>
      </c>
      <c r="B240" s="6">
        <f>[1]עקיף!$C244</f>
        <v>7415</v>
      </c>
      <c r="C240" s="6">
        <f>-1*[1]עקיף!$D244</f>
        <v>-3262</v>
      </c>
      <c r="D240" s="7">
        <f>SUM(consumption_tax!B240:C240, import_trade_tax!B240)</f>
        <v>7459</v>
      </c>
      <c r="E240" s="6">
        <f>[1]עקיף!$I244</f>
        <v>25</v>
      </c>
      <c r="F240" s="6">
        <f>[1]עקיף!$K244</f>
        <v>2018</v>
      </c>
    </row>
    <row r="241" spans="1:6" x14ac:dyDescent="0.2">
      <c r="A241" s="26">
        <v>42339</v>
      </c>
      <c r="B241" s="6">
        <f>[1]עקיף!$C245</f>
        <v>5189</v>
      </c>
      <c r="C241" s="6">
        <f>-1*[1]עקיף!$D245</f>
        <v>-3054</v>
      </c>
      <c r="D241" s="7">
        <f>SUM(consumption_tax!B241:C241, import_trade_tax!B241)</f>
        <v>5877</v>
      </c>
      <c r="E241" s="6">
        <f>[1]עקיף!$I245</f>
        <v>17</v>
      </c>
      <c r="F241" s="6">
        <f>[1]עקיף!$K245</f>
        <v>1798</v>
      </c>
    </row>
    <row r="242" spans="1:6" x14ac:dyDescent="0.2">
      <c r="A242" s="26">
        <v>42370</v>
      </c>
      <c r="B242" s="6">
        <f>[1]עקיף!$C246</f>
        <v>8856</v>
      </c>
      <c r="C242" s="6">
        <f>-1*[1]עקיף!$D246</f>
        <v>-2790</v>
      </c>
      <c r="D242" s="7">
        <f>SUM(consumption_tax!B242:C242, import_trade_tax!B242)</f>
        <v>9344</v>
      </c>
      <c r="E242" s="6">
        <f>[1]עקיף!$I246</f>
        <v>23</v>
      </c>
      <c r="F242" s="6">
        <f>[1]עקיף!$K246</f>
        <v>2008</v>
      </c>
    </row>
    <row r="243" spans="1:6" x14ac:dyDescent="0.2">
      <c r="A243" s="26">
        <v>42401</v>
      </c>
      <c r="B243" s="6">
        <f>[1]עקיף!$C247</f>
        <v>5661</v>
      </c>
      <c r="C243" s="6">
        <f>-1*[1]עקיף!$D247</f>
        <v>-3027</v>
      </c>
      <c r="D243" s="7">
        <f>SUM(consumption_tax!B243:C243, import_trade_tax!B243)</f>
        <v>6082</v>
      </c>
      <c r="E243" s="6">
        <f>[1]עקיף!$I247</f>
        <v>24</v>
      </c>
      <c r="F243" s="6">
        <f>[1]עקיף!$K247</f>
        <v>1851</v>
      </c>
    </row>
    <row r="244" spans="1:6" x14ac:dyDescent="0.2">
      <c r="A244" s="26">
        <v>42430</v>
      </c>
      <c r="B244" s="6">
        <f>[1]עקיף!$C248</f>
        <v>7630</v>
      </c>
      <c r="C244" s="6">
        <f>-1*[1]עקיף!$D248</f>
        <v>-3176</v>
      </c>
      <c r="D244" s="7">
        <f>SUM(consumption_tax!B244:C244, import_trade_tax!B244)</f>
        <v>8205</v>
      </c>
      <c r="E244" s="6">
        <f>[1]עקיף!$I248</f>
        <v>29</v>
      </c>
      <c r="F244" s="6">
        <f>[1]עקיף!$K248</f>
        <v>1941</v>
      </c>
    </row>
    <row r="245" spans="1:6" x14ac:dyDescent="0.2">
      <c r="A245" s="26">
        <v>42461</v>
      </c>
      <c r="B245" s="6">
        <f>[1]עקיף!$C249</f>
        <v>5614</v>
      </c>
      <c r="C245" s="6">
        <f>-1*[1]עקיף!$D249</f>
        <v>-3079</v>
      </c>
      <c r="D245" s="7">
        <f>SUM(consumption_tax!B245:C245, import_trade_tax!B245)</f>
        <v>5687</v>
      </c>
      <c r="E245" s="6">
        <f>[1]עקיף!$I249</f>
        <v>9</v>
      </c>
      <c r="F245" s="6">
        <f>[1]עקיף!$K249</f>
        <v>1851</v>
      </c>
    </row>
    <row r="246" spans="1:6" x14ac:dyDescent="0.2">
      <c r="A246" s="26">
        <v>42491</v>
      </c>
      <c r="B246" s="6">
        <f>[1]עקיף!$C250</f>
        <v>7822</v>
      </c>
      <c r="C246" s="6">
        <f>-1*[1]עקיף!$D250</f>
        <v>-2688</v>
      </c>
      <c r="D246" s="7">
        <f>SUM(consumption_tax!B246:C246, import_trade_tax!B246)</f>
        <v>9175</v>
      </c>
      <c r="E246" s="6">
        <f>[1]עקיף!$I250</f>
        <v>45</v>
      </c>
      <c r="F246" s="6">
        <f>[1]עקיף!$K250</f>
        <v>2075</v>
      </c>
    </row>
    <row r="247" spans="1:6" x14ac:dyDescent="0.2">
      <c r="A247" s="26">
        <v>42522</v>
      </c>
      <c r="B247" s="6">
        <f>[1]עקיף!$C251</f>
        <v>5355</v>
      </c>
      <c r="C247" s="6">
        <f>-1*[1]עקיף!$D251</f>
        <v>-2803</v>
      </c>
      <c r="D247" s="7">
        <f>SUM(consumption_tax!B247:C247, import_trade_tax!B247)</f>
        <v>6239</v>
      </c>
      <c r="E247" s="6">
        <f>[1]עקיף!$I251</f>
        <v>32</v>
      </c>
      <c r="F247" s="6">
        <f>[1]עקיף!$K251</f>
        <v>2113</v>
      </c>
    </row>
    <row r="248" spans="1:6" x14ac:dyDescent="0.2">
      <c r="A248" s="26">
        <v>42552</v>
      </c>
      <c r="B248" s="6">
        <f>[1]עקיף!$C252</f>
        <v>8255</v>
      </c>
      <c r="C248" s="6">
        <f>-1*[1]עקיף!$D252</f>
        <v>-3242</v>
      </c>
      <c r="D248" s="7">
        <f>SUM(consumption_tax!B248:C248, import_trade_tax!B248)</f>
        <v>8672</v>
      </c>
      <c r="E248" s="6">
        <f>[1]עקיף!$I252</f>
        <v>25</v>
      </c>
      <c r="F248" s="6">
        <f>[1]עקיף!$K252</f>
        <v>2139</v>
      </c>
    </row>
    <row r="249" spans="1:6" x14ac:dyDescent="0.2">
      <c r="A249" s="26">
        <v>42583</v>
      </c>
      <c r="B249" s="6">
        <f>[1]עקיף!$C253</f>
        <v>5647</v>
      </c>
      <c r="C249" s="6">
        <f>-1*[1]עקיף!$D253</f>
        <v>-2971</v>
      </c>
      <c r="D249" s="7">
        <f>SUM(consumption_tax!B249:C249, import_trade_tax!B249)</f>
        <v>6695</v>
      </c>
      <c r="E249" s="6">
        <f>[1]עקיף!$I253</f>
        <v>31</v>
      </c>
      <c r="F249" s="6">
        <f>[1]עקיף!$K253</f>
        <v>2080</v>
      </c>
    </row>
    <row r="250" spans="1:6" x14ac:dyDescent="0.2">
      <c r="A250" s="26">
        <v>42614</v>
      </c>
      <c r="B250" s="6">
        <f>[1]עקיף!$C254</f>
        <v>8306</v>
      </c>
      <c r="C250" s="6">
        <f>-1*[1]עקיף!$D254</f>
        <v>-2947</v>
      </c>
      <c r="D250" s="7">
        <f>SUM(consumption_tax!B250:C250, import_trade_tax!B250)</f>
        <v>9053</v>
      </c>
      <c r="E250" s="6">
        <f>[1]עקיף!$I254</f>
        <v>29</v>
      </c>
      <c r="F250" s="6">
        <f>[1]עקיף!$K254</f>
        <v>2102</v>
      </c>
    </row>
    <row r="251" spans="1:6" x14ac:dyDescent="0.2">
      <c r="A251" s="26">
        <v>42644</v>
      </c>
      <c r="B251" s="6">
        <f>[1]עקיף!$C255</f>
        <v>5748</v>
      </c>
      <c r="C251" s="6">
        <f>-1*[1]עקיף!$D255</f>
        <v>-1905</v>
      </c>
      <c r="D251" s="7">
        <f>SUM(consumption_tax!B251:C251, import_trade_tax!B251)</f>
        <v>6886</v>
      </c>
      <c r="E251" s="6">
        <f>[1]עקיף!$I255</f>
        <v>16</v>
      </c>
      <c r="F251" s="6">
        <f>[1]עקיף!$K255</f>
        <v>1915</v>
      </c>
    </row>
    <row r="252" spans="1:6" x14ac:dyDescent="0.2">
      <c r="A252" s="26">
        <v>42675</v>
      </c>
      <c r="B252" s="6">
        <f>[1]עקיף!$C256</f>
        <v>7241</v>
      </c>
      <c r="C252" s="6">
        <f>-1*[1]עקיף!$D256</f>
        <v>-2245</v>
      </c>
      <c r="D252" s="7">
        <f>SUM(consumption_tax!B252:C252, import_trade_tax!B252)</f>
        <v>8493</v>
      </c>
      <c r="E252" s="6">
        <f>[1]עקיף!$I256</f>
        <v>29</v>
      </c>
      <c r="F252" s="6">
        <f>[1]עקיף!$K256</f>
        <v>1962</v>
      </c>
    </row>
    <row r="253" spans="1:6" x14ac:dyDescent="0.2">
      <c r="A253" s="26">
        <v>42705</v>
      </c>
      <c r="B253" s="6">
        <f>[1]עקיף!$C257</f>
        <v>5501</v>
      </c>
      <c r="C253" s="6">
        <f>-1*[1]עקיף!$D257</f>
        <v>-4414</v>
      </c>
      <c r="D253" s="7">
        <f>SUM(consumption_tax!B253:C253, import_trade_tax!B253)</f>
        <v>5407</v>
      </c>
      <c r="E253" s="6">
        <f>[1]עקיף!$I257</f>
        <v>21</v>
      </c>
      <c r="F253" s="6">
        <f>[1]עקיף!$K257</f>
        <v>1998</v>
      </c>
    </row>
    <row r="254" spans="1:6" x14ac:dyDescent="0.2">
      <c r="A254" s="26">
        <v>42736</v>
      </c>
      <c r="B254" s="6">
        <f>[1]עקיף!$C258</f>
        <v>9072</v>
      </c>
      <c r="C254" s="6">
        <f>-1*[1]עקיף!$D258</f>
        <v>-3394</v>
      </c>
      <c r="D254" s="7">
        <f>SUM(consumption_tax!B254:C254, import_trade_tax!B254)</f>
        <v>9280</v>
      </c>
      <c r="E254" s="6">
        <f>[1]עקיף!$I258</f>
        <v>21</v>
      </c>
      <c r="F254" s="6">
        <f>[1]עקיף!$K258</f>
        <v>2068</v>
      </c>
    </row>
    <row r="255" spans="1:6" x14ac:dyDescent="0.2">
      <c r="A255" s="26">
        <v>42767</v>
      </c>
      <c r="B255" s="6">
        <f>[1]עקיף!$C259</f>
        <v>6256</v>
      </c>
      <c r="C255" s="6">
        <f>-1*[1]עקיף!$D259</f>
        <v>-2802</v>
      </c>
      <c r="D255" s="7">
        <f>SUM(consumption_tax!B255:C255, import_trade_tax!B255)</f>
        <v>6756</v>
      </c>
      <c r="E255" s="6">
        <f>[1]עקיף!$I259</f>
        <v>21</v>
      </c>
      <c r="F255" s="6">
        <f>[1]עקיף!$K259</f>
        <v>1863</v>
      </c>
    </row>
    <row r="256" spans="1:6" x14ac:dyDescent="0.2">
      <c r="A256" s="26">
        <v>42795</v>
      </c>
      <c r="B256" s="6">
        <f>[1]עקיף!$C260</f>
        <v>7712</v>
      </c>
      <c r="C256" s="6">
        <f>-1*[1]עקיף!$D260</f>
        <v>-3411</v>
      </c>
      <c r="D256" s="7">
        <f>SUM(consumption_tax!B256:C256, import_trade_tax!B256)</f>
        <v>8021</v>
      </c>
      <c r="E256" s="6">
        <f>[1]עקיף!$I260</f>
        <v>30</v>
      </c>
      <c r="F256" s="6">
        <f>[1]עקיף!$K260</f>
        <v>2110</v>
      </c>
    </row>
    <row r="257" spans="1:6" x14ac:dyDescent="0.2">
      <c r="A257" s="26">
        <v>42826</v>
      </c>
      <c r="B257" s="6">
        <f>[1]עקיף!$C261</f>
        <v>6056</v>
      </c>
      <c r="C257" s="6">
        <f>-1*[1]עקיף!$D261</f>
        <v>-1841</v>
      </c>
      <c r="D257" s="7">
        <f>SUM(consumption_tax!B257:C257, import_trade_tax!B257)</f>
        <v>7465</v>
      </c>
      <c r="E257" s="6">
        <f>[1]עקיף!$I261</f>
        <v>27</v>
      </c>
      <c r="F257" s="6">
        <f>[1]עקיף!$K261</f>
        <v>2016</v>
      </c>
    </row>
    <row r="258" spans="1:6" x14ac:dyDescent="0.2">
      <c r="A258" s="26">
        <v>42856</v>
      </c>
      <c r="B258" s="6">
        <f>[1]עקיף!$C262</f>
        <v>7982</v>
      </c>
      <c r="C258" s="6">
        <f>-1*[1]עקיף!$D262</f>
        <v>-3348</v>
      </c>
      <c r="D258" s="7">
        <f>SUM(consumption_tax!B258:C258, import_trade_tax!B258)</f>
        <v>8294</v>
      </c>
      <c r="E258" s="6">
        <f>[1]עקיף!$I262</f>
        <v>27</v>
      </c>
      <c r="F258" s="6">
        <f>[1]עקיף!$K262</f>
        <v>2026</v>
      </c>
    </row>
    <row r="259" spans="1:6" x14ac:dyDescent="0.2">
      <c r="A259" s="26">
        <v>42887</v>
      </c>
      <c r="B259" s="6">
        <f>[1]עקיף!$C263</f>
        <v>5675</v>
      </c>
      <c r="C259" s="6">
        <f>-1*[1]עקיף!$D263</f>
        <v>-3464</v>
      </c>
      <c r="D259" s="7">
        <f>SUM(consumption_tax!B259:C259, import_trade_tax!B259)</f>
        <v>5643</v>
      </c>
      <c r="E259" s="6">
        <f>[1]עקיף!$I263</f>
        <v>27</v>
      </c>
      <c r="F259" s="6">
        <f>[1]עקיף!$K263</f>
        <v>2158</v>
      </c>
    </row>
    <row r="260" spans="1:6" x14ac:dyDescent="0.2">
      <c r="A260" s="26">
        <v>42917</v>
      </c>
      <c r="B260" s="6">
        <f>[1]עקיף!$C264</f>
        <v>8747</v>
      </c>
      <c r="C260" s="6">
        <f>-1*[1]עקיף!$D264</f>
        <v>-2945</v>
      </c>
      <c r="D260" s="7">
        <f>SUM(consumption_tax!B260:C260, import_trade_tax!B260)</f>
        <v>9502</v>
      </c>
      <c r="E260" s="6">
        <f>[1]עקיף!$I264</f>
        <v>36</v>
      </c>
      <c r="F260" s="6">
        <f>[1]עקיף!$K264</f>
        <v>2275</v>
      </c>
    </row>
    <row r="261" spans="1:6" x14ac:dyDescent="0.2">
      <c r="A261" s="26">
        <v>42948</v>
      </c>
      <c r="B261" s="6">
        <f>[1]עקיף!$C265</f>
        <v>5959</v>
      </c>
      <c r="C261" s="6">
        <f>-1*[1]עקיף!$D265</f>
        <v>-2840</v>
      </c>
      <c r="D261" s="7">
        <f>SUM(consumption_tax!B261:C261, import_trade_tax!B261)</f>
        <v>7025</v>
      </c>
      <c r="E261" s="6">
        <f>[1]עקיף!$I265</f>
        <v>27</v>
      </c>
      <c r="F261" s="6">
        <f>[1]עקיף!$K265</f>
        <v>2197</v>
      </c>
    </row>
    <row r="262" spans="1:6" x14ac:dyDescent="0.2">
      <c r="A262" s="26">
        <v>42979</v>
      </c>
      <c r="B262" s="6">
        <f>[1]עקיף!$C266</f>
        <v>8516</v>
      </c>
      <c r="C262" s="6">
        <f>-1*[1]עקיף!$D266</f>
        <v>-2342</v>
      </c>
      <c r="D262" s="7">
        <f>SUM(consumption_tax!B262:C262, import_trade_tax!B262)</f>
        <v>9511</v>
      </c>
      <c r="E262" s="6">
        <f>[1]עקיף!$I266</f>
        <v>10</v>
      </c>
      <c r="F262" s="6">
        <f>[1]עקיף!$K266</f>
        <v>1967</v>
      </c>
    </row>
    <row r="263" spans="1:6" x14ac:dyDescent="0.2">
      <c r="A263" s="26">
        <v>43009</v>
      </c>
      <c r="B263" s="6">
        <f>[1]עקיף!$C267</f>
        <v>5994</v>
      </c>
      <c r="C263" s="6">
        <f>-1*[1]עקיף!$D267</f>
        <v>-3197</v>
      </c>
      <c r="D263" s="7">
        <f>SUM(consumption_tax!B263:C263, import_trade_tax!B263)</f>
        <v>6469</v>
      </c>
      <c r="E263" s="6">
        <f>[1]עקיף!$I267</f>
        <v>28</v>
      </c>
      <c r="F263" s="6">
        <f>[1]עקיף!$K267</f>
        <v>2242</v>
      </c>
    </row>
    <row r="264" spans="1:6" x14ac:dyDescent="0.2">
      <c r="A264" s="26">
        <v>43040</v>
      </c>
      <c r="B264" s="6">
        <f>[1]עקיף!$C268</f>
        <v>8228</v>
      </c>
      <c r="C264" s="6">
        <f>-1*[1]עקיף!$D268</f>
        <v>-3666</v>
      </c>
      <c r="D264" s="7">
        <f>SUM(consumption_tax!B264:C264, import_trade_tax!B264)</f>
        <v>7987</v>
      </c>
      <c r="E264" s="6">
        <f>[1]עקיף!$I268</f>
        <v>18</v>
      </c>
      <c r="F264" s="6">
        <f>[1]עקיף!$K268</f>
        <v>2160</v>
      </c>
    </row>
    <row r="265" spans="1:6" x14ac:dyDescent="0.2">
      <c r="A265" s="26">
        <v>43070</v>
      </c>
      <c r="B265" s="6">
        <f>[1]עקיף!$C269</f>
        <v>6266</v>
      </c>
      <c r="C265" s="6">
        <f>-1*[1]עקיף!$D269</f>
        <v>-3173</v>
      </c>
      <c r="D265" s="7">
        <f>SUM(consumption_tax!B265:C265, import_trade_tax!B265)</f>
        <v>6956</v>
      </c>
      <c r="E265" s="6">
        <f>[1]עקיף!$I269</f>
        <v>18</v>
      </c>
      <c r="F265" s="6">
        <f>[1]עקיף!$K269</f>
        <v>2105</v>
      </c>
    </row>
    <row r="266" spans="1:6" x14ac:dyDescent="0.2">
      <c r="A266" s="26">
        <v>43101</v>
      </c>
      <c r="B266" s="6">
        <f>[1]עקיף!$C270</f>
        <v>9340</v>
      </c>
      <c r="C266" s="6">
        <f>-1*[1]עקיף!$D270</f>
        <v>-3155</v>
      </c>
      <c r="D266" s="7">
        <f>SUM(consumption_tax!B266:C266, import_trade_tax!B266)</f>
        <v>10136</v>
      </c>
      <c r="E266" s="6">
        <f>[1]עקיף!$I270</f>
        <v>22</v>
      </c>
      <c r="F266" s="6">
        <f>[1]עקיף!$K270</f>
        <v>1936</v>
      </c>
    </row>
    <row r="267" spans="1:6" x14ac:dyDescent="0.2">
      <c r="A267" s="26">
        <v>43132</v>
      </c>
      <c r="B267" s="6">
        <f>[1]עקיף!$C271</f>
        <v>6348</v>
      </c>
      <c r="C267" s="6">
        <f>-1*[1]עקיף!$D271</f>
        <v>-2946</v>
      </c>
      <c r="D267" s="7">
        <f>SUM(consumption_tax!B267:C267, import_trade_tax!B267)</f>
        <v>7313</v>
      </c>
      <c r="E267" s="6">
        <f>[1]עקיף!$I271</f>
        <v>24</v>
      </c>
      <c r="F267" s="6">
        <f>[1]עקיף!$K271</f>
        <v>1796</v>
      </c>
    </row>
    <row r="268" spans="1:6" x14ac:dyDescent="0.2">
      <c r="A268" s="26">
        <v>43160</v>
      </c>
      <c r="B268" s="6">
        <f>[1]עקיף!$C272</f>
        <v>7933</v>
      </c>
      <c r="C268" s="6">
        <f>-1*[1]עקיף!$D272</f>
        <v>-4172</v>
      </c>
      <c r="D268" s="7">
        <f>SUM(consumption_tax!B268:C268, import_trade_tax!B268)</f>
        <v>7853</v>
      </c>
      <c r="E268" s="6">
        <f>[1]עקיף!$I272</f>
        <v>28</v>
      </c>
      <c r="F268" s="6">
        <f>[1]עקיף!$K272</f>
        <v>2037</v>
      </c>
    </row>
    <row r="269" spans="1:6" x14ac:dyDescent="0.2">
      <c r="A269" s="26">
        <v>43191</v>
      </c>
      <c r="B269" s="6">
        <f>[1]עקיף!$C273</f>
        <v>6357</v>
      </c>
      <c r="C269" s="6">
        <f>-1*[1]עקיף!$D273</f>
        <v>-2499</v>
      </c>
      <c r="D269" s="7">
        <f>SUM(consumption_tax!B269:C269, import_trade_tax!B269)</f>
        <v>7653</v>
      </c>
      <c r="E269" s="6">
        <f>[1]עקיף!$I273</f>
        <v>31</v>
      </c>
      <c r="F269" s="6">
        <f>[1]עקיף!$K273</f>
        <v>2047</v>
      </c>
    </row>
    <row r="270" spans="1:6" x14ac:dyDescent="0.2">
      <c r="A270" s="26">
        <v>43221</v>
      </c>
      <c r="B270" s="6">
        <f>[1]עקיף!$C274</f>
        <v>7942</v>
      </c>
      <c r="C270" s="6">
        <f>-1*[1]עקיף!$D274</f>
        <v>-3119</v>
      </c>
      <c r="D270" s="7">
        <f>SUM(consumption_tax!B270:C270, import_trade_tax!B270)</f>
        <v>8903</v>
      </c>
      <c r="E270" s="6">
        <f>[1]עקיף!$I274</f>
        <v>23</v>
      </c>
      <c r="F270" s="6">
        <f>[1]עקיף!$K274</f>
        <v>2076</v>
      </c>
    </row>
    <row r="271" spans="1:6" x14ac:dyDescent="0.2">
      <c r="A271" s="26">
        <v>43252</v>
      </c>
      <c r="B271" s="6">
        <f>[1]עקיף!$C275</f>
        <v>6152</v>
      </c>
      <c r="C271" s="6">
        <f>-1*[1]עקיף!$D275</f>
        <v>-3119</v>
      </c>
      <c r="D271" s="7">
        <f>SUM(consumption_tax!B271:C271, import_trade_tax!B271)</f>
        <v>6899</v>
      </c>
      <c r="E271" s="6">
        <f>[1]עקיף!$I275</f>
        <v>37</v>
      </c>
      <c r="F271" s="6">
        <f>[1]עקיף!$K275</f>
        <v>2050</v>
      </c>
    </row>
    <row r="272" spans="1:6" x14ac:dyDescent="0.2">
      <c r="A272" s="26">
        <v>43282</v>
      </c>
      <c r="B272" s="6">
        <f>[1]עקיף!$C276</f>
        <v>8521</v>
      </c>
      <c r="C272" s="6">
        <f>-1*[1]עקיף!$D276</f>
        <v>-3515</v>
      </c>
      <c r="D272" s="7">
        <f>SUM(consumption_tax!B272:C272, import_trade_tax!B272)</f>
        <v>9421</v>
      </c>
      <c r="E272" s="6">
        <f>[1]עקיף!$I276</f>
        <v>28</v>
      </c>
      <c r="F272" s="6">
        <f>[1]עקיף!$K276</f>
        <v>2233</v>
      </c>
    </row>
    <row r="273" spans="1:6" x14ac:dyDescent="0.2">
      <c r="A273" s="26">
        <v>43313</v>
      </c>
      <c r="B273" s="6">
        <f>[1]עקיף!$C277</f>
        <v>6244</v>
      </c>
      <c r="C273" s="6">
        <f>-1*[1]עקיף!$D277</f>
        <v>-3256</v>
      </c>
      <c r="D273" s="7">
        <f>SUM(consumption_tax!B273:C273, import_trade_tax!B273)</f>
        <v>7174</v>
      </c>
      <c r="E273" s="6">
        <f>[1]עקיף!$I277</f>
        <v>27</v>
      </c>
      <c r="F273" s="6">
        <f>[1]עקיף!$K277</f>
        <v>2317</v>
      </c>
    </row>
    <row r="274" spans="1:6" x14ac:dyDescent="0.2">
      <c r="A274" s="26">
        <v>43344</v>
      </c>
      <c r="B274" s="6">
        <f>[1]עקיף!$C278</f>
        <v>4013</v>
      </c>
      <c r="C274" s="6">
        <f>-1*[1]עקיף!$D278</f>
        <v>-1724</v>
      </c>
      <c r="D274" s="7">
        <f>SUM(consumption_tax!B274:C274, import_trade_tax!B274)</f>
        <v>5318</v>
      </c>
      <c r="E274" s="6">
        <f>[1]עקיף!$I278</f>
        <v>7</v>
      </c>
      <c r="F274" s="6">
        <f>[1]עקיף!$K278</f>
        <v>1926</v>
      </c>
    </row>
    <row r="275" spans="1:6" x14ac:dyDescent="0.2">
      <c r="A275" s="26">
        <v>43374</v>
      </c>
      <c r="B275" s="6">
        <f>[1]עקיף!$C279</f>
        <v>10508</v>
      </c>
      <c r="C275" s="6">
        <f>-1*[1]עקיף!$D279</f>
        <v>-3646</v>
      </c>
      <c r="D275" s="7">
        <f>SUM(consumption_tax!B275:C275, import_trade_tax!B275)</f>
        <v>11172</v>
      </c>
      <c r="E275" s="6">
        <f>[1]עקיף!$I279</f>
        <v>46</v>
      </c>
      <c r="F275" s="6">
        <f>[1]עקיף!$K279</f>
        <v>2068</v>
      </c>
    </row>
    <row r="276" spans="1:6" x14ac:dyDescent="0.2">
      <c r="A276" s="26">
        <v>43405</v>
      </c>
      <c r="B276" s="6">
        <f>[1]עקיף!$C280</f>
        <v>8196</v>
      </c>
      <c r="C276" s="6">
        <f>-1*[1]עקיף!$D280</f>
        <v>-3584</v>
      </c>
      <c r="D276" s="7">
        <f>SUM(consumption_tax!B276:C276, import_trade_tax!B276)</f>
        <v>8505</v>
      </c>
      <c r="E276" s="6">
        <f>[1]עקיף!$I280</f>
        <v>27</v>
      </c>
      <c r="F276" s="6">
        <f>[1]עקיף!$K280</f>
        <v>2012</v>
      </c>
    </row>
    <row r="277" spans="1:6" x14ac:dyDescent="0.2">
      <c r="A277" s="26">
        <v>43435</v>
      </c>
      <c r="B277" s="6">
        <f>[1]עקיף!$C281</f>
        <v>6400</v>
      </c>
      <c r="C277" s="6">
        <f>-1*[1]עקיף!$D281</f>
        <v>-2853</v>
      </c>
      <c r="D277" s="7">
        <f>SUM(consumption_tax!B277:C277, import_trade_tax!B277)</f>
        <v>7529</v>
      </c>
      <c r="E277" s="6">
        <f>[1]עקיף!$I281</f>
        <v>28</v>
      </c>
      <c r="F277" s="6">
        <f>[1]עקיף!$K281</f>
        <v>2041</v>
      </c>
    </row>
    <row r="278" spans="1:6" x14ac:dyDescent="0.2">
      <c r="A278" s="26">
        <v>43466</v>
      </c>
      <c r="B278" s="6">
        <f>[1]עקיף!$C282</f>
        <v>9642</v>
      </c>
      <c r="C278" s="6">
        <f>-1*[1]עקיף!$D282</f>
        <v>-3493</v>
      </c>
      <c r="D278" s="7">
        <f>SUM(consumption_tax!B278:C278, import_trade_tax!B278)</f>
        <v>10368</v>
      </c>
      <c r="E278" s="6">
        <f>[1]עקיף!$I282</f>
        <v>21</v>
      </c>
      <c r="F278" s="6">
        <f>[1]עקיף!$K282</f>
        <v>1966</v>
      </c>
    </row>
    <row r="279" spans="1:6" x14ac:dyDescent="0.2">
      <c r="A279" s="26">
        <v>43497</v>
      </c>
      <c r="B279" s="6">
        <f>[1]עקיף!$C283</f>
        <v>6652</v>
      </c>
      <c r="C279" s="6">
        <f>-1*[1]עקיף!$D283</f>
        <v>-3611</v>
      </c>
      <c r="D279" s="7">
        <f>SUM(consumption_tax!B279:C279, import_trade_tax!B279)</f>
        <v>7088</v>
      </c>
      <c r="E279" s="6">
        <f>[1]עקיף!$I283</f>
        <v>22</v>
      </c>
      <c r="F279" s="6">
        <f>[1]עקיף!$K283</f>
        <v>1876</v>
      </c>
    </row>
    <row r="280" spans="1:6" x14ac:dyDescent="0.2">
      <c r="A280" s="26">
        <v>43525</v>
      </c>
      <c r="B280" s="6">
        <f>[1]עקיף!$C284</f>
        <v>8361</v>
      </c>
      <c r="C280" s="6">
        <f>-1*[1]עקיף!$D284</f>
        <v>-3507</v>
      </c>
      <c r="D280" s="7">
        <f>SUM(consumption_tax!B280:C280, import_trade_tax!B280)</f>
        <v>9517</v>
      </c>
      <c r="E280" s="6">
        <f>[1]עקיף!$I284</f>
        <v>25</v>
      </c>
      <c r="F280" s="6">
        <f>[1]עקיף!$K284</f>
        <v>2158</v>
      </c>
    </row>
    <row r="281" spans="1:6" x14ac:dyDescent="0.2">
      <c r="A281" s="26">
        <v>43556</v>
      </c>
      <c r="B281" s="6">
        <f>[1]עקיף!$C285</f>
        <v>4999</v>
      </c>
      <c r="C281" s="6">
        <f>-1*[1]עקיף!$D285</f>
        <v>-2974</v>
      </c>
      <c r="D281" s="7">
        <f>SUM(consumption_tax!B281:C281, import_trade_tax!B281)</f>
        <v>5959</v>
      </c>
      <c r="E281" s="6">
        <f>[1]עקיף!$I285</f>
        <v>25</v>
      </c>
      <c r="F281" s="6">
        <f>[1]עקיף!$K285</f>
        <v>1998</v>
      </c>
    </row>
    <row r="282" spans="1:6" x14ac:dyDescent="0.2">
      <c r="A282" s="26">
        <v>43586</v>
      </c>
      <c r="B282" s="6">
        <f>[1]עקיף!$C286</f>
        <v>10392</v>
      </c>
      <c r="C282" s="6">
        <f>-1*[1]עקיף!$D286</f>
        <v>-4175</v>
      </c>
      <c r="D282" s="7">
        <f>SUM(consumption_tax!B282:C282, import_trade_tax!B282)</f>
        <v>10092</v>
      </c>
      <c r="E282" s="6">
        <f>[1]עקיף!$I286</f>
        <v>21</v>
      </c>
      <c r="F282" s="6">
        <f>[1]עקיף!$K286</f>
        <v>2189</v>
      </c>
    </row>
    <row r="283" spans="1:6" x14ac:dyDescent="0.2">
      <c r="A283" s="26">
        <v>43617</v>
      </c>
      <c r="B283" s="6">
        <f>[1]עקיף!$C287</f>
        <v>6379</v>
      </c>
      <c r="C283" s="6">
        <f>-1*[1]עקיף!$D287</f>
        <v>-3243</v>
      </c>
      <c r="D283" s="7">
        <f>SUM(consumption_tax!B283:C283, import_trade_tax!B283)</f>
        <v>6850</v>
      </c>
      <c r="E283" s="6">
        <f>[1]עקיף!$I287</f>
        <v>27</v>
      </c>
      <c r="F283" s="6">
        <f>[1]עקיף!$K287</f>
        <v>2134</v>
      </c>
    </row>
    <row r="284" spans="1:6" x14ac:dyDescent="0.2">
      <c r="A284" s="26">
        <v>43647</v>
      </c>
      <c r="B284" s="6">
        <f>[1]עקיף!$C288</f>
        <v>9251</v>
      </c>
      <c r="C284" s="6">
        <f>-1*[1]עקיף!$D288</f>
        <v>-3206</v>
      </c>
      <c r="D284" s="7">
        <f>SUM(consumption_tax!B284:C284, import_trade_tax!B284)</f>
        <v>10590</v>
      </c>
      <c r="E284" s="6">
        <f>[1]עקיף!$I288</f>
        <v>25</v>
      </c>
      <c r="F284" s="6">
        <f>[1]עקיף!$K288</f>
        <v>2300</v>
      </c>
    </row>
    <row r="285" spans="1:6" x14ac:dyDescent="0.2">
      <c r="A285" s="26">
        <v>43678</v>
      </c>
      <c r="B285" s="6">
        <f>[1]עקיף!$C289</f>
        <v>6797</v>
      </c>
      <c r="C285" s="6">
        <f>-1*[1]עקיף!$D289</f>
        <v>-3947</v>
      </c>
      <c r="D285" s="7">
        <f>SUM(consumption_tax!B285:C285, import_trade_tax!B285)</f>
        <v>6819</v>
      </c>
      <c r="E285" s="6">
        <f>[1]עקיף!$I289</f>
        <v>27</v>
      </c>
      <c r="F285" s="6">
        <f>[1]עקיף!$K289</f>
        <v>2229</v>
      </c>
    </row>
    <row r="286" spans="1:6" x14ac:dyDescent="0.2">
      <c r="A286" s="26">
        <v>43709</v>
      </c>
      <c r="B286" s="6">
        <f>[1]עקיף!$C290</f>
        <v>9276</v>
      </c>
      <c r="C286" s="6">
        <f>-1*[1]עקיף!$D290</f>
        <v>-2946</v>
      </c>
      <c r="D286" s="7">
        <f>SUM(consumption_tax!B286:C286, import_trade_tax!B286)</f>
        <v>9786</v>
      </c>
      <c r="E286" s="6">
        <f>[1]עקיף!$I290</f>
        <v>21</v>
      </c>
      <c r="F286" s="6">
        <f>[1]עקיף!$K290</f>
        <v>2267</v>
      </c>
    </row>
    <row r="287" spans="1:6" x14ac:dyDescent="0.2">
      <c r="A287" s="26">
        <v>43739</v>
      </c>
      <c r="B287" s="6">
        <f>[1]עקיף!$C291</f>
        <v>5418</v>
      </c>
      <c r="C287" s="6">
        <f>-1*[1]עקיף!$D291</f>
        <v>-2605</v>
      </c>
      <c r="D287" s="7">
        <f>SUM(consumption_tax!B287:C287, import_trade_tax!B287)</f>
        <v>6580</v>
      </c>
      <c r="E287" s="6">
        <f>[1]עקיף!$I291</f>
        <v>32</v>
      </c>
      <c r="F287" s="6">
        <f>[1]עקיף!$K291</f>
        <v>1937</v>
      </c>
    </row>
    <row r="288" spans="1:6" x14ac:dyDescent="0.2">
      <c r="A288" s="26">
        <v>43770</v>
      </c>
      <c r="B288" s="6">
        <f>[1]עקיף!$C292</f>
        <v>9882</v>
      </c>
      <c r="C288" s="6">
        <f>-1*[1]עקיף!$D292</f>
        <v>-3362</v>
      </c>
      <c r="D288" s="7">
        <f>SUM(consumption_tax!B288:C288, import_trade_tax!B288)</f>
        <v>9997</v>
      </c>
      <c r="E288" s="6">
        <f>[1]עקיף!$I292</f>
        <v>21</v>
      </c>
      <c r="F288" s="6">
        <f>[1]עקיף!$K292</f>
        <v>2038</v>
      </c>
    </row>
    <row r="289" spans="1:6" x14ac:dyDescent="0.2">
      <c r="A289" s="26">
        <v>43800</v>
      </c>
      <c r="B289" s="6">
        <f>[1]עקיף!$C293</f>
        <v>6497</v>
      </c>
      <c r="C289" s="6">
        <f>-1*[1]עקיף!$D293</f>
        <v>-3798</v>
      </c>
      <c r="D289" s="7">
        <f>SUM(consumption_tax!B289:C289, import_trade_tax!B289)</f>
        <v>7172</v>
      </c>
      <c r="E289" s="6">
        <f>[1]עקיף!$I293</f>
        <v>20</v>
      </c>
      <c r="F289" s="6">
        <f>[1]עקיף!$K293</f>
        <v>2140</v>
      </c>
    </row>
    <row r="290" spans="1:6" x14ac:dyDescent="0.2">
      <c r="A290" s="26">
        <v>43831</v>
      </c>
      <c r="B290" s="6">
        <f>[1]עקיף!$C294</f>
        <v>11048</v>
      </c>
      <c r="C290" s="6">
        <f>-1*[1]עקיף!$D294</f>
        <v>-3881</v>
      </c>
      <c r="D290" s="7">
        <f>SUM(consumption_tax!B290:C290, import_trade_tax!B290)</f>
        <v>11128</v>
      </c>
      <c r="E290" s="6">
        <f>[1]עקיף!$I294</f>
        <v>25</v>
      </c>
      <c r="F290" s="6">
        <f>[1]עקיף!$K294</f>
        <v>2080</v>
      </c>
    </row>
    <row r="291" spans="1:6" x14ac:dyDescent="0.2">
      <c r="A291" s="26">
        <v>43862</v>
      </c>
      <c r="B291" s="6">
        <f>[1]עקיף!$C295</f>
        <v>7293</v>
      </c>
      <c r="C291" s="6">
        <f>-1*[1]עקיף!$D295</f>
        <v>-3514</v>
      </c>
      <c r="D291" s="7">
        <f>SUM(consumption_tax!B291:C291, import_trade_tax!B291)</f>
        <v>7081</v>
      </c>
      <c r="E291" s="6">
        <f>[1]עקיף!$I295</f>
        <v>14</v>
      </c>
      <c r="F291" s="6">
        <f>[1]עקיף!$K295</f>
        <v>1865</v>
      </c>
    </row>
    <row r="292" spans="1:6" x14ac:dyDescent="0.2">
      <c r="A292" s="26">
        <v>43891</v>
      </c>
      <c r="B292" s="6">
        <f>[1]עקיף!$C296</f>
        <v>6740</v>
      </c>
      <c r="C292" s="6">
        <f>-1*[1]עקיף!$D296</f>
        <v>-4000</v>
      </c>
      <c r="D292" s="7">
        <f>SUM(consumption_tax!B292:C292, import_trade_tax!B292)</f>
        <v>6603</v>
      </c>
      <c r="E292" s="6">
        <f>[1]עקיף!$I296</f>
        <v>25</v>
      </c>
      <c r="F292" s="6">
        <f>[1]עקיף!$K296</f>
        <v>1970</v>
      </c>
    </row>
    <row r="293" spans="1:6" x14ac:dyDescent="0.2">
      <c r="A293" s="26">
        <v>43922</v>
      </c>
      <c r="B293" s="6">
        <f>[1]עקיף!$C297</f>
        <v>6161</v>
      </c>
      <c r="C293" s="6">
        <f>-1*[1]עקיף!$D297</f>
        <v>-2113</v>
      </c>
      <c r="D293" s="7">
        <f>SUM(consumption_tax!B293:C293, import_trade_tax!B293)</f>
        <v>7084</v>
      </c>
      <c r="E293" s="6">
        <f>[1]עקיף!$I297</f>
        <v>21</v>
      </c>
      <c r="F293" s="6">
        <f>[1]עקיף!$K297</f>
        <v>1044</v>
      </c>
    </row>
    <row r="294" spans="1:6" x14ac:dyDescent="0.2">
      <c r="A294" s="26">
        <v>43952</v>
      </c>
      <c r="B294" s="6">
        <f>[1]עקיף!$C298</f>
        <v>7989</v>
      </c>
      <c r="C294" s="6">
        <f>-1*[1]עקיף!$D298</f>
        <v>-3493</v>
      </c>
      <c r="D294" s="7">
        <f>SUM(consumption_tax!B294:C294, import_trade_tax!B294)</f>
        <v>7582</v>
      </c>
      <c r="E294" s="6">
        <f>[1]עקיף!$I298</f>
        <v>26</v>
      </c>
      <c r="F294" s="6">
        <f>[1]עקיף!$K298</f>
        <v>1679</v>
      </c>
    </row>
    <row r="295" spans="1:6" x14ac:dyDescent="0.2">
      <c r="A295" s="26">
        <v>43983</v>
      </c>
      <c r="B295" s="6">
        <f>[1]עקיף!$C299</f>
        <v>6765</v>
      </c>
      <c r="C295" s="6">
        <f>-1*[1]עקיף!$D299</f>
        <v>-3578</v>
      </c>
      <c r="D295" s="7">
        <f>SUM(consumption_tax!B295:C295, import_trade_tax!B295)</f>
        <v>6776</v>
      </c>
      <c r="E295" s="6">
        <f>[1]עקיף!$I299</f>
        <v>25</v>
      </c>
      <c r="F295" s="6">
        <f>[1]עקיף!$K299</f>
        <v>1900</v>
      </c>
    </row>
    <row r="296" spans="1:6" x14ac:dyDescent="0.2">
      <c r="A296" s="26">
        <v>44013</v>
      </c>
      <c r="B296" s="6">
        <f>[1]עקיף!$C300</f>
        <v>8659</v>
      </c>
      <c r="C296" s="6">
        <f>-1*[1]עקיף!$D300</f>
        <v>-3261</v>
      </c>
      <c r="D296" s="7">
        <f>SUM(consumption_tax!B296:C296, import_trade_tax!B296)</f>
        <v>9096</v>
      </c>
      <c r="E296" s="6">
        <f>[1]עקיף!$I300</f>
        <v>26</v>
      </c>
      <c r="F296" s="6">
        <f>[1]עקיף!$K300</f>
        <v>2141</v>
      </c>
    </row>
    <row r="297" spans="1:6" x14ac:dyDescent="0.2">
      <c r="A297" s="26">
        <v>44044</v>
      </c>
      <c r="B297" s="6">
        <f>[1]עקיף!$C301</f>
        <v>7978</v>
      </c>
      <c r="C297" s="6">
        <f>-1*[1]עקיף!$D301</f>
        <v>-3033</v>
      </c>
      <c r="D297" s="7">
        <f>SUM(consumption_tax!B297:C297, import_trade_tax!B297)</f>
        <v>8519</v>
      </c>
      <c r="E297" s="6">
        <f>[1]עקיף!$I301</f>
        <v>25</v>
      </c>
      <c r="F297" s="6">
        <f>[1]עקיף!$K301</f>
        <v>2136</v>
      </c>
    </row>
    <row r="298" spans="1:6" x14ac:dyDescent="0.2">
      <c r="A298" s="26">
        <v>44075</v>
      </c>
      <c r="B298" s="6">
        <f>[1]עקיף!$C302</f>
        <v>8939</v>
      </c>
      <c r="C298" s="6">
        <f>-1*[1]עקיף!$D302</f>
        <v>-2720</v>
      </c>
      <c r="D298" s="7">
        <f>SUM(consumption_tax!B298:C298, import_trade_tax!B298)</f>
        <v>9673</v>
      </c>
      <c r="E298" s="6">
        <f>[1]עקיף!$I302</f>
        <v>29</v>
      </c>
      <c r="F298" s="6">
        <f>[1]עקיף!$K302</f>
        <v>2022</v>
      </c>
    </row>
    <row r="299" spans="1:6" x14ac:dyDescent="0.2">
      <c r="A299" s="26">
        <v>44105</v>
      </c>
      <c r="B299" s="6">
        <f>[1]עקיף!$C303</f>
        <v>7365</v>
      </c>
      <c r="C299" s="6">
        <f>-1*[1]עקיף!$D303</f>
        <v>-3279</v>
      </c>
      <c r="D299" s="7">
        <f>SUM(consumption_tax!B299:C299, import_trade_tax!B299)</f>
        <v>7631</v>
      </c>
      <c r="E299" s="6">
        <f>[1]עקיף!$I303</f>
        <v>22</v>
      </c>
      <c r="F299" s="6">
        <f>[1]עקיף!$K303</f>
        <v>1566</v>
      </c>
    </row>
    <row r="300" spans="1:6" x14ac:dyDescent="0.2">
      <c r="A300" s="26">
        <v>44136</v>
      </c>
      <c r="B300" s="6">
        <f>[1]עקיף!$C304</f>
        <v>8237</v>
      </c>
      <c r="C300" s="6">
        <f>-1*[1]עקיף!$D304</f>
        <v>-3122</v>
      </c>
      <c r="D300" s="7">
        <f>SUM(consumption_tax!B300:C300, import_trade_tax!B300)</f>
        <v>8751</v>
      </c>
      <c r="E300" s="6">
        <f>[1]עקיף!$I304</f>
        <v>29</v>
      </c>
      <c r="F300" s="6">
        <f>[1]עקיף!$K304</f>
        <v>2022</v>
      </c>
    </row>
    <row r="301" spans="1:6" x14ac:dyDescent="0.2">
      <c r="A301" s="26">
        <v>44166</v>
      </c>
      <c r="B301" s="6">
        <f>[1]עקיף!$C305</f>
        <v>7418</v>
      </c>
      <c r="C301" s="6">
        <f>-1*[1]עקיף!$D305</f>
        <v>-3285</v>
      </c>
      <c r="D301" s="7">
        <f>SUM(consumption_tax!B301:C301, import_trade_tax!B301)</f>
        <v>8884</v>
      </c>
      <c r="E301" s="6">
        <f>[1]עקיף!$I305</f>
        <v>36</v>
      </c>
      <c r="F301" s="6">
        <f>[1]עקיף!$K305</f>
        <v>1922</v>
      </c>
    </row>
    <row r="302" spans="1:6" x14ac:dyDescent="0.2">
      <c r="A302" s="26">
        <v>44197</v>
      </c>
      <c r="B302" s="6">
        <f>[1]עקיף!$C306</f>
        <v>10137</v>
      </c>
      <c r="C302" s="6">
        <f>-1*[1]עקיף!$D306</f>
        <v>-3338</v>
      </c>
      <c r="D302" s="7">
        <f>SUM(consumption_tax!B302:C302, import_trade_tax!B302)</f>
        <v>10709</v>
      </c>
      <c r="E302" s="6">
        <f>[1]עקיף!$I306</f>
        <v>23</v>
      </c>
      <c r="F302" s="6">
        <f>[1]עקיף!$K306</f>
        <v>1715</v>
      </c>
    </row>
    <row r="303" spans="1:6" x14ac:dyDescent="0.2">
      <c r="A303" s="26">
        <v>44228</v>
      </c>
      <c r="B303" s="6">
        <f>[1]עקיף!$C307</f>
        <v>7386</v>
      </c>
      <c r="C303" s="6">
        <f>-1*[1]עקיף!$D307</f>
        <v>-3525</v>
      </c>
      <c r="D303" s="7">
        <f>SUM(consumption_tax!B303:C303, import_trade_tax!B303)</f>
        <v>7804</v>
      </c>
      <c r="E303" s="6">
        <f>[1]עקיף!$I307</f>
        <v>35</v>
      </c>
      <c r="F303" s="6">
        <f>[1]עקיף!$K307</f>
        <v>1596</v>
      </c>
    </row>
    <row r="304" spans="1:6" x14ac:dyDescent="0.2">
      <c r="A304" s="26">
        <v>44256</v>
      </c>
      <c r="B304" s="6">
        <f>[1]עקיף!$C308</f>
        <v>8273</v>
      </c>
      <c r="C304" s="6">
        <f>-1*[1]עקיף!$D308</f>
        <v>-4165</v>
      </c>
      <c r="D304" s="7">
        <f>SUM(consumption_tax!B304:C304, import_trade_tax!B304)</f>
        <v>8703</v>
      </c>
      <c r="E304" s="6">
        <f>[1]עקיף!$I308</f>
        <v>24</v>
      </c>
      <c r="F304" s="6">
        <f>[1]עקיף!$K308</f>
        <v>1880</v>
      </c>
    </row>
    <row r="305" spans="1:6" x14ac:dyDescent="0.2">
      <c r="A305" s="26">
        <v>44287</v>
      </c>
      <c r="B305" s="6">
        <f>[1]עקיף!$C309</f>
        <v>8606</v>
      </c>
      <c r="C305" s="6">
        <f>-1*[1]עקיף!$D309</f>
        <v>-3089</v>
      </c>
      <c r="D305" s="7">
        <f>SUM(consumption_tax!B305:C305, import_trade_tax!B305)</f>
        <v>9879</v>
      </c>
      <c r="E305" s="6">
        <f>[1]עקיף!$I309</f>
        <v>30</v>
      </c>
      <c r="F305" s="6">
        <f>[1]עקיף!$K309</f>
        <v>1950</v>
      </c>
    </row>
    <row r="306" spans="1:6" x14ac:dyDescent="0.2">
      <c r="A306" s="26">
        <v>44317</v>
      </c>
      <c r="B306" s="6">
        <f>[1]עקיף!$C310</f>
        <v>9394</v>
      </c>
      <c r="C306" s="6">
        <f>-1*[1]עקיף!$D310</f>
        <v>-3265</v>
      </c>
      <c r="D306" s="7">
        <f>SUM(consumption_tax!B306:C306, import_trade_tax!B306)</f>
        <v>10335</v>
      </c>
      <c r="E306" s="6">
        <f>[1]עקיף!$I310</f>
        <v>20</v>
      </c>
      <c r="F306" s="6">
        <f>[1]עקיף!$K310</f>
        <v>1978</v>
      </c>
    </row>
    <row r="307" spans="1:6" x14ac:dyDescent="0.2">
      <c r="A307" s="26">
        <v>44348</v>
      </c>
      <c r="B307" s="6">
        <f>[1]עקיף!$C311</f>
        <v>7518</v>
      </c>
      <c r="C307" s="6">
        <f>-1*[1]עקיף!$D311</f>
        <v>-4089</v>
      </c>
      <c r="D307" s="7">
        <f>SUM(consumption_tax!B307:C307, import_trade_tax!B307)</f>
        <v>7962</v>
      </c>
      <c r="E307" s="6">
        <f>[1]עקיף!$I311</f>
        <v>33</v>
      </c>
      <c r="F307" s="6">
        <f>[1]עקיף!$K311</f>
        <v>2107</v>
      </c>
    </row>
    <row r="308" spans="1:6" x14ac:dyDescent="0.2">
      <c r="A308" s="26">
        <v>44378</v>
      </c>
      <c r="B308" s="6">
        <f>[1]עקיף!$C312</f>
        <v>10782</v>
      </c>
      <c r="C308" s="6">
        <f>-1*[1]עקיף!$D312</f>
        <v>-3612</v>
      </c>
      <c r="D308" s="7">
        <f>SUM(consumption_tax!B308:C308, import_trade_tax!B308)</f>
        <v>11712</v>
      </c>
      <c r="E308" s="6">
        <f>[1]עקיף!$I312</f>
        <v>25</v>
      </c>
      <c r="F308" s="6">
        <f>[1]עקיף!$K312</f>
        <v>2172</v>
      </c>
    </row>
    <row r="309" spans="1:6" x14ac:dyDescent="0.2">
      <c r="A309" s="26">
        <v>44409</v>
      </c>
      <c r="B309" s="6">
        <f>[1]עקיף!$C313</f>
        <v>9063</v>
      </c>
      <c r="C309" s="6">
        <f>-1*[1]עקיף!$D313</f>
        <v>-4181</v>
      </c>
      <c r="D309" s="7">
        <f>SUM(consumption_tax!B309:C309, import_trade_tax!B309)</f>
        <v>9774</v>
      </c>
      <c r="E309" s="6">
        <f>[1]עקיף!$I313</f>
        <v>30</v>
      </c>
      <c r="F309" s="6">
        <f>[1]עקיף!$K313</f>
        <v>2300</v>
      </c>
    </row>
    <row r="310" spans="1:6" x14ac:dyDescent="0.2">
      <c r="A310" s="26">
        <v>44440</v>
      </c>
      <c r="B310" s="6">
        <f>[1]עקיף!$C314</f>
        <v>3482</v>
      </c>
      <c r="C310" s="6">
        <f>-1*[1]עקיף!$D314</f>
        <v>-2527</v>
      </c>
      <c r="D310" s="7">
        <f>SUM(consumption_tax!B310:C310, import_trade_tax!B310)</f>
        <v>4672</v>
      </c>
      <c r="E310" s="6">
        <f>[1]עקיף!$I314</f>
        <v>29</v>
      </c>
      <c r="F310" s="6">
        <f>[1]עקיף!$K314</f>
        <v>2032</v>
      </c>
    </row>
    <row r="311" spans="1:6" x14ac:dyDescent="0.2">
      <c r="A311" s="26">
        <v>44470</v>
      </c>
      <c r="B311" s="6">
        <f>[1]עקיף!$C315</f>
        <v>14973</v>
      </c>
      <c r="C311" s="6">
        <f>-1*[1]עקיף!$D315</f>
        <v>-4851</v>
      </c>
      <c r="D311" s="7">
        <f>SUM(consumption_tax!B311:C311, import_trade_tax!B311)</f>
        <v>14959</v>
      </c>
      <c r="E311" s="6">
        <f>[1]עקיף!$I315</f>
        <v>29</v>
      </c>
      <c r="F311" s="6">
        <f>[1]עקיף!$K315</f>
        <v>2179</v>
      </c>
    </row>
    <row r="312" spans="1:6" x14ac:dyDescent="0.2">
      <c r="A312" s="26">
        <v>44501</v>
      </c>
      <c r="B312" s="6">
        <f>[1]עקיף!$C316</f>
        <v>11729</v>
      </c>
      <c r="C312" s="6">
        <f>-1*[1]עקיף!$D316</f>
        <v>-4115</v>
      </c>
      <c r="D312" s="7">
        <f>SUM(consumption_tax!B312:C312, import_trade_tax!B312)</f>
        <v>12412</v>
      </c>
      <c r="E312" s="6">
        <f>[1]עקיף!$I316</f>
        <v>21</v>
      </c>
      <c r="F312" s="6">
        <f>[1]עקיף!$K316</f>
        <v>2030</v>
      </c>
    </row>
    <row r="313" spans="1:6" x14ac:dyDescent="0.2">
      <c r="A313" s="26">
        <v>44531</v>
      </c>
      <c r="B313" s="6">
        <f>[1]עקיף!$C317</f>
        <v>9598</v>
      </c>
      <c r="C313" s="6">
        <f>-1*[1]עקיף!$D317</f>
        <v>-5615</v>
      </c>
      <c r="D313" s="7">
        <f>SUM(consumption_tax!B313:C313, import_trade_tax!B313)</f>
        <v>8551</v>
      </c>
      <c r="E313" s="6">
        <f>[1]עקיף!$I317</f>
        <v>26</v>
      </c>
      <c r="F313" s="6">
        <f>[1]עקיף!$K317</f>
        <v>2125</v>
      </c>
    </row>
    <row r="314" spans="1:6" x14ac:dyDescent="0.2">
      <c r="A314" s="26">
        <v>44562</v>
      </c>
      <c r="B314" s="6">
        <f>[1]עקיף!$C318</f>
        <v>12178</v>
      </c>
      <c r="C314" s="6">
        <f>-1*[1]עקיף!$D318</f>
        <v>-3406</v>
      </c>
      <c r="D314" s="7">
        <f>SUM(consumption_tax!B314:C314, import_trade_tax!B314)</f>
        <v>13877</v>
      </c>
      <c r="E314" s="6">
        <f>[1]עקיף!$I318</f>
        <v>32</v>
      </c>
      <c r="F314" s="6">
        <f>[1]עקיף!$K318</f>
        <v>2005</v>
      </c>
    </row>
    <row r="315" spans="1:6" x14ac:dyDescent="0.2">
      <c r="A315" s="26">
        <v>44593</v>
      </c>
      <c r="B315" s="6">
        <f>[1]עקיף!$C319</f>
        <v>9201</v>
      </c>
      <c r="C315" s="6">
        <f>-1*[1]עקיף!$D319</f>
        <v>-4843</v>
      </c>
      <c r="D315" s="7">
        <f>SUM(consumption_tax!B315:C315, import_trade_tax!B315)</f>
        <v>9289</v>
      </c>
      <c r="E315" s="6">
        <f>[1]עקיף!$I319</f>
        <v>73</v>
      </c>
      <c r="F315" s="6">
        <f>[1]עקיף!$K319</f>
        <v>1932</v>
      </c>
    </row>
    <row r="316" spans="1:6" x14ac:dyDescent="0.2">
      <c r="A316" s="26">
        <v>44621</v>
      </c>
      <c r="B316" s="6">
        <f>[1]עקיף!$C320</f>
        <v>10958</v>
      </c>
      <c r="C316" s="6">
        <f>-1*[1]עקיף!$D320</f>
        <v>-5117</v>
      </c>
      <c r="D316" s="7">
        <f>SUM(consumption_tax!B316:C316, import_trade_tax!B316)</f>
        <v>11545</v>
      </c>
      <c r="E316" s="6">
        <f>[1]עקיף!$I320</f>
        <v>80</v>
      </c>
      <c r="F316" s="6">
        <f>[1]עקיף!$K320</f>
        <v>2329</v>
      </c>
    </row>
    <row r="317" spans="1:6" x14ac:dyDescent="0.2">
      <c r="A317" s="26">
        <v>44652</v>
      </c>
      <c r="B317" s="6">
        <f>[1]עקיף!$C321</f>
        <v>9709</v>
      </c>
      <c r="C317" s="6">
        <f>-1*[1]עקיף!$D321</f>
        <v>-4607</v>
      </c>
      <c r="D317" s="7">
        <f>SUM(consumption_tax!B317:C317, import_trade_tax!B317)</f>
        <v>10223</v>
      </c>
      <c r="E317" s="6">
        <f>[1]עקיף!$I321</f>
        <v>93</v>
      </c>
      <c r="F317" s="6">
        <f>[1]עקיף!$K321</f>
        <v>2167</v>
      </c>
    </row>
    <row r="318" spans="1:6" x14ac:dyDescent="0.2">
      <c r="A318" s="26">
        <v>44682</v>
      </c>
      <c r="B318" s="6">
        <f>[1]עקיף!$C322</f>
        <v>11115</v>
      </c>
      <c r="C318" s="6">
        <f>-1*[1]עקיף!$D322</f>
        <v>-5721</v>
      </c>
      <c r="D318" s="7">
        <f>SUM(consumption_tax!B318:C318, import_trade_tax!B318)</f>
        <v>11608</v>
      </c>
      <c r="E318" s="6">
        <f>[1]עקיף!$I322</f>
        <v>103</v>
      </c>
      <c r="F318" s="6">
        <f>[1]עקיף!$K322</f>
        <v>2031</v>
      </c>
    </row>
    <row r="319" spans="1:6" x14ac:dyDescent="0.2">
      <c r="A319" s="26">
        <v>44713</v>
      </c>
      <c r="B319" s="6">
        <f>[1]עקיף!$C323</f>
        <v>8881</v>
      </c>
      <c r="C319" s="6">
        <f>-1*[1]עקיף!$D323</f>
        <v>-5567</v>
      </c>
      <c r="D319" s="7">
        <f>SUM(consumption_tax!B319:C319, import_trade_tax!B319)</f>
        <v>8692</v>
      </c>
      <c r="E319" s="6">
        <f>[1]עקיף!$I323</f>
        <v>117</v>
      </c>
      <c r="F319" s="6">
        <f>[1]עקיף!$K323</f>
        <v>2126</v>
      </c>
    </row>
    <row r="320" spans="1:6" x14ac:dyDescent="0.2">
      <c r="A320" s="26">
        <v>44743</v>
      </c>
      <c r="B320" s="6">
        <f>[1]עקיף!$C324</f>
        <v>11703</v>
      </c>
      <c r="C320" s="6">
        <f>-1*[1]עקיף!$D324</f>
        <v>-4999</v>
      </c>
      <c r="D320" s="7">
        <f>SUM(consumption_tax!B320:C320, import_trade_tax!B320)</f>
        <v>12489</v>
      </c>
      <c r="E320" s="6">
        <f>[1]עקיף!$I324</f>
        <v>104</v>
      </c>
      <c r="F320" s="6">
        <f>[1]עקיף!$K324</f>
        <v>2231</v>
      </c>
    </row>
    <row r="321" spans="1:6" x14ac:dyDescent="0.2">
      <c r="A321" s="26">
        <v>44774</v>
      </c>
      <c r="B321" s="6">
        <f>[1]עקיף!$C325</f>
        <v>9320</v>
      </c>
      <c r="C321" s="6">
        <f>-1*[1]עקיף!$D325</f>
        <v>-5645</v>
      </c>
      <c r="D321" s="7">
        <f>SUM(consumption_tax!B321:C321, import_trade_tax!B321)</f>
        <v>9296</v>
      </c>
      <c r="E321" s="6">
        <f>[1]עקיף!$I325</f>
        <v>111</v>
      </c>
      <c r="F321" s="6">
        <f>[1]עקיף!$K325</f>
        <v>1989</v>
      </c>
    </row>
    <row r="322" spans="1:6" x14ac:dyDescent="0.2">
      <c r="A322" s="26">
        <v>44805</v>
      </c>
      <c r="B322" s="6">
        <f>[1]עקיף!$C326</f>
        <v>11326</v>
      </c>
      <c r="C322" s="6">
        <f>-1*[1]עקיף!$D326</f>
        <v>-4607</v>
      </c>
      <c r="D322" s="7">
        <f>SUM(consumption_tax!B322:C322, import_trade_tax!B322)</f>
        <v>11498</v>
      </c>
      <c r="E322" s="6">
        <f>[1]עקיף!$I326</f>
        <v>141</v>
      </c>
      <c r="F322" s="6">
        <f>[1]עקיף!$K326</f>
        <v>2082</v>
      </c>
    </row>
    <row r="323" spans="1:6" x14ac:dyDescent="0.2">
      <c r="A323" s="26">
        <v>44835</v>
      </c>
      <c r="B323" s="6">
        <f>[1]עקיף!$C327</f>
        <v>8791</v>
      </c>
      <c r="C323" s="6">
        <f>-1*[1]עקיף!$D327</f>
        <v>-4268</v>
      </c>
      <c r="D323" s="7">
        <f>SUM(consumption_tax!B323:C323, import_trade_tax!B323)</f>
        <v>9702</v>
      </c>
      <c r="E323" s="6">
        <f>[1]עקיף!$I327</f>
        <v>122</v>
      </c>
      <c r="F323" s="6">
        <f>[1]עקיף!$K327</f>
        <v>1874</v>
      </c>
    </row>
    <row r="324" spans="1:6" x14ac:dyDescent="0.2">
      <c r="A324" s="26">
        <v>44866</v>
      </c>
      <c r="B324" s="6">
        <f>[1]עקיף!$C328</f>
        <v>10166</v>
      </c>
      <c r="C324" s="6">
        <f>-1*[1]עקיף!$D328</f>
        <v>-5041</v>
      </c>
      <c r="D324" s="7">
        <f>SUM(consumption_tax!B324:C324, import_trade_tax!B324)</f>
        <v>10410</v>
      </c>
      <c r="E324" s="6">
        <f>[1]עקיף!$I328</f>
        <v>101</v>
      </c>
      <c r="F324" s="6">
        <f>[1]עקיף!$K328</f>
        <v>1960</v>
      </c>
    </row>
    <row r="325" spans="1:6" x14ac:dyDescent="0.2">
      <c r="A325" s="26">
        <v>44896</v>
      </c>
      <c r="B325" s="6">
        <f>[1]עקיף!$C329</f>
        <v>8930</v>
      </c>
      <c r="C325" s="6">
        <f>-1*[1]עקיף!$D329</f>
        <v>-4771</v>
      </c>
      <c r="D325" s="7">
        <f>SUM(consumption_tax!B325:C325, import_trade_tax!B325)</f>
        <v>9924</v>
      </c>
      <c r="E325" s="6">
        <f>[1]עקיף!$I329</f>
        <v>78</v>
      </c>
      <c r="F325" s="6">
        <f>[1]עקיף!$K329</f>
        <v>2066</v>
      </c>
    </row>
    <row r="326" spans="1:6" x14ac:dyDescent="0.2">
      <c r="A326" s="26">
        <v>44927</v>
      </c>
      <c r="B326" s="6">
        <f>[1]עקיף!$C330</f>
        <v>12439</v>
      </c>
      <c r="C326" s="6">
        <f>-1*[1]עקיף!$D330</f>
        <v>-4876</v>
      </c>
      <c r="D326" s="7">
        <f>SUM(consumption_tax!B326:C326, import_trade_tax!B326)</f>
        <v>12848</v>
      </c>
      <c r="E326" s="6">
        <f>[1]עקיף!$I330</f>
        <v>95</v>
      </c>
      <c r="F326" s="6">
        <f>[1]עקיף!$K330</f>
        <v>2376</v>
      </c>
    </row>
    <row r="327" spans="1:6" x14ac:dyDescent="0.2">
      <c r="A327" s="26">
        <v>44958</v>
      </c>
      <c r="B327" s="6">
        <f>[1]עקיף!$C331</f>
        <v>9550</v>
      </c>
      <c r="C327" s="6">
        <f>-1*[1]עקיף!$D331</f>
        <v>-5559</v>
      </c>
      <c r="D327" s="7">
        <f>SUM(consumption_tax!B327:C327, import_trade_tax!B327)</f>
        <v>9080</v>
      </c>
      <c r="E327" s="6">
        <f>[1]עקיף!$I331</f>
        <v>96</v>
      </c>
      <c r="F327" s="6">
        <f>[1]עקיף!$K331</f>
        <v>2064</v>
      </c>
    </row>
    <row r="328" spans="1:6" x14ac:dyDescent="0.2">
      <c r="A328" s="26">
        <v>44986</v>
      </c>
      <c r="B328" s="6">
        <f>[1]עקיף!$C332</f>
        <v>10131</v>
      </c>
      <c r="C328" s="6">
        <f>-1*[1]עקיף!$D332</f>
        <v>-5836</v>
      </c>
      <c r="D328" s="7">
        <f>SUM(consumption_tax!B328:C328, import_trade_tax!B328)</f>
        <v>9791</v>
      </c>
      <c r="E328" s="6">
        <f>[1]עקיף!$I332</f>
        <v>79</v>
      </c>
      <c r="F328" s="6">
        <f>[1]עקיף!$K332</f>
        <v>2413</v>
      </c>
    </row>
    <row r="329" spans="1:6" x14ac:dyDescent="0.2">
      <c r="A329" s="26">
        <v>45017</v>
      </c>
      <c r="B329" s="6">
        <f>[1]עקיף!$C333</f>
        <v>9754</v>
      </c>
      <c r="C329" s="6">
        <f>-1*[1]עקיף!$D333</f>
        <v>-3610</v>
      </c>
      <c r="D329" s="7">
        <f>SUM(consumption_tax!B329:C329, import_trade_tax!B329)</f>
        <v>10757</v>
      </c>
      <c r="E329" s="6">
        <f>[1]עקיף!$I333</f>
        <v>111</v>
      </c>
      <c r="F329" s="6">
        <f>[1]עקיף!$K333</f>
        <v>2079</v>
      </c>
    </row>
    <row r="330" spans="1:6" x14ac:dyDescent="0.2">
      <c r="A330" s="26">
        <v>45047</v>
      </c>
      <c r="B330" s="6">
        <f>[1]עקיף!$C334</f>
        <v>10107</v>
      </c>
      <c r="C330" s="6">
        <f>-1*[1]עקיף!$D334</f>
        <v>-5822</v>
      </c>
      <c r="D330" s="7">
        <f>SUM(consumption_tax!B330:C330, import_trade_tax!B330)</f>
        <v>9935</v>
      </c>
      <c r="E330" s="6">
        <f>[1]עקיף!$I334</f>
        <v>23</v>
      </c>
      <c r="F330" s="6">
        <f>[1]עקיף!$K334</f>
        <v>2273</v>
      </c>
    </row>
    <row r="331" spans="1:6" x14ac:dyDescent="0.2">
      <c r="A331" s="26">
        <v>45078</v>
      </c>
      <c r="B331" s="6">
        <f>[1]עקיף!$C335</f>
        <v>8968</v>
      </c>
      <c r="C331" s="6">
        <f>-1*[1]עקיף!$D335</f>
        <v>-5492</v>
      </c>
      <c r="D331" s="7">
        <f>SUM(consumption_tax!B331:C331, import_trade_tax!B331)</f>
        <v>8420</v>
      </c>
      <c r="E331" s="6">
        <f>[1]עקיף!$I335</f>
        <v>36</v>
      </c>
      <c r="F331" s="6">
        <f>[1]עקיף!$K335</f>
        <v>2491</v>
      </c>
    </row>
    <row r="332" spans="1:6" x14ac:dyDescent="0.2">
      <c r="A332" s="26">
        <v>45108</v>
      </c>
      <c r="B332" s="6">
        <f>[1]עקיף!$C336</f>
        <v>10957</v>
      </c>
      <c r="C332" s="6">
        <f>-1*[1]עקיף!$D336</f>
        <v>-4487</v>
      </c>
      <c r="D332" s="7">
        <f>SUM(consumption_tax!B332:C332, import_trade_tax!B332)</f>
        <v>11825</v>
      </c>
      <c r="E332" s="6">
        <f>[1]עקיף!$I336</f>
        <v>21</v>
      </c>
      <c r="F332" s="6">
        <f>[1]עקיף!$K336</f>
        <v>2495</v>
      </c>
    </row>
    <row r="333" spans="1:6" x14ac:dyDescent="0.2">
      <c r="A333" s="26">
        <v>45139</v>
      </c>
      <c r="B333" s="6">
        <f>[1]עקיף!$C337</f>
        <v>9299</v>
      </c>
      <c r="C333" s="6">
        <f>-1*[1]עקיף!$D337</f>
        <v>-5376</v>
      </c>
      <c r="D333" s="7">
        <f>SUM(consumption_tax!B333:C333, import_trade_tax!B333)</f>
        <v>9399</v>
      </c>
      <c r="E333" s="6">
        <f>[1]עקיף!$I337</f>
        <v>37</v>
      </c>
      <c r="F333" s="6">
        <f>[1]עקיף!$K337</f>
        <v>2423</v>
      </c>
    </row>
    <row r="334" spans="1:6" x14ac:dyDescent="0.2">
      <c r="A334" s="26">
        <v>45170</v>
      </c>
      <c r="B334" s="6">
        <f>[1]עקיף!$C338</f>
        <v>11084</v>
      </c>
      <c r="C334" s="6">
        <f>-1*[1]עקיף!$D338</f>
        <v>-5128</v>
      </c>
      <c r="D334" s="7">
        <f>SUM(consumption_tax!B334:C334, import_trade_tax!B334)</f>
        <v>10500</v>
      </c>
      <c r="E334" s="6">
        <f>[1]עקיף!$I338</f>
        <v>32</v>
      </c>
      <c r="F334" s="6">
        <f>[1]עקיף!$K338</f>
        <v>2238</v>
      </c>
    </row>
    <row r="335" spans="1:6" x14ac:dyDescent="0.2">
      <c r="A335" s="26">
        <v>45200</v>
      </c>
      <c r="B335" s="6">
        <f>[1]עקיף!$C339</f>
        <v>7620</v>
      </c>
      <c r="C335" s="6">
        <f>-1*[1]עקיף!$D339</f>
        <v>-3949</v>
      </c>
      <c r="D335" s="7">
        <f>SUM(consumption_tax!B335:C335, import_trade_tax!B335)</f>
        <v>8795</v>
      </c>
      <c r="E335" s="6">
        <f>[1]עקיף!$I339</f>
        <v>26</v>
      </c>
      <c r="F335" s="6">
        <f>[1]עקיף!$K339</f>
        <v>1915</v>
      </c>
    </row>
    <row r="336" spans="1:6" x14ac:dyDescent="0.2">
      <c r="A336" s="26">
        <v>45231</v>
      </c>
      <c r="B336" s="6">
        <f>[1]עקיף!$C340</f>
        <v>9658</v>
      </c>
      <c r="C336" s="6">
        <f>-1*[1]עקיף!$D340</f>
        <v>-4297</v>
      </c>
      <c r="D336" s="7">
        <f>SUM(consumption_tax!B336:C336, import_trade_tax!B336)</f>
        <v>9887</v>
      </c>
      <c r="E336" s="6">
        <f>[1]עקיף!$I340</f>
        <v>28</v>
      </c>
      <c r="F336" s="6">
        <f>[1]עקיף!$K340</f>
        <v>1929</v>
      </c>
    </row>
    <row r="337" spans="1:6" x14ac:dyDescent="0.2">
      <c r="A337" s="26">
        <v>45261</v>
      </c>
      <c r="B337" s="6">
        <f>[1]עקיף!$C341</f>
        <v>8889</v>
      </c>
      <c r="C337" s="6">
        <f>-1*[1]עקיף!$D341</f>
        <v>-5158</v>
      </c>
      <c r="D337" s="7">
        <f>SUM(consumption_tax!B337:C337, import_trade_tax!B337)</f>
        <v>8840</v>
      </c>
      <c r="E337" s="6">
        <f>[1]עקיף!$I341</f>
        <v>34</v>
      </c>
      <c r="F337" s="6">
        <f>[1]עקיף!$K341</f>
        <v>2110</v>
      </c>
    </row>
    <row r="338" spans="1:6" x14ac:dyDescent="0.2">
      <c r="A338" s="26">
        <v>45292</v>
      </c>
      <c r="B338" s="6">
        <f>[1]עקיף!$C342</f>
        <v>12388</v>
      </c>
      <c r="C338" s="6">
        <f>-1*[1]עקיף!$D342</f>
        <v>-3959</v>
      </c>
      <c r="D338" s="7">
        <f>SUM(consumption_tax!B338:C338, import_trade_tax!B338)</f>
        <v>12942</v>
      </c>
      <c r="E338" s="6">
        <f>[1]עקיף!$I342</f>
        <v>29</v>
      </c>
      <c r="F338" s="6">
        <f>[1]עקיף!$K342</f>
        <v>2340</v>
      </c>
    </row>
    <row r="339" spans="1:6" x14ac:dyDescent="0.2">
      <c r="A339" s="26">
        <v>45323</v>
      </c>
      <c r="B339" s="6">
        <f>[1]עקיף!$C343</f>
        <v>10146</v>
      </c>
      <c r="C339" s="6">
        <f>-1*[1]עקיף!$D343</f>
        <v>-4538</v>
      </c>
      <c r="D339" s="7">
        <f>SUM(consumption_tax!B339:C339, import_trade_tax!B339)</f>
        <v>10666</v>
      </c>
      <c r="E339" s="6">
        <f>[1]עקיף!$I343</f>
        <v>25</v>
      </c>
      <c r="F339" s="6">
        <f>[1]עקיף!$K343</f>
        <v>2262</v>
      </c>
    </row>
    <row r="340" spans="1:6" x14ac:dyDescent="0.2">
      <c r="A340" s="26">
        <v>45352</v>
      </c>
      <c r="B340" s="6">
        <f>[1]עקיף!$C344</f>
        <v>11064</v>
      </c>
      <c r="C340" s="6">
        <f>-1*[1]עקיף!$D344</f>
        <v>-4860</v>
      </c>
      <c r="D340" s="7">
        <f>SUM(consumption_tax!B340:C340, import_trade_tax!B340)</f>
        <v>11273</v>
      </c>
      <c r="E340" s="6">
        <f>[1]עקיף!$I344</f>
        <v>26</v>
      </c>
      <c r="F340" s="6">
        <f>[1]עקיף!$K344</f>
        <v>2484</v>
      </c>
    </row>
    <row r="341" spans="1:6" x14ac:dyDescent="0.2">
      <c r="A341" s="26">
        <v>45383</v>
      </c>
      <c r="B341" s="6">
        <f>[1]עקיף!$C345</f>
        <v>4371</v>
      </c>
      <c r="C341" s="6">
        <f>-1*[1]עקיף!$D345</f>
        <v>-4021</v>
      </c>
      <c r="D341" s="7">
        <f>SUM(consumption_tax!B341:C341, import_trade_tax!B341)</f>
        <v>4930</v>
      </c>
      <c r="E341" s="6">
        <f>[1]עקיף!$I345</f>
        <v>23</v>
      </c>
      <c r="F341" s="6">
        <f>[1]עקיף!$K345</f>
        <v>2256</v>
      </c>
    </row>
    <row r="342" spans="1:6" x14ac:dyDescent="0.2">
      <c r="A342" s="26">
        <v>45413</v>
      </c>
      <c r="B342" s="6">
        <f>[1]עקיף!$C346</f>
        <v>16587</v>
      </c>
      <c r="C342" s="6">
        <f>-1*[1]עקיף!$D346</f>
        <v>-4778</v>
      </c>
      <c r="D342" s="7">
        <f>SUM(consumption_tax!B342:C342, import_trade_tax!B342)</f>
        <v>16989</v>
      </c>
      <c r="E342" s="6">
        <f>[1]עקיף!$I346</f>
        <v>24</v>
      </c>
      <c r="F342" s="6">
        <f>[1]עקיף!$K346</f>
        <v>2400</v>
      </c>
    </row>
    <row r="343" spans="1:6" x14ac:dyDescent="0.2">
      <c r="A343" s="26">
        <v>45444</v>
      </c>
      <c r="B343" s="6">
        <f>[1]עקיף!$C347</f>
        <v>10964</v>
      </c>
      <c r="C343" s="6">
        <f>-1*[1]עקיף!$D347</f>
        <v>-5227</v>
      </c>
      <c r="D343" s="7">
        <f>SUM(consumption_tax!B343:C343, import_trade_tax!B343)</f>
        <v>10307</v>
      </c>
      <c r="E343" s="6">
        <f>[1]עקיף!$I347</f>
        <v>35</v>
      </c>
      <c r="F343" s="6">
        <f>[1]עקיף!$K347</f>
        <v>2496</v>
      </c>
    </row>
    <row r="344" spans="1:6" x14ac:dyDescent="0.2">
      <c r="A344" s="26">
        <v>45474</v>
      </c>
      <c r="B344" s="6">
        <f>[1]עקיף!$C348</f>
        <v>11739</v>
      </c>
      <c r="C344" s="6">
        <f>-1*[1]עקיף!$D348</f>
        <v>-5068</v>
      </c>
      <c r="D344" s="7">
        <f>SUM(consumption_tax!B344:C344, import_trade_tax!B344)</f>
        <v>12427</v>
      </c>
      <c r="E344" s="6">
        <f>[1]עקיף!$I348</f>
        <v>28</v>
      </c>
      <c r="F344" s="6">
        <f>[1]עקיף!$K348</f>
        <v>2652</v>
      </c>
    </row>
    <row r="345" spans="1:6" x14ac:dyDescent="0.2">
      <c r="A345" s="26">
        <v>45505</v>
      </c>
      <c r="B345" s="6">
        <f>[1]עקיף!$C349</f>
        <v>9879</v>
      </c>
      <c r="C345" s="6">
        <f>-1*[1]עקיף!$D349</f>
        <v>-4770</v>
      </c>
      <c r="D345" s="7">
        <f>SUM(consumption_tax!B345:C345, import_trade_tax!B345)</f>
        <v>10158</v>
      </c>
      <c r="E345" s="6">
        <f>[1]עקיף!$I349</f>
        <v>31</v>
      </c>
      <c r="F345" s="6">
        <f>[1]עקיף!$K349</f>
        <v>2580</v>
      </c>
    </row>
    <row r="346" spans="1:6" x14ac:dyDescent="0.2">
      <c r="A346" s="26">
        <v>45536</v>
      </c>
      <c r="B346" s="6">
        <f>[1]עקיף!$C350</f>
        <v>12032</v>
      </c>
      <c r="C346" s="6">
        <f>-1*[1]עקיף!$D350</f>
        <v>-4029</v>
      </c>
      <c r="D346" s="7">
        <f>SUM(consumption_tax!B346:C346, import_trade_tax!B346)</f>
        <v>13385</v>
      </c>
      <c r="E346" s="6">
        <f>[1]עקיף!$I350</f>
        <v>25</v>
      </c>
      <c r="F346" s="6">
        <f>[1]עקיף!$K350</f>
        <v>2724</v>
      </c>
    </row>
    <row r="347" spans="1:6" x14ac:dyDescent="0.2">
      <c r="A347" s="26">
        <v>45566</v>
      </c>
      <c r="B347" s="6">
        <f>[1]עקיף!$C351</f>
        <v>10113</v>
      </c>
      <c r="C347" s="6">
        <f>-1*[1]עקיף!$D351</f>
        <v>-3738</v>
      </c>
      <c r="D347" s="7">
        <f>SUM(consumption_tax!B347:C347, import_trade_tax!B347)</f>
        <v>11666</v>
      </c>
      <c r="E347" s="6">
        <f>[1]עקיף!$I351</f>
        <v>33</v>
      </c>
      <c r="F347" s="6">
        <f>[1]עקיף!$K351</f>
        <v>2423</v>
      </c>
    </row>
    <row r="348" spans="1:6" x14ac:dyDescent="0.2">
      <c r="A348" s="26">
        <v>45597</v>
      </c>
      <c r="B348" s="6">
        <f>[1]עקיף!$C352</f>
        <v>11439</v>
      </c>
      <c r="C348" s="6">
        <f>-1*[1]עקיף!$D352</f>
        <v>-5525</v>
      </c>
      <c r="D348" s="7">
        <f>SUM(consumption_tax!B348:C348, import_trade_tax!B348)</f>
        <v>11059</v>
      </c>
      <c r="E348" s="6">
        <f>[1]עקיף!$I352</f>
        <v>29</v>
      </c>
      <c r="F348" s="6">
        <f>[1]עקיף!$K352</f>
        <v>2261</v>
      </c>
    </row>
    <row r="349" spans="1:6" x14ac:dyDescent="0.2">
      <c r="A349" s="26">
        <v>45627</v>
      </c>
      <c r="B349" s="6">
        <f>[1]עקיף!$C353</f>
        <v>10103</v>
      </c>
      <c r="C349" s="6">
        <f>-1*[1]עקיף!$D353</f>
        <v>-4941</v>
      </c>
      <c r="D349" s="7">
        <f>SUM(consumption_tax!B349:C349, import_trade_tax!B349)</f>
        <v>12758</v>
      </c>
      <c r="E349" s="6">
        <f>[1]עקיף!$I353</f>
        <v>38</v>
      </c>
      <c r="F349" s="6">
        <f>[1]עקיף!$K353</f>
        <v>2636</v>
      </c>
    </row>
    <row r="350" spans="1:6" x14ac:dyDescent="0.2">
      <c r="A350" s="26">
        <v>45658</v>
      </c>
      <c r="B350" s="6">
        <f>[1]עקיף!$C354</f>
        <v>16738</v>
      </c>
      <c r="C350" s="6">
        <f>-1*[1]עקיף!$D354</f>
        <v>-5092</v>
      </c>
      <c r="D350" s="7">
        <f>SUM(consumption_tax!B350:C350, import_trade_tax!B350)</f>
        <v>16938</v>
      </c>
      <c r="E350" s="6">
        <f>[1]עקיף!$I354</f>
        <v>36</v>
      </c>
      <c r="F350" s="6">
        <f>[1]עקיף!$K354</f>
        <v>2542</v>
      </c>
    </row>
    <row r="351" spans="1:6" x14ac:dyDescent="0.2">
      <c r="A351" s="26">
        <v>45689</v>
      </c>
      <c r="B351" s="6">
        <f>[1]עקיף!$C355</f>
        <v>11354</v>
      </c>
      <c r="C351" s="6">
        <f>-1*[1]עקיף!$D355</f>
        <v>-5354</v>
      </c>
      <c r="D351" s="7">
        <f>SUM(consumption_tax!B351:C351, import_trade_tax!B351)</f>
        <v>10902</v>
      </c>
      <c r="E351" s="6">
        <f>[1]עקיף!$I355</f>
        <v>18</v>
      </c>
      <c r="F351" s="6">
        <f>[1]עקיף!$K355</f>
        <v>2242</v>
      </c>
    </row>
    <row r="352" spans="1:6" x14ac:dyDescent="0.2">
      <c r="A352" s="26">
        <v>45717</v>
      </c>
      <c r="B352" s="6">
        <f>[1]עקיף!$C356</f>
        <v>11896</v>
      </c>
      <c r="C352" s="6">
        <f>-1*[1]עקיף!$D356</f>
        <v>-5286</v>
      </c>
      <c r="D352" s="7">
        <f>SUM(consumption_tax!B352:C352, import_trade_tax!B352)</f>
        <v>12523</v>
      </c>
      <c r="E352" s="6">
        <f>[1]עקיף!$I356</f>
        <v>56</v>
      </c>
      <c r="F352" s="6">
        <f>[1]עקיף!$K356</f>
        <v>2535</v>
      </c>
    </row>
    <row r="353" spans="1:6" x14ac:dyDescent="0.2">
      <c r="A353" s="26">
        <v>45748</v>
      </c>
      <c r="B353" s="6">
        <f>[1]עקיף!$C357</f>
        <v>10824</v>
      </c>
      <c r="C353" s="6">
        <f>-1*[1]עקיף!$D357</f>
        <v>-5052</v>
      </c>
      <c r="D353" s="7">
        <f>SUM(consumption_tax!B353:C353, import_trade_tax!B353)</f>
        <v>11502</v>
      </c>
      <c r="E353" s="6">
        <f>[1]עקיף!$I357</f>
        <v>26</v>
      </c>
      <c r="F353" s="6">
        <f>[1]עקיף!$K357</f>
        <v>2377</v>
      </c>
    </row>
    <row r="354" spans="1:6" x14ac:dyDescent="0.2">
      <c r="A354" s="26">
        <v>45778</v>
      </c>
      <c r="B354" s="6">
        <f>[1]עקיף!$C358</f>
        <v>13127</v>
      </c>
      <c r="C354" s="6">
        <f>-1*[1]עקיף!$D358</f>
        <v>-5313</v>
      </c>
      <c r="D354" s="7">
        <f>SUM(consumption_tax!B354:C354, import_trade_tax!B354)</f>
        <v>13412</v>
      </c>
      <c r="E354" s="6">
        <f>[1]עקיף!$I358</f>
        <v>42</v>
      </c>
      <c r="F354" s="6">
        <f>[1]עקיף!$K358</f>
        <v>2575</v>
      </c>
    </row>
    <row r="355" spans="1:6" x14ac:dyDescent="0.2">
      <c r="A355" s="26">
        <v>45809</v>
      </c>
      <c r="B355" s="6">
        <f>[1]עקיף!$C359</f>
        <v>9842</v>
      </c>
      <c r="C355" s="6">
        <f>-1*[1]עקיף!$D359</f>
        <v>-4396</v>
      </c>
      <c r="D355" s="7">
        <f>SUM(consumption_tax!B355:C355, import_trade_tax!B355)</f>
        <v>10296</v>
      </c>
      <c r="E355" s="6">
        <f>[1]עקיף!$I359</f>
        <v>30</v>
      </c>
      <c r="F355" s="6">
        <f>[1]עקיף!$K359</f>
        <v>2527</v>
      </c>
    </row>
    <row r="356" spans="1:6" x14ac:dyDescent="0.2">
      <c r="A356" s="26">
        <v>45839</v>
      </c>
      <c r="B356" s="6">
        <f>[1]עקיף!$C360</f>
        <v>14006</v>
      </c>
      <c r="C356" s="6">
        <f>-1*[1]עקיף!$D360</f>
        <v>-5935</v>
      </c>
      <c r="D356" s="7">
        <f>SUM(consumption_tax!B356:C356, import_trade_tax!B356)</f>
        <v>14229</v>
      </c>
      <c r="E356" s="6">
        <f>[1]עקיף!$I360</f>
        <v>26</v>
      </c>
      <c r="F356" s="6">
        <f>[1]עקיף!$K360</f>
        <v>2498</v>
      </c>
    </row>
    <row r="357" spans="1:6" x14ac:dyDescent="0.2">
      <c r="A357" s="26">
        <v>45870</v>
      </c>
      <c r="B357" s="6">
        <f>[1]עקיף!$C361</f>
        <v>11908</v>
      </c>
      <c r="C357" s="6">
        <f>-1*[1]עקיף!$D361</f>
        <v>-4766</v>
      </c>
      <c r="D357" s="7">
        <f>SUM(consumption_tax!B357:C357, import_trade_tax!B357)</f>
        <v>12444</v>
      </c>
      <c r="E357" s="6">
        <f>[1]עקיף!$I361</f>
        <v>45</v>
      </c>
      <c r="F357" s="6">
        <f>[1]עקיף!$K361</f>
        <v>2856</v>
      </c>
    </row>
    <row r="358" spans="1:6" x14ac:dyDescent="0.2">
      <c r="A358" s="26">
        <v>45901</v>
      </c>
      <c r="B358" s="6">
        <f>[1]עקיף!$C362</f>
        <v>14153</v>
      </c>
      <c r="C358" s="6">
        <f>-1*[1]עקיף!$D362</f>
        <v>-5769</v>
      </c>
      <c r="D358" s="7">
        <f>SUM(consumption_tax!B358:C358, import_trade_tax!B358)</f>
        <v>13627</v>
      </c>
      <c r="E358" s="6">
        <f>[1]עקיף!$I362</f>
        <v>33</v>
      </c>
      <c r="F358" s="6">
        <f>[1]עקיף!$K362</f>
        <v>2701</v>
      </c>
    </row>
    <row r="359" spans="1:6" x14ac:dyDescent="0.2">
      <c r="A359" s="26">
        <v>45931</v>
      </c>
      <c r="B359" s="6">
        <f>[1]עקיף!$C363</f>
        <v>11735</v>
      </c>
      <c r="C359" s="6">
        <f>-1*[1]עקיף!$D363</f>
        <v>-3622</v>
      </c>
      <c r="D359" s="7">
        <f>SUM(consumption_tax!B359:C359, import_trade_tax!B359)</f>
        <v>13296</v>
      </c>
      <c r="E359" s="6">
        <f>[1]עקיף!$I363</f>
        <v>48</v>
      </c>
      <c r="F359" s="6">
        <f>[1]עקיף!$K363</f>
        <v>2644</v>
      </c>
    </row>
    <row r="360" spans="1:6" x14ac:dyDescent="0.2">
      <c r="A360" s="26">
        <v>45962</v>
      </c>
      <c r="B360" s="6">
        <f>[1]עקיף!$C364</f>
        <v>13377</v>
      </c>
      <c r="C360" s="6">
        <f>-1*[1]עקיף!$D364</f>
        <v>-5365</v>
      </c>
      <c r="D360" s="7">
        <f>SUM(consumption_tax!B360:C360, import_trade_tax!B360)</f>
        <v>13347</v>
      </c>
      <c r="E360" s="6">
        <f>[1]עקיף!$I364</f>
        <v>43</v>
      </c>
      <c r="F360" s="6">
        <f>[1]עקיף!$K364</f>
        <v>2768</v>
      </c>
    </row>
    <row r="361" spans="1:6" x14ac:dyDescent="0.2">
      <c r="A361" s="26">
        <v>45992</v>
      </c>
      <c r="B361" s="6">
        <f>[1]עקיף!$C365</f>
        <v>11482</v>
      </c>
      <c r="C361" s="6">
        <f>-1*[1]עקיף!$D365</f>
        <v>-6758</v>
      </c>
      <c r="D361" s="7">
        <f>SUM(consumption_tax!B361:C361, import_trade_tax!B361)</f>
        <v>11395</v>
      </c>
      <c r="E361" s="6">
        <f>[1]עקיף!$I365</f>
        <v>40</v>
      </c>
      <c r="F361" s="6">
        <f>[1]עקיף!$K365</f>
        <v>2555</v>
      </c>
    </row>
    <row r="362" spans="1:6" x14ac:dyDescent="0.2">
      <c r="A362" s="26">
        <v>46023</v>
      </c>
      <c r="B362" s="6">
        <f>[1]עקיף!$C366</f>
        <v>15920</v>
      </c>
      <c r="C362" s="6">
        <f>-1*[1]עקיף!$D366</f>
        <v>-4020</v>
      </c>
      <c r="D362" s="7">
        <f>SUM(consumption_tax!B362:C362, import_trade_tax!B362)</f>
        <v>17070</v>
      </c>
      <c r="E362" s="6">
        <f>[1]עקיף!$I366</f>
        <v>38</v>
      </c>
      <c r="F362" s="6">
        <f>[1]עקיף!$K366</f>
        <v>2504</v>
      </c>
    </row>
    <row r="363" spans="1:6" x14ac:dyDescent="0.2">
      <c r="A363" s="26">
        <v>46054</v>
      </c>
      <c r="B363" s="6">
        <f>[1]עקיף!$C367</f>
        <v>12831</v>
      </c>
      <c r="C363" s="6">
        <f>-1*[1]עקיף!$D367</f>
        <v>-5114</v>
      </c>
      <c r="D363" s="7">
        <f>SUM(consumption_tax!B363:C363, import_trade_tax!B363)</f>
        <v>13066</v>
      </c>
      <c r="E363" s="6">
        <f>[1]עקיף!$I367</f>
        <v>26</v>
      </c>
      <c r="F363" s="6">
        <f>[1]עקיף!$K367</f>
        <v>2382</v>
      </c>
    </row>
    <row r="364" spans="1:6" x14ac:dyDescent="0.2">
      <c r="A364" s="26">
        <v>46082</v>
      </c>
      <c r="B364" s="6">
        <f>[1]עקיף!$C368</f>
        <v>13031</v>
      </c>
      <c r="C364" s="6">
        <f>-1*[1]עקיף!$D368</f>
        <v>-6827</v>
      </c>
      <c r="D364" s="7">
        <f>SUM(consumption_tax!B364:C364, import_trade_tax!B364)</f>
        <v>11615</v>
      </c>
      <c r="E364" s="6">
        <f>[1]עקיף!$I368</f>
        <v>21</v>
      </c>
      <c r="F364" s="6">
        <f>[1]עקיף!$K368</f>
        <v>2427</v>
      </c>
    </row>
    <row r="365" spans="1:6" x14ac:dyDescent="0.2">
      <c r="A365" s="26">
        <v>46113</v>
      </c>
      <c r="B365" s="6">
        <f>[1]עקיף!$C369</f>
        <v>12238</v>
      </c>
      <c r="C365" s="6">
        <f>-1*[1]עקיף!$D369</f>
        <v>-3371.6666666666665</v>
      </c>
      <c r="D365" s="7">
        <f>SUM(consumption_tax!B365:C365, import_trade_tax!B365)</f>
        <v>14339</v>
      </c>
      <c r="E365" s="6">
        <f>[1]עקיף!$I369</f>
        <v>43</v>
      </c>
      <c r="F365" s="6">
        <f>[1]עקיף!$K369</f>
        <v>2095.3333333333335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CBC0-6A27-4FDF-BDA7-830B3D78DD4A}">
  <dimension ref="A1:E365"/>
  <sheetViews>
    <sheetView workbookViewId="0">
      <selection activeCell="E2" sqref="E2"/>
    </sheetView>
  </sheetViews>
  <sheetFormatPr defaultRowHeight="14.25" x14ac:dyDescent="0.2"/>
  <cols>
    <col min="1" max="1" width="10.375" style="26" bestFit="1" customWidth="1"/>
    <col min="2" max="2" width="8.875" style="2"/>
    <col min="3" max="3" width="11.375" style="2" bestFit="1" customWidth="1"/>
    <col min="4" max="5" width="8.875" style="2"/>
  </cols>
  <sheetData>
    <row r="1" spans="1:5" ht="57" x14ac:dyDescent="0.2">
      <c r="A1" s="9" t="s">
        <v>42</v>
      </c>
      <c r="B1" s="32" t="s">
        <v>17</v>
      </c>
      <c r="C1" t="s">
        <v>21</v>
      </c>
      <c r="D1" s="31" t="s">
        <v>41</v>
      </c>
      <c r="E1" s="32" t="s">
        <v>22</v>
      </c>
    </row>
    <row r="2" spans="1:5" x14ac:dyDescent="0.2">
      <c r="A2" s="26">
        <v>35065</v>
      </c>
      <c r="B2" s="5">
        <f>[1]עקיף!$B6</f>
        <v>1329.5909999999999</v>
      </c>
      <c r="C2" s="6">
        <f>[1]עקיף!$F6</f>
        <v>92.498999999999995</v>
      </c>
      <c r="D2" s="6">
        <f>[1]עקיף!$G6</f>
        <v>610.50199999999995</v>
      </c>
      <c r="E2" s="8">
        <f t="shared" ref="E2:E65" si="0">SUM(C2:D2)</f>
        <v>703.00099999999998</v>
      </c>
    </row>
    <row r="3" spans="1:5" x14ac:dyDescent="0.2">
      <c r="A3" s="26">
        <v>35096</v>
      </c>
      <c r="B3" s="5">
        <f>[1]עקיף!$B7</f>
        <v>1236.473</v>
      </c>
      <c r="C3" s="6">
        <f>[1]עקיף!$F7</f>
        <v>91.480999999999995</v>
      </c>
      <c r="D3" s="6">
        <f>[1]עקיף!$G7</f>
        <v>545.64</v>
      </c>
      <c r="E3" s="8">
        <f t="shared" si="0"/>
        <v>637.12099999999998</v>
      </c>
    </row>
    <row r="4" spans="1:5" x14ac:dyDescent="0.2">
      <c r="A4" s="26">
        <v>35125</v>
      </c>
      <c r="B4" s="5">
        <f>[1]עקיף!$B8</f>
        <v>1283.8420000000001</v>
      </c>
      <c r="C4" s="6">
        <f>[1]עקיף!$F8</f>
        <v>107.24</v>
      </c>
      <c r="D4" s="6">
        <f>[1]עקיף!$G8</f>
        <v>619.37800000000004</v>
      </c>
      <c r="E4" s="8">
        <f t="shared" si="0"/>
        <v>726.61800000000005</v>
      </c>
    </row>
    <row r="5" spans="1:5" x14ac:dyDescent="0.2">
      <c r="A5" s="26">
        <v>35156</v>
      </c>
      <c r="B5" s="5">
        <f>[1]עקיף!$B9</f>
        <v>1341.1</v>
      </c>
      <c r="C5" s="6">
        <f>[1]עקיף!$F9</f>
        <v>79.756</v>
      </c>
      <c r="D5" s="6">
        <f>[1]עקיף!$G9</f>
        <v>525.15099999999995</v>
      </c>
      <c r="E5" s="8">
        <f t="shared" si="0"/>
        <v>604.90699999999993</v>
      </c>
    </row>
    <row r="6" spans="1:5" x14ac:dyDescent="0.2">
      <c r="A6" s="26">
        <v>35186</v>
      </c>
      <c r="B6" s="5">
        <f>[1]עקיף!$B10</f>
        <v>1263.646</v>
      </c>
      <c r="C6" s="6">
        <f>[1]עקיף!$F10</f>
        <v>91.894000000000005</v>
      </c>
      <c r="D6" s="6">
        <f>[1]עקיף!$G10</f>
        <v>623.029</v>
      </c>
      <c r="E6" s="8">
        <f t="shared" si="0"/>
        <v>714.923</v>
      </c>
    </row>
    <row r="7" spans="1:5" x14ac:dyDescent="0.2">
      <c r="A7" s="26">
        <v>35217</v>
      </c>
      <c r="B7" s="5">
        <f>[1]עקיף!$B11</f>
        <v>1250.4110000000001</v>
      </c>
      <c r="C7" s="6">
        <f>[1]עקיף!$F11</f>
        <v>87.793999999999997</v>
      </c>
      <c r="D7" s="6">
        <f>[1]עקיף!$G11</f>
        <v>615.83299999999997</v>
      </c>
      <c r="E7" s="8">
        <f t="shared" si="0"/>
        <v>703.62699999999995</v>
      </c>
    </row>
    <row r="8" spans="1:5" x14ac:dyDescent="0.2">
      <c r="A8" s="26">
        <v>35247</v>
      </c>
      <c r="B8" s="5">
        <f>[1]עקיף!$B12</f>
        <v>1298.6110000000001</v>
      </c>
      <c r="C8" s="6">
        <f>[1]עקיף!$F12</f>
        <v>86.295000000000002</v>
      </c>
      <c r="D8" s="6">
        <f>[1]עקיף!$G12</f>
        <v>516.92899999999997</v>
      </c>
      <c r="E8" s="8">
        <f t="shared" si="0"/>
        <v>603.22399999999993</v>
      </c>
    </row>
    <row r="9" spans="1:5" x14ac:dyDescent="0.2">
      <c r="A9" s="26">
        <v>35278</v>
      </c>
      <c r="B9" s="5">
        <f>[1]עקיף!$B13</f>
        <v>1141.921</v>
      </c>
      <c r="C9" s="6">
        <f>[1]עקיף!$F13</f>
        <v>84.575000000000003</v>
      </c>
      <c r="D9" s="6">
        <f>[1]עקיף!$G13</f>
        <v>530.11</v>
      </c>
      <c r="E9" s="8">
        <f t="shared" si="0"/>
        <v>614.68500000000006</v>
      </c>
    </row>
    <row r="10" spans="1:5" x14ac:dyDescent="0.2">
      <c r="A10" s="26">
        <v>35309</v>
      </c>
      <c r="B10" s="5">
        <f>[1]עקיף!$B14</f>
        <v>1148.82</v>
      </c>
      <c r="C10" s="6">
        <f>[1]עקיף!$F14</f>
        <v>83.608999999999995</v>
      </c>
      <c r="D10" s="6">
        <f>[1]עקיף!$G14</f>
        <v>538.35</v>
      </c>
      <c r="E10" s="8">
        <f t="shared" si="0"/>
        <v>621.95900000000006</v>
      </c>
    </row>
    <row r="11" spans="1:5" x14ac:dyDescent="0.2">
      <c r="A11" s="26">
        <v>35339</v>
      </c>
      <c r="B11" s="5">
        <f>[1]עקיף!$B15</f>
        <v>1329.1559999999999</v>
      </c>
      <c r="C11" s="6">
        <f>[1]עקיף!$F15</f>
        <v>90.082999999999998</v>
      </c>
      <c r="D11" s="6">
        <f>[1]עקיף!$G15</f>
        <v>622.88199999999995</v>
      </c>
      <c r="E11" s="8">
        <f t="shared" si="0"/>
        <v>712.96499999999992</v>
      </c>
    </row>
    <row r="12" spans="1:5" x14ac:dyDescent="0.2">
      <c r="A12" s="26">
        <v>35370</v>
      </c>
      <c r="B12" s="5">
        <f>[1]עקיף!$B16</f>
        <v>1123.8679999999999</v>
      </c>
      <c r="C12" s="6">
        <f>[1]עקיף!$F16</f>
        <v>77.043999999999997</v>
      </c>
      <c r="D12" s="6">
        <f>[1]עקיף!$G16</f>
        <v>534.28099999999995</v>
      </c>
      <c r="E12" s="8">
        <f t="shared" si="0"/>
        <v>611.32499999999993</v>
      </c>
    </row>
    <row r="13" spans="1:5" x14ac:dyDescent="0.2">
      <c r="A13" s="26">
        <v>35400</v>
      </c>
      <c r="B13" s="5">
        <f>[1]עקיף!$B17</f>
        <v>1144.7470000000001</v>
      </c>
      <c r="C13" s="6">
        <f>[1]עקיף!$F17</f>
        <v>87.998000000000005</v>
      </c>
      <c r="D13" s="6">
        <f>[1]עקיף!$G17</f>
        <v>671.83299999999997</v>
      </c>
      <c r="E13" s="8">
        <f t="shared" si="0"/>
        <v>759.83100000000002</v>
      </c>
    </row>
    <row r="14" spans="1:5" x14ac:dyDescent="0.2">
      <c r="A14" s="26">
        <v>35431</v>
      </c>
      <c r="B14" s="5">
        <f>[1]עקיף!$B18</f>
        <v>1228.191</v>
      </c>
      <c r="C14" s="6">
        <f>[1]עקיף!$F18</f>
        <v>99.15</v>
      </c>
      <c r="D14" s="6">
        <f>[1]עקיף!$G18</f>
        <v>512.33900000000006</v>
      </c>
      <c r="E14" s="8">
        <f t="shared" si="0"/>
        <v>611.48900000000003</v>
      </c>
    </row>
    <row r="15" spans="1:5" x14ac:dyDescent="0.2">
      <c r="A15" s="26">
        <v>35462</v>
      </c>
      <c r="B15" s="5">
        <f>[1]עקיף!$B19</f>
        <v>1160.5450000000001</v>
      </c>
      <c r="C15" s="6">
        <f>[1]עקיף!$F19</f>
        <v>89.703999999999994</v>
      </c>
      <c r="D15" s="6">
        <f>[1]עקיף!$G19</f>
        <v>522.452</v>
      </c>
      <c r="E15" s="8">
        <f t="shared" si="0"/>
        <v>612.15599999999995</v>
      </c>
    </row>
    <row r="16" spans="1:5" x14ac:dyDescent="0.2">
      <c r="A16" s="26">
        <v>35490</v>
      </c>
      <c r="B16" s="5">
        <f>[1]עקיף!$B20</f>
        <v>1563.8779999999999</v>
      </c>
      <c r="C16" s="6">
        <f>[1]עקיף!$F20</f>
        <v>118.336</v>
      </c>
      <c r="D16" s="6">
        <f>[1]עקיף!$G20</f>
        <v>660.32299999999998</v>
      </c>
      <c r="E16" s="8">
        <f t="shared" si="0"/>
        <v>778.65899999999999</v>
      </c>
    </row>
    <row r="17" spans="1:5" x14ac:dyDescent="0.2">
      <c r="A17" s="26">
        <v>35521</v>
      </c>
      <c r="B17" s="5">
        <f>[1]עקיף!$B21</f>
        <v>1197.154</v>
      </c>
      <c r="C17" s="6">
        <f>[1]עקיף!$F21</f>
        <v>102.905</v>
      </c>
      <c r="D17" s="6">
        <f>[1]עקיף!$G21</f>
        <v>533.34400000000005</v>
      </c>
      <c r="E17" s="8">
        <f t="shared" si="0"/>
        <v>636.24900000000002</v>
      </c>
    </row>
    <row r="18" spans="1:5" x14ac:dyDescent="0.2">
      <c r="A18" s="26">
        <v>35551</v>
      </c>
      <c r="B18" s="5">
        <f>[1]עקיף!$B22</f>
        <v>1285.5260000000001</v>
      </c>
      <c r="C18" s="6">
        <f>[1]עקיף!$F22</f>
        <v>99.962999999999994</v>
      </c>
      <c r="D18" s="6">
        <f>[1]עקיף!$G22</f>
        <v>614.89800000000002</v>
      </c>
      <c r="E18" s="8">
        <f t="shared" si="0"/>
        <v>714.86099999999999</v>
      </c>
    </row>
    <row r="19" spans="1:5" x14ac:dyDescent="0.2">
      <c r="A19" s="26">
        <v>35582</v>
      </c>
      <c r="B19" s="5">
        <f>[1]עקיף!$B23</f>
        <v>1322.623</v>
      </c>
      <c r="C19" s="6">
        <f>[1]עקיף!$F23</f>
        <v>97.984999999999999</v>
      </c>
      <c r="D19" s="6">
        <f>[1]עקיף!$G23</f>
        <v>792.29700000000003</v>
      </c>
      <c r="E19" s="8">
        <f t="shared" si="0"/>
        <v>890.28200000000004</v>
      </c>
    </row>
    <row r="20" spans="1:5" x14ac:dyDescent="0.2">
      <c r="A20" s="26">
        <v>35612</v>
      </c>
      <c r="B20" s="5">
        <f>[1]עקיף!$B24</f>
        <v>1312.79</v>
      </c>
      <c r="C20" s="6">
        <f>[1]עקיף!$F24</f>
        <v>88.245999999999995</v>
      </c>
      <c r="D20" s="6">
        <f>[1]עקיף!$G24</f>
        <v>471.47</v>
      </c>
      <c r="E20" s="8">
        <f t="shared" si="0"/>
        <v>559.71600000000001</v>
      </c>
    </row>
    <row r="21" spans="1:5" x14ac:dyDescent="0.2">
      <c r="A21" s="26">
        <v>35643</v>
      </c>
      <c r="B21" s="5">
        <f>[1]עקיף!$B25</f>
        <v>1290.248</v>
      </c>
      <c r="C21" s="6">
        <f>[1]עקיף!$F25</f>
        <v>91.991</v>
      </c>
      <c r="D21" s="6">
        <f>[1]עקיף!$G25</f>
        <v>531.49</v>
      </c>
      <c r="E21" s="8">
        <f t="shared" si="0"/>
        <v>623.48099999999999</v>
      </c>
    </row>
    <row r="22" spans="1:5" x14ac:dyDescent="0.2">
      <c r="A22" s="26">
        <v>35674</v>
      </c>
      <c r="B22" s="5">
        <f>[1]עקיף!$B26</f>
        <v>1272.8030000000001</v>
      </c>
      <c r="C22" s="6">
        <f>[1]עקיף!$F26</f>
        <v>101.261</v>
      </c>
      <c r="D22" s="6">
        <f>[1]עקיף!$G26</f>
        <v>547.65200000000004</v>
      </c>
      <c r="E22" s="8">
        <f t="shared" si="0"/>
        <v>648.91300000000001</v>
      </c>
    </row>
    <row r="23" spans="1:5" x14ac:dyDescent="0.2">
      <c r="A23" s="26">
        <v>35704</v>
      </c>
      <c r="B23" s="5">
        <f>[1]עקיף!$B27</f>
        <v>1238.6559999999999</v>
      </c>
      <c r="C23" s="6">
        <f>[1]עקיף!$F27</f>
        <v>80.067999999999998</v>
      </c>
      <c r="D23" s="6">
        <f>[1]עקיף!$G27</f>
        <v>535.5</v>
      </c>
      <c r="E23" s="8">
        <f t="shared" si="0"/>
        <v>615.56799999999998</v>
      </c>
    </row>
    <row r="24" spans="1:5" x14ac:dyDescent="0.2">
      <c r="A24" s="26">
        <v>35735</v>
      </c>
      <c r="B24" s="5">
        <f>[1]עקיף!$B28</f>
        <v>1327.454</v>
      </c>
      <c r="C24" s="6">
        <f>[1]עקיף!$F28</f>
        <v>91.161000000000001</v>
      </c>
      <c r="D24" s="6">
        <f>[1]עקיף!$G28</f>
        <v>610.91</v>
      </c>
      <c r="E24" s="8">
        <f t="shared" si="0"/>
        <v>702.07099999999991</v>
      </c>
    </row>
    <row r="25" spans="1:5" x14ac:dyDescent="0.2">
      <c r="A25" s="26">
        <v>35765</v>
      </c>
      <c r="B25" s="5">
        <f>[1]עקיף!$B29</f>
        <v>1293.6859999999999</v>
      </c>
      <c r="C25" s="6">
        <f>[1]עקיף!$F29</f>
        <v>99.492000000000004</v>
      </c>
      <c r="D25" s="6">
        <f>[1]עקיף!$G29</f>
        <v>814.88599999999997</v>
      </c>
      <c r="E25" s="8">
        <f t="shared" si="0"/>
        <v>914.37799999999993</v>
      </c>
    </row>
    <row r="26" spans="1:5" x14ac:dyDescent="0.2">
      <c r="A26" s="26">
        <v>35796</v>
      </c>
      <c r="B26" s="5">
        <f>[1]עקיף!$B30</f>
        <v>1213.875</v>
      </c>
      <c r="C26" s="6">
        <f>[1]עקיף!$F30</f>
        <v>83.968000000000004</v>
      </c>
      <c r="D26" s="6">
        <f>[1]עקיף!$G30</f>
        <v>452.19799999999998</v>
      </c>
      <c r="E26" s="8">
        <f t="shared" si="0"/>
        <v>536.16599999999994</v>
      </c>
    </row>
    <row r="27" spans="1:5" x14ac:dyDescent="0.2">
      <c r="A27" s="26">
        <v>35827</v>
      </c>
      <c r="B27" s="5">
        <f>[1]עקיף!$B31</f>
        <v>1264.33</v>
      </c>
      <c r="C27" s="6">
        <f>[1]עקיף!$F31</f>
        <v>89.972999999999999</v>
      </c>
      <c r="D27" s="6">
        <f>[1]עקיף!$G31</f>
        <v>483.56299999999999</v>
      </c>
      <c r="E27" s="8">
        <f t="shared" si="0"/>
        <v>573.53599999999994</v>
      </c>
    </row>
    <row r="28" spans="1:5" x14ac:dyDescent="0.2">
      <c r="A28" s="26">
        <v>35855</v>
      </c>
      <c r="B28" s="5">
        <f>[1]עקיף!$B32</f>
        <v>1592.6790000000001</v>
      </c>
      <c r="C28" s="6">
        <f>[1]עקיף!$F32</f>
        <v>114.55</v>
      </c>
      <c r="D28" s="6">
        <f>[1]עקיף!$G32</f>
        <v>703.91700000000003</v>
      </c>
      <c r="E28" s="8">
        <f t="shared" si="0"/>
        <v>818.46699999999998</v>
      </c>
    </row>
    <row r="29" spans="1:5" x14ac:dyDescent="0.2">
      <c r="A29" s="26">
        <v>35886</v>
      </c>
      <c r="B29" s="5">
        <f>[1]עקיף!$B33</f>
        <v>1485.701</v>
      </c>
      <c r="C29" s="6">
        <f>[1]עקיף!$F33</f>
        <v>98.933999999999997</v>
      </c>
      <c r="D29" s="6">
        <f>[1]עקיף!$G33</f>
        <v>663.71400000000006</v>
      </c>
      <c r="E29" s="8">
        <f t="shared" si="0"/>
        <v>762.64800000000002</v>
      </c>
    </row>
    <row r="30" spans="1:5" x14ac:dyDescent="0.2">
      <c r="A30" s="26">
        <v>35916</v>
      </c>
      <c r="B30" s="5">
        <f>[1]עקיף!$B34</f>
        <v>1327.5260000000001</v>
      </c>
      <c r="C30" s="6">
        <f>[1]עקיף!$F34</f>
        <v>86.631</v>
      </c>
      <c r="D30" s="6">
        <f>[1]עקיף!$G34</f>
        <v>510.97399999999999</v>
      </c>
      <c r="E30" s="8">
        <f t="shared" si="0"/>
        <v>597.60500000000002</v>
      </c>
    </row>
    <row r="31" spans="1:5" x14ac:dyDescent="0.2">
      <c r="A31" s="26">
        <v>35947</v>
      </c>
      <c r="B31" s="5">
        <f>[1]עקיף!$B35</f>
        <v>1414.5</v>
      </c>
      <c r="C31" s="6">
        <f>[1]עקיף!$F35</f>
        <v>94.703999999999994</v>
      </c>
      <c r="D31" s="6">
        <f>[1]עקיף!$G35</f>
        <v>722.60400000000004</v>
      </c>
      <c r="E31" s="8">
        <f t="shared" si="0"/>
        <v>817.30799999999999</v>
      </c>
    </row>
    <row r="32" spans="1:5" x14ac:dyDescent="0.2">
      <c r="A32" s="26">
        <v>35977</v>
      </c>
      <c r="B32" s="5">
        <f>[1]עקיף!$B36</f>
        <v>1394.1479999999999</v>
      </c>
      <c r="C32" s="6">
        <f>[1]עקיף!$F36</f>
        <v>88.603999999999999</v>
      </c>
      <c r="D32" s="6">
        <f>[1]עקיף!$G36</f>
        <v>524.24699999999996</v>
      </c>
      <c r="E32" s="8">
        <f t="shared" si="0"/>
        <v>612.851</v>
      </c>
    </row>
    <row r="33" spans="1:5" x14ac:dyDescent="0.2">
      <c r="A33" s="26">
        <v>36008</v>
      </c>
      <c r="B33" s="5">
        <f>[1]עקיף!$B37</f>
        <v>1381.1949999999999</v>
      </c>
      <c r="C33" s="6">
        <f>[1]עקיף!$F37</f>
        <v>109.208</v>
      </c>
      <c r="D33" s="6">
        <f>[1]עקיף!$G37</f>
        <v>666.68299999999999</v>
      </c>
      <c r="E33" s="8">
        <f t="shared" si="0"/>
        <v>775.89099999999996</v>
      </c>
    </row>
    <row r="34" spans="1:5" x14ac:dyDescent="0.2">
      <c r="A34" s="26">
        <v>36039</v>
      </c>
      <c r="B34" s="5">
        <f>[1]עקיף!$B38</f>
        <v>1220.4870000000001</v>
      </c>
      <c r="C34" s="6">
        <f>[1]עקיף!$F38</f>
        <v>94.954999999999998</v>
      </c>
      <c r="D34" s="6">
        <f>[1]עקיף!$G38</f>
        <v>601.59699999999998</v>
      </c>
      <c r="E34" s="8">
        <f t="shared" si="0"/>
        <v>696.55200000000002</v>
      </c>
    </row>
    <row r="35" spans="1:5" x14ac:dyDescent="0.2">
      <c r="A35" s="26">
        <v>36069</v>
      </c>
      <c r="B35" s="5">
        <f>[1]עקיף!$B39</f>
        <v>1504.047</v>
      </c>
      <c r="C35" s="6">
        <f>[1]עקיף!$F39</f>
        <v>112.16200000000001</v>
      </c>
      <c r="D35" s="6">
        <f>[1]עקיף!$G39</f>
        <v>796.35299999999995</v>
      </c>
      <c r="E35" s="8">
        <f t="shared" si="0"/>
        <v>908.51499999999999</v>
      </c>
    </row>
    <row r="36" spans="1:5" x14ac:dyDescent="0.2">
      <c r="A36" s="26">
        <v>36100</v>
      </c>
      <c r="B36" s="5">
        <f>[1]עקיף!$B40</f>
        <v>1567.385</v>
      </c>
      <c r="C36" s="6">
        <f>[1]עקיף!$F40</f>
        <v>99.929000000000002</v>
      </c>
      <c r="D36" s="6">
        <f>[1]עקיף!$G40</f>
        <v>534.82399999999996</v>
      </c>
      <c r="E36" s="8">
        <f t="shared" si="0"/>
        <v>634.75299999999993</v>
      </c>
    </row>
    <row r="37" spans="1:5" x14ac:dyDescent="0.2">
      <c r="A37" s="26">
        <v>36130</v>
      </c>
      <c r="B37" s="5">
        <f>[1]עקיף!$B41</f>
        <v>1582.51</v>
      </c>
      <c r="C37" s="6">
        <f>[1]עקיף!$F41</f>
        <v>97.933999999999997</v>
      </c>
      <c r="D37" s="6">
        <f>[1]עקיף!$G41</f>
        <v>654.673</v>
      </c>
      <c r="E37" s="8">
        <f t="shared" si="0"/>
        <v>752.60699999999997</v>
      </c>
    </row>
    <row r="38" spans="1:5" x14ac:dyDescent="0.2">
      <c r="A38" s="26">
        <v>36161</v>
      </c>
      <c r="B38" s="5">
        <f>[1]עקיף!$B42</f>
        <v>1348.308</v>
      </c>
      <c r="C38" s="6">
        <f>[1]עקיף!$F42</f>
        <v>89.68</v>
      </c>
      <c r="D38" s="6">
        <f>[1]עקיף!$G42</f>
        <v>493.935</v>
      </c>
      <c r="E38" s="8">
        <f t="shared" si="0"/>
        <v>583.61500000000001</v>
      </c>
    </row>
    <row r="39" spans="1:5" x14ac:dyDescent="0.2">
      <c r="A39" s="26">
        <v>36192</v>
      </c>
      <c r="B39" s="5">
        <f>[1]עקיף!$B43</f>
        <v>1440.075</v>
      </c>
      <c r="C39" s="6">
        <f>[1]עקיף!$F43</f>
        <v>119.511</v>
      </c>
      <c r="D39" s="6">
        <f>[1]עקיף!$G43</f>
        <v>669.27800000000002</v>
      </c>
      <c r="E39" s="8">
        <f t="shared" si="0"/>
        <v>788.78899999999999</v>
      </c>
    </row>
    <row r="40" spans="1:5" x14ac:dyDescent="0.2">
      <c r="A40" s="26">
        <v>36220</v>
      </c>
      <c r="B40" s="5">
        <f>[1]עקיף!$B44</f>
        <v>1720.76</v>
      </c>
      <c r="C40" s="6">
        <f>[1]עקיף!$F44</f>
        <v>125.297</v>
      </c>
      <c r="D40" s="6">
        <f>[1]עקיף!$G44</f>
        <v>807.25300000000004</v>
      </c>
      <c r="E40" s="8">
        <f t="shared" si="0"/>
        <v>932.55000000000007</v>
      </c>
    </row>
    <row r="41" spans="1:5" x14ac:dyDescent="0.2">
      <c r="A41" s="26">
        <v>36251</v>
      </c>
      <c r="B41" s="5">
        <f>[1]עקיף!$B45</f>
        <v>1476.703</v>
      </c>
      <c r="C41" s="6">
        <f>[1]עקיף!$F45</f>
        <v>105.376</v>
      </c>
      <c r="D41" s="6">
        <f>[1]עקיף!$G45</f>
        <v>599.54600000000005</v>
      </c>
      <c r="E41" s="8">
        <f t="shared" si="0"/>
        <v>704.92200000000003</v>
      </c>
    </row>
    <row r="42" spans="1:5" x14ac:dyDescent="0.2">
      <c r="A42" s="26">
        <v>36281</v>
      </c>
      <c r="B42" s="5">
        <f>[1]עקיף!$B46</f>
        <v>1490.0160000000001</v>
      </c>
      <c r="C42" s="6">
        <f>[1]עקיף!$F46</f>
        <v>99.744</v>
      </c>
      <c r="D42" s="6">
        <f>[1]עקיף!$G46</f>
        <v>589.75699999999995</v>
      </c>
      <c r="E42" s="8">
        <f t="shared" si="0"/>
        <v>689.50099999999998</v>
      </c>
    </row>
    <row r="43" spans="1:5" x14ac:dyDescent="0.2">
      <c r="A43" s="26">
        <v>36312</v>
      </c>
      <c r="B43" s="5">
        <f>[1]עקיף!$B47</f>
        <v>1614.1410000000001</v>
      </c>
      <c r="C43" s="6">
        <f>[1]עקיף!$F47</f>
        <v>100.16200000000001</v>
      </c>
      <c r="D43" s="6">
        <f>[1]עקיף!$G47</f>
        <v>702.24199999999996</v>
      </c>
      <c r="E43" s="8">
        <f t="shared" si="0"/>
        <v>802.404</v>
      </c>
    </row>
    <row r="44" spans="1:5" x14ac:dyDescent="0.2">
      <c r="A44" s="26">
        <v>36342</v>
      </c>
      <c r="B44" s="5">
        <f>[1]עקיף!$B48</f>
        <v>1568.5809999999999</v>
      </c>
      <c r="C44" s="6">
        <f>[1]עקיף!$F48</f>
        <v>104.048</v>
      </c>
      <c r="D44" s="6">
        <f>[1]עקיף!$G48</f>
        <v>683.84900000000005</v>
      </c>
      <c r="E44" s="8">
        <f t="shared" si="0"/>
        <v>787.89700000000005</v>
      </c>
    </row>
    <row r="45" spans="1:5" x14ac:dyDescent="0.2">
      <c r="A45" s="26">
        <v>36373</v>
      </c>
      <c r="B45" s="5">
        <f>[1]עקיף!$B49</f>
        <v>1919.896</v>
      </c>
      <c r="C45" s="6">
        <f>[1]עקיף!$F49</f>
        <v>134.16300000000001</v>
      </c>
      <c r="D45" s="6">
        <f>[1]עקיף!$G49</f>
        <v>913.72400000000005</v>
      </c>
      <c r="E45" s="8">
        <f t="shared" si="0"/>
        <v>1047.8870000000002</v>
      </c>
    </row>
    <row r="46" spans="1:5" x14ac:dyDescent="0.2">
      <c r="A46" s="26">
        <v>36404</v>
      </c>
      <c r="B46" s="5">
        <f>[1]עקיף!$B50</f>
        <v>1458.344383483867</v>
      </c>
      <c r="C46" s="6">
        <f>[1]עקיף!$F50</f>
        <v>124.729</v>
      </c>
      <c r="D46" s="6">
        <f>[1]עקיף!$G50</f>
        <v>697.154</v>
      </c>
      <c r="E46" s="8">
        <f t="shared" si="0"/>
        <v>821.88300000000004</v>
      </c>
    </row>
    <row r="47" spans="1:5" x14ac:dyDescent="0.2">
      <c r="A47" s="26">
        <v>36434</v>
      </c>
      <c r="B47" s="5">
        <f>[1]עקיף!$B51</f>
        <v>1650.2750000000001</v>
      </c>
      <c r="C47" s="6">
        <f>[1]עקיף!$F51</f>
        <v>110.49</v>
      </c>
      <c r="D47" s="6">
        <f>[1]עקיף!$G51</f>
        <v>703.83500000000004</v>
      </c>
      <c r="E47" s="8">
        <f t="shared" si="0"/>
        <v>814.32500000000005</v>
      </c>
    </row>
    <row r="48" spans="1:5" x14ac:dyDescent="0.2">
      <c r="A48" s="26">
        <v>36465</v>
      </c>
      <c r="B48" s="5">
        <f>[1]עקיף!$B52</f>
        <v>1911.011</v>
      </c>
      <c r="C48" s="6">
        <f>[1]עקיף!$F52</f>
        <v>111.092</v>
      </c>
      <c r="D48" s="6">
        <f>[1]עקיף!$G52</f>
        <v>848.745</v>
      </c>
      <c r="E48" s="8">
        <f t="shared" si="0"/>
        <v>959.83699999999999</v>
      </c>
    </row>
    <row r="49" spans="1:5" x14ac:dyDescent="0.2">
      <c r="A49" s="26">
        <v>36495</v>
      </c>
      <c r="B49" s="5">
        <f>[1]עקיף!$B53</f>
        <v>1838.5630000000001</v>
      </c>
      <c r="C49" s="6">
        <f>[1]עקיף!$F53</f>
        <v>120.75700000000001</v>
      </c>
      <c r="D49" s="6">
        <f>[1]עקיף!$G53</f>
        <v>776.37800000000004</v>
      </c>
      <c r="E49" s="8">
        <f t="shared" si="0"/>
        <v>897.13499999999999</v>
      </c>
    </row>
    <row r="50" spans="1:5" x14ac:dyDescent="0.2">
      <c r="A50" s="26">
        <v>36526</v>
      </c>
      <c r="B50" s="5">
        <f>[1]עקיף!$B54</f>
        <v>1554.6489999999999</v>
      </c>
      <c r="C50" s="6">
        <f>[1]עקיף!$F54</f>
        <v>79.891999999999996</v>
      </c>
      <c r="D50" s="6">
        <f>[1]עקיף!$G54</f>
        <v>651.15300000000002</v>
      </c>
      <c r="E50" s="8">
        <f t="shared" si="0"/>
        <v>731.04500000000007</v>
      </c>
    </row>
    <row r="51" spans="1:5" x14ac:dyDescent="0.2">
      <c r="A51" s="26">
        <v>36557</v>
      </c>
      <c r="B51" s="5">
        <f>[1]עקיף!$B55</f>
        <v>1731.0940000000001</v>
      </c>
      <c r="C51" s="6">
        <f>[1]עקיף!$F55</f>
        <v>109.96899999999999</v>
      </c>
      <c r="D51" s="6">
        <f>[1]עקיף!$G55</f>
        <v>839.01199999999994</v>
      </c>
      <c r="E51" s="8">
        <f t="shared" si="0"/>
        <v>948.98099999999999</v>
      </c>
    </row>
    <row r="52" spans="1:5" x14ac:dyDescent="0.2">
      <c r="A52" s="26">
        <v>36586</v>
      </c>
      <c r="B52" s="5">
        <f>[1]עקיף!$B56</f>
        <v>1925.665</v>
      </c>
      <c r="C52" s="6">
        <f>[1]עקיף!$F56</f>
        <v>137.68899999999999</v>
      </c>
      <c r="D52" s="6">
        <f>[1]עקיף!$G56</f>
        <v>891.00900000000001</v>
      </c>
      <c r="E52" s="8">
        <f t="shared" si="0"/>
        <v>1028.6980000000001</v>
      </c>
    </row>
    <row r="53" spans="1:5" x14ac:dyDescent="0.2">
      <c r="A53" s="26">
        <v>36617</v>
      </c>
      <c r="B53" s="5">
        <f>[1]עקיף!$B57</f>
        <v>1700.191</v>
      </c>
      <c r="C53" s="6">
        <f>[1]עקיף!$F57</f>
        <v>111.282</v>
      </c>
      <c r="D53" s="6">
        <f>[1]עקיף!$G57</f>
        <v>761.41700000000003</v>
      </c>
      <c r="E53" s="8">
        <f t="shared" si="0"/>
        <v>872.69900000000007</v>
      </c>
    </row>
    <row r="54" spans="1:5" x14ac:dyDescent="0.2">
      <c r="A54" s="26">
        <v>36647</v>
      </c>
      <c r="B54" s="5">
        <f>[1]עקיף!$B58</f>
        <v>1904.7190000000001</v>
      </c>
      <c r="C54" s="6">
        <f>[1]עקיף!$F58</f>
        <v>136.934</v>
      </c>
      <c r="D54" s="6">
        <f>[1]עקיף!$G58</f>
        <v>771.33600000000001</v>
      </c>
      <c r="E54" s="8">
        <f t="shared" si="0"/>
        <v>908.27</v>
      </c>
    </row>
    <row r="55" spans="1:5" x14ac:dyDescent="0.2">
      <c r="A55" s="26">
        <v>36678</v>
      </c>
      <c r="B55" s="5">
        <f>[1]עקיף!$B59</f>
        <v>1753.66</v>
      </c>
      <c r="C55" s="6">
        <f>[1]עקיף!$F59</f>
        <v>117.005</v>
      </c>
      <c r="D55" s="6">
        <f>[1]עקיף!$G59</f>
        <v>838.65800000000002</v>
      </c>
      <c r="E55" s="8">
        <f t="shared" si="0"/>
        <v>955.66300000000001</v>
      </c>
    </row>
    <row r="56" spans="1:5" x14ac:dyDescent="0.2">
      <c r="A56" s="26">
        <v>36708</v>
      </c>
      <c r="B56" s="5">
        <f>[1]עקיף!$B60</f>
        <v>1997.7570000000001</v>
      </c>
      <c r="C56" s="6">
        <f>[1]עקיף!$F60</f>
        <v>120.91500000000001</v>
      </c>
      <c r="D56" s="6">
        <f>[1]עקיף!$G60</f>
        <v>835.34299999999996</v>
      </c>
      <c r="E56" s="8">
        <f t="shared" si="0"/>
        <v>956.25799999999992</v>
      </c>
    </row>
    <row r="57" spans="1:5" x14ac:dyDescent="0.2">
      <c r="A57" s="26">
        <v>36739</v>
      </c>
      <c r="B57" s="5">
        <f>[1]עקיף!$B61</f>
        <v>2001.373</v>
      </c>
      <c r="C57" s="6">
        <f>[1]עקיף!$F61</f>
        <v>132.179</v>
      </c>
      <c r="D57" s="6">
        <f>[1]עקיף!$G61</f>
        <v>893.61</v>
      </c>
      <c r="E57" s="8">
        <f t="shared" si="0"/>
        <v>1025.789</v>
      </c>
    </row>
    <row r="58" spans="1:5" x14ac:dyDescent="0.2">
      <c r="A58" s="26">
        <v>36770</v>
      </c>
      <c r="B58" s="5">
        <f>[1]עקיף!$B62</f>
        <v>1734.972</v>
      </c>
      <c r="C58" s="6">
        <f>[1]עקיף!$F62</f>
        <v>119.41800000000001</v>
      </c>
      <c r="D58" s="6">
        <f>[1]עקיף!$G62</f>
        <v>663.31299999999999</v>
      </c>
      <c r="E58" s="8">
        <f t="shared" si="0"/>
        <v>782.73099999999999</v>
      </c>
    </row>
    <row r="59" spans="1:5" x14ac:dyDescent="0.2">
      <c r="A59" s="26">
        <v>36800</v>
      </c>
      <c r="B59" s="5">
        <f>[1]עקיף!$B63</f>
        <v>1945.2470000000001</v>
      </c>
      <c r="C59" s="6">
        <f>[1]עקיף!$F63</f>
        <v>119.55800000000001</v>
      </c>
      <c r="D59" s="6">
        <f>[1]עקיף!$G63</f>
        <v>710.65099999999995</v>
      </c>
      <c r="E59" s="8">
        <f t="shared" si="0"/>
        <v>830.20899999999995</v>
      </c>
    </row>
    <row r="60" spans="1:5" x14ac:dyDescent="0.2">
      <c r="A60" s="26">
        <v>36831</v>
      </c>
      <c r="B60" s="5">
        <f>[1]עקיף!$B64</f>
        <v>1965.1769999999999</v>
      </c>
      <c r="C60" s="6">
        <f>[1]עקיף!$F64</f>
        <v>116.32</v>
      </c>
      <c r="D60" s="6">
        <f>[1]עקיף!$G64</f>
        <v>772.125</v>
      </c>
      <c r="E60" s="8">
        <f t="shared" si="0"/>
        <v>888.44499999999994</v>
      </c>
    </row>
    <row r="61" spans="1:5" x14ac:dyDescent="0.2">
      <c r="A61" s="26">
        <v>36861</v>
      </c>
      <c r="B61" s="5">
        <f>[1]עקיף!$B65</f>
        <v>1685.625</v>
      </c>
      <c r="C61" s="6">
        <f>[1]עקיף!$F65</f>
        <v>119.633</v>
      </c>
      <c r="D61" s="6">
        <f>[1]עקיף!$G65</f>
        <v>781.78099999999995</v>
      </c>
      <c r="E61" s="8">
        <f t="shared" si="0"/>
        <v>901.41399999999999</v>
      </c>
    </row>
    <row r="62" spans="1:5" x14ac:dyDescent="0.2">
      <c r="A62" s="26">
        <v>36892</v>
      </c>
      <c r="B62" s="5">
        <f>[1]עקיף!$B66</f>
        <v>1806.6420000000001</v>
      </c>
      <c r="C62" s="6">
        <f>[1]עקיף!$F66</f>
        <v>103.499</v>
      </c>
      <c r="D62" s="6">
        <f>[1]עקיף!$G66</f>
        <v>820.41300000000001</v>
      </c>
      <c r="E62" s="8">
        <f t="shared" si="0"/>
        <v>923.91200000000003</v>
      </c>
    </row>
    <row r="63" spans="1:5" x14ac:dyDescent="0.2">
      <c r="A63" s="26">
        <v>36923</v>
      </c>
      <c r="B63" s="5">
        <f>[1]עקיף!$B67</f>
        <v>1782.095</v>
      </c>
      <c r="C63" s="6">
        <f>[1]עקיף!$F67</f>
        <v>130.428</v>
      </c>
      <c r="D63" s="6">
        <f>[1]עקיף!$G67</f>
        <v>720.99699999999996</v>
      </c>
      <c r="E63" s="8">
        <f t="shared" si="0"/>
        <v>851.42499999999995</v>
      </c>
    </row>
    <row r="64" spans="1:5" x14ac:dyDescent="0.2">
      <c r="A64" s="26">
        <v>36951</v>
      </c>
      <c r="B64" s="5">
        <f>[1]עקיף!$B68</f>
        <v>1877.3779999999999</v>
      </c>
      <c r="C64" s="6">
        <f>[1]עקיף!$F68</f>
        <v>136.87799999999999</v>
      </c>
      <c r="D64" s="6">
        <f>[1]עקיף!$G68</f>
        <v>860.81500000000005</v>
      </c>
      <c r="E64" s="8">
        <f t="shared" si="0"/>
        <v>997.69299999999998</v>
      </c>
    </row>
    <row r="65" spans="1:5" x14ac:dyDescent="0.2">
      <c r="A65" s="26">
        <v>36982</v>
      </c>
      <c r="B65" s="5">
        <f>[1]עקיף!$B69</f>
        <v>1773.3489999999999</v>
      </c>
      <c r="C65" s="6">
        <f>[1]עקיף!$F69</f>
        <v>121.02800000000001</v>
      </c>
      <c r="D65" s="6">
        <f>[1]עקיף!$G69</f>
        <v>585.22900000000004</v>
      </c>
      <c r="E65" s="8">
        <f t="shared" si="0"/>
        <v>706.25700000000006</v>
      </c>
    </row>
    <row r="66" spans="1:5" x14ac:dyDescent="0.2">
      <c r="A66" s="26">
        <v>37012</v>
      </c>
      <c r="B66" s="5">
        <f>[1]עקיף!$B70</f>
        <v>1741.125</v>
      </c>
      <c r="C66" s="6">
        <f>[1]עקיף!$F70</f>
        <v>116.592</v>
      </c>
      <c r="D66" s="6">
        <f>[1]עקיף!$G70</f>
        <v>716.23599999999999</v>
      </c>
      <c r="E66" s="8">
        <f t="shared" ref="E66:E129" si="1">SUM(C66:D66)</f>
        <v>832.82799999999997</v>
      </c>
    </row>
    <row r="67" spans="1:5" x14ac:dyDescent="0.2">
      <c r="A67" s="26">
        <v>37043</v>
      </c>
      <c r="B67" s="5">
        <f>[1]עקיף!$B71</f>
        <v>1492.297</v>
      </c>
      <c r="C67" s="6">
        <f>[1]עקיף!$F71</f>
        <v>90.396000000000001</v>
      </c>
      <c r="D67" s="6">
        <f>[1]עקיף!$G71</f>
        <v>690.26700000000005</v>
      </c>
      <c r="E67" s="8">
        <f t="shared" si="1"/>
        <v>780.66300000000001</v>
      </c>
    </row>
    <row r="68" spans="1:5" x14ac:dyDescent="0.2">
      <c r="A68" s="26">
        <v>37073</v>
      </c>
      <c r="B68" s="5">
        <f>[1]עקיף!$B72</f>
        <v>1833.0640000000001</v>
      </c>
      <c r="C68" s="6">
        <f>[1]עקיף!$F72</f>
        <v>121.41</v>
      </c>
      <c r="D68" s="6">
        <f>[1]עקיף!$G72</f>
        <v>851.34900000000005</v>
      </c>
      <c r="E68" s="8">
        <f t="shared" si="1"/>
        <v>972.75900000000001</v>
      </c>
    </row>
    <row r="69" spans="1:5" x14ac:dyDescent="0.2">
      <c r="A69" s="26">
        <v>37104</v>
      </c>
      <c r="B69" s="5">
        <f>[1]עקיף!$B73</f>
        <v>1764.7080000000001</v>
      </c>
      <c r="C69" s="6">
        <f>[1]עקיף!$F73</f>
        <v>123.155</v>
      </c>
      <c r="D69" s="6">
        <f>[1]עקיף!$G73</f>
        <v>801.85299999999995</v>
      </c>
      <c r="E69" s="8">
        <f t="shared" si="1"/>
        <v>925.00799999999992</v>
      </c>
    </row>
    <row r="70" spans="1:5" x14ac:dyDescent="0.2">
      <c r="A70" s="26">
        <v>37135</v>
      </c>
      <c r="B70" s="5">
        <f>[1]עקיף!$B74</f>
        <v>1500.501</v>
      </c>
      <c r="C70" s="6">
        <f>[1]עקיף!$F74</f>
        <v>104.97499999999999</v>
      </c>
      <c r="D70" s="6">
        <f>[1]עקיף!$G74</f>
        <v>618.57600000000002</v>
      </c>
      <c r="E70" s="8">
        <f t="shared" si="1"/>
        <v>723.55100000000004</v>
      </c>
    </row>
    <row r="71" spans="1:5" x14ac:dyDescent="0.2">
      <c r="A71" s="26">
        <v>37165</v>
      </c>
      <c r="B71" s="5">
        <f>[1]עקיף!$B75</f>
        <v>1558.741</v>
      </c>
      <c r="C71" s="6">
        <f>[1]עקיף!$F75</f>
        <v>102.191</v>
      </c>
      <c r="D71" s="6">
        <f>[1]עקיף!$G75</f>
        <v>658.58600000000001</v>
      </c>
      <c r="E71" s="8">
        <f t="shared" si="1"/>
        <v>760.77700000000004</v>
      </c>
    </row>
    <row r="72" spans="1:5" x14ac:dyDescent="0.2">
      <c r="A72" s="26">
        <v>37196</v>
      </c>
      <c r="B72" s="5">
        <f>[1]עקיף!$B76</f>
        <v>1582.0889999999999</v>
      </c>
      <c r="C72" s="6">
        <f>[1]עקיף!$F76</f>
        <v>106.806</v>
      </c>
      <c r="D72" s="6">
        <f>[1]עקיף!$G76</f>
        <v>668.197</v>
      </c>
      <c r="E72" s="8">
        <f t="shared" si="1"/>
        <v>775.00300000000004</v>
      </c>
    </row>
    <row r="73" spans="1:5" x14ac:dyDescent="0.2">
      <c r="A73" s="26">
        <v>37226</v>
      </c>
      <c r="B73" s="5">
        <f>[1]עקיף!$B77</f>
        <v>1680.096</v>
      </c>
      <c r="C73" s="6">
        <f>[1]עקיף!$F77</f>
        <v>99.212999999999994</v>
      </c>
      <c r="D73" s="6">
        <f>[1]עקיף!$G77</f>
        <v>826.83799999999997</v>
      </c>
      <c r="E73" s="8">
        <f t="shared" si="1"/>
        <v>926.05099999999993</v>
      </c>
    </row>
    <row r="74" spans="1:5" x14ac:dyDescent="0.2">
      <c r="A74" s="26">
        <v>37257</v>
      </c>
      <c r="B74" s="5">
        <f>[1]עקיף!$B78</f>
        <v>1927.6590000000001</v>
      </c>
      <c r="C74" s="6">
        <f>[1]עקיף!$F78</f>
        <v>116.922</v>
      </c>
      <c r="D74" s="6">
        <f>[1]עקיף!$G78</f>
        <v>969.70899999999995</v>
      </c>
      <c r="E74" s="8">
        <f t="shared" si="1"/>
        <v>1086.6309999999999</v>
      </c>
    </row>
    <row r="75" spans="1:5" x14ac:dyDescent="0.2">
      <c r="A75" s="26">
        <v>37288</v>
      </c>
      <c r="B75" s="5">
        <f>[1]עקיף!$B79</f>
        <v>1680.491</v>
      </c>
      <c r="C75" s="6">
        <f>[1]עקיף!$F79</f>
        <v>119.813</v>
      </c>
      <c r="D75" s="6">
        <f>[1]עקיף!$G79</f>
        <v>631.58199999999999</v>
      </c>
      <c r="E75" s="8">
        <f t="shared" si="1"/>
        <v>751.39499999999998</v>
      </c>
    </row>
    <row r="76" spans="1:5" x14ac:dyDescent="0.2">
      <c r="A76" s="26">
        <v>37316</v>
      </c>
      <c r="B76" s="5">
        <f>[1]עקיף!$B80</f>
        <v>1668.6969999999999</v>
      </c>
      <c r="C76" s="6">
        <f>[1]עקיף!$F80</f>
        <v>126.44</v>
      </c>
      <c r="D76" s="6">
        <f>[1]עקיף!$G80</f>
        <v>634.93299999999999</v>
      </c>
      <c r="E76" s="8">
        <f t="shared" si="1"/>
        <v>761.37300000000005</v>
      </c>
    </row>
    <row r="77" spans="1:5" x14ac:dyDescent="0.2">
      <c r="A77" s="26">
        <v>37347</v>
      </c>
      <c r="B77" s="5">
        <f>[1]עקיף!$B81</f>
        <v>1753.3230000000001</v>
      </c>
      <c r="C77" s="6">
        <f>[1]עקיף!$F81</f>
        <v>111.458</v>
      </c>
      <c r="D77" s="6">
        <f>[1]עקיף!$G81</f>
        <v>825.39499999999998</v>
      </c>
      <c r="E77" s="8">
        <f t="shared" si="1"/>
        <v>936.85299999999995</v>
      </c>
    </row>
    <row r="78" spans="1:5" x14ac:dyDescent="0.2">
      <c r="A78" s="26">
        <v>37377</v>
      </c>
      <c r="B78" s="5">
        <f>[1]עקיף!$B82</f>
        <v>1897.807</v>
      </c>
      <c r="C78" s="6">
        <f>[1]עקיף!$F82</f>
        <v>116.327</v>
      </c>
      <c r="D78" s="6">
        <f>[1]עקיף!$G82</f>
        <v>674.25900000000001</v>
      </c>
      <c r="E78" s="8">
        <f t="shared" si="1"/>
        <v>790.58600000000001</v>
      </c>
    </row>
    <row r="79" spans="1:5" x14ac:dyDescent="0.2">
      <c r="A79" s="26">
        <v>37408</v>
      </c>
      <c r="B79" s="5">
        <f>[1]עקיף!$B83</f>
        <v>1918.204</v>
      </c>
      <c r="C79" s="6">
        <f>[1]עקיף!$F83</f>
        <v>103.973</v>
      </c>
      <c r="D79" s="6">
        <f>[1]עקיף!$G83</f>
        <v>810.87900000000002</v>
      </c>
      <c r="E79" s="8">
        <f t="shared" si="1"/>
        <v>914.85199999999998</v>
      </c>
    </row>
    <row r="80" spans="1:5" x14ac:dyDescent="0.2">
      <c r="A80" s="26">
        <v>37438</v>
      </c>
      <c r="B80" s="5">
        <f>[1]עקיף!$B84</f>
        <v>2022.6310000000001</v>
      </c>
      <c r="C80" s="6">
        <f>[1]עקיף!$F84</f>
        <v>121.517</v>
      </c>
      <c r="D80" s="6">
        <f>[1]עקיף!$G84</f>
        <v>678.90300000000002</v>
      </c>
      <c r="E80" s="8">
        <f t="shared" si="1"/>
        <v>800.42000000000007</v>
      </c>
    </row>
    <row r="81" spans="1:5" x14ac:dyDescent="0.2">
      <c r="A81" s="26">
        <v>37469</v>
      </c>
      <c r="B81" s="5">
        <f>[1]עקיף!$B85</f>
        <v>1840.09</v>
      </c>
      <c r="C81" s="6">
        <f>[1]עקיף!$F85</f>
        <v>131.41800000000001</v>
      </c>
      <c r="D81" s="6">
        <f>[1]עקיף!$G85</f>
        <v>715.58900000000006</v>
      </c>
      <c r="E81" s="8">
        <f t="shared" si="1"/>
        <v>847.00700000000006</v>
      </c>
    </row>
    <row r="82" spans="1:5" x14ac:dyDescent="0.2">
      <c r="A82" s="26">
        <v>37500</v>
      </c>
      <c r="B82" s="5">
        <f>[1]עקיף!$B86</f>
        <v>1807.712</v>
      </c>
      <c r="C82" s="6">
        <f>[1]עקיף!$F86</f>
        <v>125.139</v>
      </c>
      <c r="D82" s="6">
        <f>[1]עקיף!$G86</f>
        <v>649.76800000000003</v>
      </c>
      <c r="E82" s="8">
        <f t="shared" si="1"/>
        <v>774.90700000000004</v>
      </c>
    </row>
    <row r="83" spans="1:5" x14ac:dyDescent="0.2">
      <c r="A83" s="26">
        <v>37530</v>
      </c>
      <c r="B83" s="5">
        <f>[1]עקיף!$B87</f>
        <v>2014.865</v>
      </c>
      <c r="C83" s="6">
        <f>[1]עקיף!$F87</f>
        <v>118.893</v>
      </c>
      <c r="D83" s="6">
        <f>[1]עקיף!$G87</f>
        <v>749.11599999999999</v>
      </c>
      <c r="E83" s="8">
        <f t="shared" si="1"/>
        <v>868.00900000000001</v>
      </c>
    </row>
    <row r="84" spans="1:5" x14ac:dyDescent="0.2">
      <c r="A84" s="26">
        <v>37561</v>
      </c>
      <c r="B84" s="5">
        <f>[1]עקיף!$B88</f>
        <v>1641.279</v>
      </c>
      <c r="C84" s="6">
        <f>[1]עקיף!$F88</f>
        <v>95.094999999999999</v>
      </c>
      <c r="D84" s="6">
        <f>[1]עקיף!$G88</f>
        <v>663.94899999999996</v>
      </c>
      <c r="E84" s="8">
        <f t="shared" si="1"/>
        <v>759.04399999999998</v>
      </c>
    </row>
    <row r="85" spans="1:5" x14ac:dyDescent="0.2">
      <c r="A85" s="26">
        <v>37591</v>
      </c>
      <c r="B85" s="5">
        <f>[1]עקיף!$B89</f>
        <v>1998.4110000000001</v>
      </c>
      <c r="C85" s="6">
        <f>[1]עקיף!$F89</f>
        <v>115.122</v>
      </c>
      <c r="D85" s="6">
        <f>[1]עקיף!$G89</f>
        <v>864.61</v>
      </c>
      <c r="E85" s="8">
        <f t="shared" si="1"/>
        <v>979.73199999999997</v>
      </c>
    </row>
    <row r="86" spans="1:5" x14ac:dyDescent="0.2">
      <c r="A86" s="26">
        <v>37622</v>
      </c>
      <c r="B86" s="5">
        <f>[1]עקיף!$B90</f>
        <v>1863</v>
      </c>
      <c r="C86" s="6">
        <f>[1]עקיף!$F90</f>
        <v>98.89</v>
      </c>
      <c r="D86" s="6">
        <f>[1]עקיף!$G90</f>
        <v>614.56799999999998</v>
      </c>
      <c r="E86" s="8">
        <f t="shared" si="1"/>
        <v>713.45799999999997</v>
      </c>
    </row>
    <row r="87" spans="1:5" x14ac:dyDescent="0.2">
      <c r="A87" s="26">
        <v>37653</v>
      </c>
      <c r="B87" s="5">
        <f>[1]עקיף!$B91</f>
        <v>1755.162</v>
      </c>
      <c r="C87" s="6">
        <f>[1]עקיף!$F91</f>
        <v>110.19499999999999</v>
      </c>
      <c r="D87" s="6">
        <f>[1]עקיף!$G91</f>
        <v>611.31700000000001</v>
      </c>
      <c r="E87" s="8">
        <f t="shared" si="1"/>
        <v>721.51199999999994</v>
      </c>
    </row>
    <row r="88" spans="1:5" x14ac:dyDescent="0.2">
      <c r="A88" s="26">
        <v>37681</v>
      </c>
      <c r="B88" s="5">
        <f>[1]עקיף!$B92</f>
        <v>2211.1570000000002</v>
      </c>
      <c r="C88" s="6">
        <f>[1]עקיף!$F92</f>
        <v>116.33799999999999</v>
      </c>
      <c r="D88" s="6">
        <f>[1]עקיף!$G92</f>
        <v>717.54300000000001</v>
      </c>
      <c r="E88" s="8">
        <f t="shared" si="1"/>
        <v>833.88099999999997</v>
      </c>
    </row>
    <row r="89" spans="1:5" x14ac:dyDescent="0.2">
      <c r="A89" s="26">
        <v>37712</v>
      </c>
      <c r="B89" s="5">
        <f>[1]עקיף!$B93</f>
        <v>1805.5170000000001</v>
      </c>
      <c r="C89" s="6">
        <f>[1]עקיף!$F93</f>
        <v>113.548</v>
      </c>
      <c r="D89" s="6">
        <f>[1]עקיף!$G93</f>
        <v>606.88800000000003</v>
      </c>
      <c r="E89" s="8">
        <f t="shared" si="1"/>
        <v>720.43600000000004</v>
      </c>
    </row>
    <row r="90" spans="1:5" x14ac:dyDescent="0.2">
      <c r="A90" s="26">
        <v>37742</v>
      </c>
      <c r="B90" s="5">
        <f>[1]עקיף!$B94</f>
        <v>1734.4169999999999</v>
      </c>
      <c r="C90" s="6">
        <f>[1]עקיף!$F94</f>
        <v>106.5</v>
      </c>
      <c r="D90" s="6">
        <f>[1]עקיף!$G94</f>
        <v>670.89099999999996</v>
      </c>
      <c r="E90" s="8">
        <f t="shared" si="1"/>
        <v>777.39099999999996</v>
      </c>
    </row>
    <row r="91" spans="1:5" x14ac:dyDescent="0.2">
      <c r="A91" s="26">
        <v>37773</v>
      </c>
      <c r="B91" s="5">
        <f>[1]עקיף!$B95</f>
        <v>1926.636</v>
      </c>
      <c r="C91" s="6">
        <f>[1]עקיף!$F95</f>
        <v>103.322</v>
      </c>
      <c r="D91" s="6">
        <f>[1]עקיף!$G95</f>
        <v>741.81399999999996</v>
      </c>
      <c r="E91" s="8">
        <f t="shared" si="1"/>
        <v>845.13599999999997</v>
      </c>
    </row>
    <row r="92" spans="1:5" x14ac:dyDescent="0.2">
      <c r="A92" s="26">
        <v>37803</v>
      </c>
      <c r="B92" s="5">
        <f>[1]עקיף!$B96</f>
        <v>1948.2619999999999</v>
      </c>
      <c r="C92" s="6">
        <f>[1]עקיף!$F96</f>
        <v>113.893</v>
      </c>
      <c r="D92" s="6">
        <f>[1]עקיף!$G96</f>
        <v>815.02200000000005</v>
      </c>
      <c r="E92" s="8">
        <f t="shared" si="1"/>
        <v>928.91500000000008</v>
      </c>
    </row>
    <row r="93" spans="1:5" x14ac:dyDescent="0.2">
      <c r="A93" s="26">
        <v>37834</v>
      </c>
      <c r="B93" s="5">
        <f>[1]עקיף!$B97</f>
        <v>1762.9469999999999</v>
      </c>
      <c r="C93" s="6">
        <f>[1]עקיף!$F97</f>
        <v>121.54600000000001</v>
      </c>
      <c r="D93" s="6">
        <f>[1]עקיף!$G97</f>
        <v>739.28899999999999</v>
      </c>
      <c r="E93" s="8">
        <f t="shared" si="1"/>
        <v>860.83500000000004</v>
      </c>
    </row>
    <row r="94" spans="1:5" x14ac:dyDescent="0.2">
      <c r="A94" s="26">
        <v>37865</v>
      </c>
      <c r="B94" s="5">
        <f>[1]עקיף!$B98</f>
        <v>1913.538</v>
      </c>
      <c r="C94" s="6">
        <f>[1]עקיף!$F98</f>
        <v>144.00700000000001</v>
      </c>
      <c r="D94" s="6">
        <f>[1]עקיף!$G98</f>
        <v>806.55399999999997</v>
      </c>
      <c r="E94" s="8">
        <f t="shared" si="1"/>
        <v>950.56099999999992</v>
      </c>
    </row>
    <row r="95" spans="1:5" x14ac:dyDescent="0.2">
      <c r="A95" s="26">
        <v>37895</v>
      </c>
      <c r="B95" s="5">
        <f>[1]עקיף!$B99</f>
        <v>1844</v>
      </c>
      <c r="C95" s="6">
        <f>[1]עקיף!$F99</f>
        <v>124</v>
      </c>
      <c r="D95" s="6">
        <f>[1]עקיף!$G99</f>
        <v>811</v>
      </c>
      <c r="E95" s="8">
        <f t="shared" si="1"/>
        <v>935</v>
      </c>
    </row>
    <row r="96" spans="1:5" x14ac:dyDescent="0.2">
      <c r="A96" s="26">
        <v>37926</v>
      </c>
      <c r="B96" s="5">
        <f>[1]עקיף!$B100</f>
        <v>1941</v>
      </c>
      <c r="C96" s="6">
        <f>[1]עקיף!$F100</f>
        <v>110</v>
      </c>
      <c r="D96" s="6">
        <f>[1]עקיף!$G100</f>
        <v>739</v>
      </c>
      <c r="E96" s="8">
        <f t="shared" si="1"/>
        <v>849</v>
      </c>
    </row>
    <row r="97" spans="1:5" x14ac:dyDescent="0.2">
      <c r="A97" s="26">
        <v>37956</v>
      </c>
      <c r="B97" s="5">
        <f>[1]עקיף!$B101</f>
        <v>2152</v>
      </c>
      <c r="C97" s="6">
        <f>[1]עקיף!$F101</f>
        <v>136</v>
      </c>
      <c r="D97" s="6">
        <f>[1]עקיף!$G101</f>
        <v>918</v>
      </c>
      <c r="E97" s="8">
        <f t="shared" si="1"/>
        <v>1054</v>
      </c>
    </row>
    <row r="98" spans="1:5" x14ac:dyDescent="0.2">
      <c r="A98" s="26">
        <v>37987</v>
      </c>
      <c r="B98" s="5">
        <f>[1]עקיף!$B102</f>
        <v>2053</v>
      </c>
      <c r="C98" s="6">
        <f>[1]עקיף!$F102</f>
        <v>97</v>
      </c>
      <c r="D98" s="6">
        <f>[1]עקיף!$G102</f>
        <v>863</v>
      </c>
      <c r="E98" s="8">
        <f t="shared" si="1"/>
        <v>960</v>
      </c>
    </row>
    <row r="99" spans="1:5" x14ac:dyDescent="0.2">
      <c r="A99" s="26">
        <v>38018</v>
      </c>
      <c r="B99" s="5">
        <f>[1]עקיף!$B103</f>
        <v>2105</v>
      </c>
      <c r="C99" s="6">
        <f>[1]עקיף!$F103</f>
        <v>134</v>
      </c>
      <c r="D99" s="6">
        <f>[1]עקיף!$G103</f>
        <v>744</v>
      </c>
      <c r="E99" s="8">
        <f t="shared" si="1"/>
        <v>878</v>
      </c>
    </row>
    <row r="100" spans="1:5" x14ac:dyDescent="0.2">
      <c r="A100" s="26">
        <v>38047</v>
      </c>
      <c r="B100" s="5">
        <f>[1]עקיף!$B104</f>
        <v>2261</v>
      </c>
      <c r="C100" s="6">
        <f>[1]עקיף!$F104</f>
        <v>149</v>
      </c>
      <c r="D100" s="6">
        <f>[1]עקיף!$G104</f>
        <v>834</v>
      </c>
      <c r="E100" s="8">
        <f t="shared" si="1"/>
        <v>983</v>
      </c>
    </row>
    <row r="101" spans="1:5" x14ac:dyDescent="0.2">
      <c r="A101" s="26">
        <v>38078</v>
      </c>
      <c r="B101" s="5">
        <f>[1]עקיף!$B105</f>
        <v>1893</v>
      </c>
      <c r="C101" s="6">
        <f>[1]עקיף!$F105</f>
        <v>99</v>
      </c>
      <c r="D101" s="6">
        <f>[1]עקיף!$G105</f>
        <v>429</v>
      </c>
      <c r="E101" s="8">
        <f t="shared" si="1"/>
        <v>528</v>
      </c>
    </row>
    <row r="102" spans="1:5" x14ac:dyDescent="0.2">
      <c r="A102" s="26">
        <v>38108</v>
      </c>
      <c r="B102" s="5">
        <f>[1]עקיף!$B106</f>
        <v>2496</v>
      </c>
      <c r="C102" s="6">
        <f>[1]עקיף!$F106</f>
        <v>162</v>
      </c>
      <c r="D102" s="6">
        <f>[1]עקיף!$G106</f>
        <v>1187</v>
      </c>
      <c r="E102" s="8">
        <f t="shared" si="1"/>
        <v>1349</v>
      </c>
    </row>
    <row r="103" spans="1:5" x14ac:dyDescent="0.2">
      <c r="A103" s="26">
        <v>38139</v>
      </c>
      <c r="B103" s="5">
        <f>[1]עקיף!$B107</f>
        <v>2120</v>
      </c>
      <c r="C103" s="6">
        <f>[1]עקיף!$F107</f>
        <v>131</v>
      </c>
      <c r="D103" s="6">
        <f>[1]עקיף!$G107</f>
        <v>918</v>
      </c>
      <c r="E103" s="8">
        <f t="shared" si="1"/>
        <v>1049</v>
      </c>
    </row>
    <row r="104" spans="1:5" x14ac:dyDescent="0.2">
      <c r="A104" s="26">
        <v>38169</v>
      </c>
      <c r="B104" s="5">
        <f>[1]עקיף!$B108</f>
        <v>1751</v>
      </c>
      <c r="C104" s="6">
        <f>[1]עקיף!$F108</f>
        <v>89</v>
      </c>
      <c r="D104" s="6">
        <f>[1]עקיף!$G108</f>
        <v>771</v>
      </c>
      <c r="E104" s="8">
        <f t="shared" si="1"/>
        <v>860</v>
      </c>
    </row>
    <row r="105" spans="1:5" x14ac:dyDescent="0.2">
      <c r="A105" s="26">
        <v>38200</v>
      </c>
      <c r="B105" s="5">
        <f>[1]עקיף!$B109</f>
        <v>2580</v>
      </c>
      <c r="C105" s="6">
        <f>[1]עקיף!$F109</f>
        <v>171</v>
      </c>
      <c r="D105" s="6">
        <f>[1]עקיף!$G109</f>
        <v>1108</v>
      </c>
      <c r="E105" s="8">
        <f t="shared" si="1"/>
        <v>1279</v>
      </c>
    </row>
    <row r="106" spans="1:5" x14ac:dyDescent="0.2">
      <c r="A106" s="26">
        <v>38231</v>
      </c>
      <c r="B106" s="5">
        <f>[1]עקיף!$B110</f>
        <v>1958</v>
      </c>
      <c r="C106" s="6">
        <f>[1]עקיף!$F110</f>
        <v>147</v>
      </c>
      <c r="D106" s="6">
        <f>[1]עקיף!$G110</f>
        <v>603</v>
      </c>
      <c r="E106" s="8">
        <f t="shared" si="1"/>
        <v>750</v>
      </c>
    </row>
    <row r="107" spans="1:5" x14ac:dyDescent="0.2">
      <c r="A107" s="26">
        <v>38261</v>
      </c>
      <c r="B107" s="5">
        <f>[1]עקיף!$B111</f>
        <v>2444</v>
      </c>
      <c r="C107" s="6">
        <f>[1]עקיף!$F111</f>
        <v>158</v>
      </c>
      <c r="D107" s="6">
        <f>[1]עקיף!$G111</f>
        <v>885</v>
      </c>
      <c r="E107" s="8">
        <f t="shared" si="1"/>
        <v>1043</v>
      </c>
    </row>
    <row r="108" spans="1:5" x14ac:dyDescent="0.2">
      <c r="A108" s="26">
        <v>38292</v>
      </c>
      <c r="B108" s="5">
        <f>[1]עקיף!$B112</f>
        <v>2165</v>
      </c>
      <c r="C108" s="6">
        <f>[1]עקיף!$F112</f>
        <v>137</v>
      </c>
      <c r="D108" s="6">
        <f>[1]עקיף!$G112</f>
        <v>876</v>
      </c>
      <c r="E108" s="8">
        <f t="shared" si="1"/>
        <v>1013</v>
      </c>
    </row>
    <row r="109" spans="1:5" x14ac:dyDescent="0.2">
      <c r="A109" s="26">
        <v>38322</v>
      </c>
      <c r="B109" s="5">
        <f>[1]עקיף!$B113</f>
        <v>2327</v>
      </c>
      <c r="C109" s="6">
        <f>[1]עקיף!$F113</f>
        <v>123.6</v>
      </c>
      <c r="D109" s="6">
        <f>[1]עקיף!$G113</f>
        <v>1054</v>
      </c>
      <c r="E109" s="8">
        <f t="shared" si="1"/>
        <v>1177.5999999999999</v>
      </c>
    </row>
    <row r="110" spans="1:5" x14ac:dyDescent="0.2">
      <c r="A110" s="26">
        <v>38353</v>
      </c>
      <c r="B110" s="5">
        <f>[1]עקיף!$B114</f>
        <v>2222</v>
      </c>
      <c r="C110" s="6">
        <f>[1]עקיף!$F114</f>
        <v>126</v>
      </c>
      <c r="D110" s="6">
        <f>[1]עקיף!$G114</f>
        <v>800</v>
      </c>
      <c r="E110" s="8">
        <f t="shared" si="1"/>
        <v>926</v>
      </c>
    </row>
    <row r="111" spans="1:5" x14ac:dyDescent="0.2">
      <c r="A111" s="26">
        <v>38384</v>
      </c>
      <c r="B111" s="5">
        <f>[1]עקיף!$B115</f>
        <v>2056</v>
      </c>
      <c r="C111" s="6">
        <f>[1]עקיף!$F115</f>
        <v>134</v>
      </c>
      <c r="D111" s="6">
        <f>[1]עקיף!$G115</f>
        <v>710</v>
      </c>
      <c r="E111" s="8">
        <f t="shared" si="1"/>
        <v>844</v>
      </c>
    </row>
    <row r="112" spans="1:5" x14ac:dyDescent="0.2">
      <c r="A112" s="26">
        <v>38412</v>
      </c>
      <c r="B112" s="5">
        <f>[1]עקיף!$B116</f>
        <v>2433</v>
      </c>
      <c r="C112" s="6">
        <f>[1]עקיף!$F116</f>
        <v>148</v>
      </c>
      <c r="D112" s="6">
        <f>[1]עקיף!$G116</f>
        <v>784</v>
      </c>
      <c r="E112" s="8">
        <f t="shared" si="1"/>
        <v>932</v>
      </c>
    </row>
    <row r="113" spans="1:5" x14ac:dyDescent="0.2">
      <c r="A113" s="26">
        <v>38443</v>
      </c>
      <c r="B113" s="5">
        <f>[1]עקיף!$B117</f>
        <v>2002</v>
      </c>
      <c r="C113" s="6">
        <f>[1]עקיף!$F117</f>
        <v>127</v>
      </c>
      <c r="D113" s="6">
        <f>[1]עקיף!$G117</f>
        <v>633</v>
      </c>
      <c r="E113" s="8">
        <f t="shared" si="1"/>
        <v>760</v>
      </c>
    </row>
    <row r="114" spans="1:5" x14ac:dyDescent="0.2">
      <c r="A114" s="26">
        <v>38473</v>
      </c>
      <c r="B114" s="5">
        <f>[1]עקיף!$B118</f>
        <v>2807</v>
      </c>
      <c r="C114" s="6">
        <f>[1]עקיף!$F118</f>
        <v>184</v>
      </c>
      <c r="D114" s="6">
        <f>[1]עקיף!$G118</f>
        <v>1302</v>
      </c>
      <c r="E114" s="8">
        <f t="shared" si="1"/>
        <v>1486</v>
      </c>
    </row>
    <row r="115" spans="1:5" x14ac:dyDescent="0.2">
      <c r="A115" s="26">
        <v>38504</v>
      </c>
      <c r="B115" s="5">
        <f>[1]עקיף!$B119</f>
        <v>2280</v>
      </c>
      <c r="C115" s="6">
        <f>[1]עקיף!$F119</f>
        <v>136</v>
      </c>
      <c r="D115" s="6">
        <f>[1]עקיף!$G119</f>
        <v>995</v>
      </c>
      <c r="E115" s="8">
        <f t="shared" si="1"/>
        <v>1131</v>
      </c>
    </row>
    <row r="116" spans="1:5" x14ac:dyDescent="0.2">
      <c r="A116" s="26">
        <v>38534</v>
      </c>
      <c r="B116" s="5">
        <f>[1]עקיף!$B120</f>
        <v>2446</v>
      </c>
      <c r="C116" s="6">
        <f>[1]עקיף!$F120</f>
        <v>133</v>
      </c>
      <c r="D116" s="6">
        <f>[1]עקיף!$G120</f>
        <v>996</v>
      </c>
      <c r="E116" s="8">
        <f t="shared" si="1"/>
        <v>1129</v>
      </c>
    </row>
    <row r="117" spans="1:5" x14ac:dyDescent="0.2">
      <c r="A117" s="26">
        <v>38565</v>
      </c>
      <c r="B117" s="5">
        <f>[1]עקיף!$B121</f>
        <v>2726</v>
      </c>
      <c r="C117" s="6">
        <f>[1]עקיף!$F121</f>
        <v>178</v>
      </c>
      <c r="D117" s="6">
        <f>[1]עקיף!$G121</f>
        <v>1132</v>
      </c>
      <c r="E117" s="8">
        <f t="shared" si="1"/>
        <v>1310</v>
      </c>
    </row>
    <row r="118" spans="1:5" x14ac:dyDescent="0.2">
      <c r="A118" s="26">
        <v>38596</v>
      </c>
      <c r="B118" s="5">
        <f>[1]עקיף!$B122</f>
        <v>2516</v>
      </c>
      <c r="C118" s="6">
        <f>[1]עקיף!$F122</f>
        <v>168</v>
      </c>
      <c r="D118" s="6">
        <f>[1]עקיף!$G122</f>
        <v>805</v>
      </c>
      <c r="E118" s="8">
        <f t="shared" si="1"/>
        <v>973</v>
      </c>
    </row>
    <row r="119" spans="1:5" x14ac:dyDescent="0.2">
      <c r="A119" s="26">
        <v>38626</v>
      </c>
      <c r="B119" s="5">
        <f>[1]עקיף!$B123</f>
        <v>2220</v>
      </c>
      <c r="C119" s="6">
        <f>[1]עקיף!$F123</f>
        <v>120</v>
      </c>
      <c r="D119" s="6">
        <f>[1]עקיף!$G123</f>
        <v>667</v>
      </c>
      <c r="E119" s="8">
        <f t="shared" si="1"/>
        <v>787</v>
      </c>
    </row>
    <row r="120" spans="1:5" x14ac:dyDescent="0.2">
      <c r="A120" s="26">
        <v>38657</v>
      </c>
      <c r="B120" s="5">
        <f>[1]עקיף!$B124</f>
        <v>2352</v>
      </c>
      <c r="C120" s="6">
        <f>[1]עקיף!$F124</f>
        <v>161</v>
      </c>
      <c r="D120" s="6">
        <f>[1]עקיף!$G124</f>
        <v>915</v>
      </c>
      <c r="E120" s="8">
        <f t="shared" si="1"/>
        <v>1076</v>
      </c>
    </row>
    <row r="121" spans="1:5" x14ac:dyDescent="0.2">
      <c r="A121" s="26">
        <v>38687</v>
      </c>
      <c r="B121" s="5">
        <f>[1]עקיף!$B125</f>
        <v>2339</v>
      </c>
      <c r="C121" s="6">
        <f>[1]עקיף!$F125</f>
        <v>150</v>
      </c>
      <c r="D121" s="6">
        <f>[1]עקיף!$G125</f>
        <v>1056</v>
      </c>
      <c r="E121" s="8">
        <f t="shared" si="1"/>
        <v>1206</v>
      </c>
    </row>
    <row r="122" spans="1:5" x14ac:dyDescent="0.2">
      <c r="A122" s="26">
        <v>38718</v>
      </c>
      <c r="B122" s="5">
        <f>[1]עקיף!$B126</f>
        <v>2740</v>
      </c>
      <c r="C122" s="6">
        <f>[1]עקיף!$F126</f>
        <v>157</v>
      </c>
      <c r="D122" s="6">
        <f>[1]עקיף!$G126</f>
        <v>1146</v>
      </c>
      <c r="E122" s="8">
        <f t="shared" si="1"/>
        <v>1303</v>
      </c>
    </row>
    <row r="123" spans="1:5" x14ac:dyDescent="0.2">
      <c r="A123" s="26">
        <v>38749</v>
      </c>
      <c r="B123" s="5">
        <f>[1]עקיף!$B127</f>
        <v>2378</v>
      </c>
      <c r="C123" s="6">
        <f>[1]עקיף!$F127</f>
        <v>160</v>
      </c>
      <c r="D123" s="6">
        <f>[1]עקיף!$G127</f>
        <v>777</v>
      </c>
      <c r="E123" s="8">
        <f t="shared" si="1"/>
        <v>937</v>
      </c>
    </row>
    <row r="124" spans="1:5" x14ac:dyDescent="0.2">
      <c r="A124" s="26">
        <v>38777</v>
      </c>
      <c r="B124" s="5">
        <f>[1]עקיף!$B128</f>
        <v>2552</v>
      </c>
      <c r="C124" s="6">
        <f>[1]עקיף!$F128</f>
        <v>155</v>
      </c>
      <c r="D124" s="6">
        <f>[1]עקיף!$G128</f>
        <v>716</v>
      </c>
      <c r="E124" s="8">
        <f t="shared" si="1"/>
        <v>871</v>
      </c>
    </row>
    <row r="125" spans="1:5" x14ac:dyDescent="0.2">
      <c r="A125" s="26">
        <v>38808</v>
      </c>
      <c r="B125" s="5">
        <f>[1]עקיף!$B129</f>
        <v>2420</v>
      </c>
      <c r="C125" s="6">
        <f>[1]עקיף!$F129</f>
        <v>158</v>
      </c>
      <c r="D125" s="6">
        <f>[1]עקיף!$G129</f>
        <v>741</v>
      </c>
      <c r="E125" s="8">
        <f t="shared" si="1"/>
        <v>899</v>
      </c>
    </row>
    <row r="126" spans="1:5" x14ac:dyDescent="0.2">
      <c r="A126" s="26">
        <v>38838</v>
      </c>
      <c r="B126" s="5">
        <f>[1]עקיף!$B130</f>
        <v>2812</v>
      </c>
      <c r="C126" s="6">
        <f>[1]עקיף!$F130</f>
        <v>201</v>
      </c>
      <c r="D126" s="6">
        <f>[1]עקיף!$G130</f>
        <v>1160</v>
      </c>
      <c r="E126" s="8">
        <f t="shared" si="1"/>
        <v>1361</v>
      </c>
    </row>
    <row r="127" spans="1:5" x14ac:dyDescent="0.2">
      <c r="A127" s="26">
        <v>38869</v>
      </c>
      <c r="B127" s="5">
        <f>[1]עקיף!$B131</f>
        <v>2521</v>
      </c>
      <c r="C127" s="6">
        <f>[1]עקיף!$F131</f>
        <v>135</v>
      </c>
      <c r="D127" s="6">
        <f>[1]עקיף!$G131</f>
        <v>889</v>
      </c>
      <c r="E127" s="8">
        <f t="shared" si="1"/>
        <v>1024</v>
      </c>
    </row>
    <row r="128" spans="1:5" x14ac:dyDescent="0.2">
      <c r="A128" s="26">
        <v>38899</v>
      </c>
      <c r="B128" s="5">
        <f>[1]עקיף!$B132</f>
        <v>2364</v>
      </c>
      <c r="C128" s="6">
        <f>[1]עקיף!$F132</f>
        <v>153</v>
      </c>
      <c r="D128" s="6">
        <f>[1]עקיף!$G132</f>
        <v>1082</v>
      </c>
      <c r="E128" s="8">
        <f t="shared" si="1"/>
        <v>1235</v>
      </c>
    </row>
    <row r="129" spans="1:5" x14ac:dyDescent="0.2">
      <c r="A129" s="26">
        <v>38930</v>
      </c>
      <c r="B129" s="5">
        <f>[1]עקיף!$B133</f>
        <v>2748</v>
      </c>
      <c r="C129" s="6">
        <f>[1]עקיף!$F133</f>
        <v>196</v>
      </c>
      <c r="D129" s="6">
        <f>[1]עקיף!$G133</f>
        <v>957</v>
      </c>
      <c r="E129" s="8">
        <f t="shared" si="1"/>
        <v>1153</v>
      </c>
    </row>
    <row r="130" spans="1:5" x14ac:dyDescent="0.2">
      <c r="A130" s="26">
        <v>38961</v>
      </c>
      <c r="B130" s="5">
        <f>[1]עקיף!$B134</f>
        <v>2131</v>
      </c>
      <c r="C130" s="6">
        <f>[1]עקיף!$F134</f>
        <v>140</v>
      </c>
      <c r="D130" s="6">
        <f>[1]עקיף!$G134</f>
        <v>822</v>
      </c>
      <c r="E130" s="8">
        <f t="shared" ref="E130:E193" si="2">SUM(C130:D130)</f>
        <v>962</v>
      </c>
    </row>
    <row r="131" spans="1:5" x14ac:dyDescent="0.2">
      <c r="A131" s="26">
        <v>38991</v>
      </c>
      <c r="B131" s="5">
        <f>[1]עקיף!$B135</f>
        <v>2540</v>
      </c>
      <c r="C131" s="6">
        <f>[1]עקיף!$F135</f>
        <v>182</v>
      </c>
      <c r="D131" s="6">
        <f>[1]עקיף!$G135</f>
        <v>943</v>
      </c>
      <c r="E131" s="8">
        <f t="shared" si="2"/>
        <v>1125</v>
      </c>
    </row>
    <row r="132" spans="1:5" x14ac:dyDescent="0.2">
      <c r="A132" s="26">
        <v>39022</v>
      </c>
      <c r="B132" s="5">
        <f>[1]עקיף!$B136</f>
        <v>2249</v>
      </c>
      <c r="C132" s="6">
        <f>[1]עקיף!$F136</f>
        <v>136</v>
      </c>
      <c r="D132" s="6">
        <f>[1]עקיף!$G136</f>
        <v>924</v>
      </c>
      <c r="E132" s="8">
        <f t="shared" si="2"/>
        <v>1060</v>
      </c>
    </row>
    <row r="133" spans="1:5" x14ac:dyDescent="0.2">
      <c r="A133" s="26">
        <v>39052</v>
      </c>
      <c r="B133" s="5">
        <f>[1]עקיף!$B137</f>
        <v>2405</v>
      </c>
      <c r="C133" s="6">
        <f>[1]עקיף!$F137</f>
        <v>124</v>
      </c>
      <c r="D133" s="6">
        <f>[1]עקיף!$G137</f>
        <v>757</v>
      </c>
      <c r="E133" s="8">
        <f t="shared" si="2"/>
        <v>881</v>
      </c>
    </row>
    <row r="134" spans="1:5" x14ac:dyDescent="0.2">
      <c r="A134" s="26">
        <v>39083</v>
      </c>
      <c r="B134" s="5">
        <f>[1]עקיף!$B138</f>
        <v>2517</v>
      </c>
      <c r="C134" s="6">
        <f>[1]עקיף!$F138</f>
        <v>161</v>
      </c>
      <c r="D134" s="6">
        <f>[1]עקיף!$G138</f>
        <v>1247</v>
      </c>
      <c r="E134" s="8">
        <f t="shared" si="2"/>
        <v>1408</v>
      </c>
    </row>
    <row r="135" spans="1:5" x14ac:dyDescent="0.2">
      <c r="A135" s="26">
        <v>39114</v>
      </c>
      <c r="B135" s="5">
        <f>[1]עקיף!$B139</f>
        <v>2356</v>
      </c>
      <c r="C135" s="6">
        <f>[1]עקיף!$F139</f>
        <v>180</v>
      </c>
      <c r="D135" s="6">
        <f>[1]עקיף!$G139</f>
        <v>1119</v>
      </c>
      <c r="E135" s="8">
        <f t="shared" si="2"/>
        <v>1299</v>
      </c>
    </row>
    <row r="136" spans="1:5" x14ac:dyDescent="0.2">
      <c r="A136" s="26">
        <v>39142</v>
      </c>
      <c r="B136" s="5">
        <f>[1]עקיף!$B140</f>
        <v>2446</v>
      </c>
      <c r="C136" s="6">
        <f>[1]עקיף!$F140</f>
        <v>181</v>
      </c>
      <c r="D136" s="6">
        <f>[1]עקיף!$G140</f>
        <v>858</v>
      </c>
      <c r="E136" s="8">
        <f t="shared" si="2"/>
        <v>1039</v>
      </c>
    </row>
    <row r="137" spans="1:5" x14ac:dyDescent="0.2">
      <c r="A137" s="26">
        <v>39173</v>
      </c>
      <c r="B137" s="5">
        <f>[1]עקיף!$B141</f>
        <v>2303</v>
      </c>
      <c r="C137" s="6">
        <f>[1]עקיף!$F141</f>
        <v>132</v>
      </c>
      <c r="D137" s="6">
        <f>[1]עקיף!$G141</f>
        <v>582</v>
      </c>
      <c r="E137" s="8">
        <f t="shared" si="2"/>
        <v>714</v>
      </c>
    </row>
    <row r="138" spans="1:5" x14ac:dyDescent="0.2">
      <c r="A138" s="26">
        <v>39203</v>
      </c>
      <c r="B138" s="5">
        <f>[1]עקיף!$B142</f>
        <v>2692</v>
      </c>
      <c r="C138" s="6">
        <f>[1]עקיף!$F142</f>
        <v>193</v>
      </c>
      <c r="D138" s="6">
        <f>[1]עקיף!$G142</f>
        <v>1455</v>
      </c>
      <c r="E138" s="8">
        <f t="shared" si="2"/>
        <v>1648</v>
      </c>
    </row>
    <row r="139" spans="1:5" x14ac:dyDescent="0.2">
      <c r="A139" s="26">
        <v>39234</v>
      </c>
      <c r="B139" s="5">
        <f>[1]עקיף!$B143</f>
        <v>2665</v>
      </c>
      <c r="C139" s="6">
        <f>[1]עקיף!$F143</f>
        <v>187</v>
      </c>
      <c r="D139" s="6">
        <f>[1]עקיף!$G143</f>
        <v>1367</v>
      </c>
      <c r="E139" s="8">
        <f t="shared" si="2"/>
        <v>1554</v>
      </c>
    </row>
    <row r="140" spans="1:5" x14ac:dyDescent="0.2">
      <c r="A140" s="26">
        <v>39264</v>
      </c>
      <c r="B140" s="5">
        <f>[1]עקיף!$B144</f>
        <v>3028</v>
      </c>
      <c r="C140" s="6">
        <f>[1]עקיף!$F144</f>
        <v>207</v>
      </c>
      <c r="D140" s="6">
        <f>[1]עקיף!$G144</f>
        <v>1379</v>
      </c>
      <c r="E140" s="8">
        <f t="shared" si="2"/>
        <v>1586</v>
      </c>
    </row>
    <row r="141" spans="1:5" x14ac:dyDescent="0.2">
      <c r="A141" s="26">
        <v>39295</v>
      </c>
      <c r="B141" s="5">
        <f>[1]עקיף!$B145</f>
        <v>3057</v>
      </c>
      <c r="C141" s="6">
        <f>[1]עקיף!$F145</f>
        <v>240</v>
      </c>
      <c r="D141" s="6">
        <f>[1]עקיף!$G145</f>
        <v>1252</v>
      </c>
      <c r="E141" s="8">
        <f t="shared" si="2"/>
        <v>1492</v>
      </c>
    </row>
    <row r="142" spans="1:5" x14ac:dyDescent="0.2">
      <c r="A142" s="26">
        <v>39326</v>
      </c>
      <c r="B142" s="5">
        <f>[1]עקיף!$B146</f>
        <v>2381</v>
      </c>
      <c r="C142" s="6">
        <f>[1]עקיף!$F146</f>
        <v>187</v>
      </c>
      <c r="D142" s="6">
        <f>[1]עקיף!$G146</f>
        <v>851</v>
      </c>
      <c r="E142" s="8">
        <f t="shared" si="2"/>
        <v>1038</v>
      </c>
    </row>
    <row r="143" spans="1:5" x14ac:dyDescent="0.2">
      <c r="A143" s="26">
        <v>39356</v>
      </c>
      <c r="B143" s="5">
        <f>[1]עקיף!$B147</f>
        <v>2940</v>
      </c>
      <c r="C143" s="6">
        <f>[1]עקיף!$F147</f>
        <v>219</v>
      </c>
      <c r="D143" s="6">
        <f>[1]עקיף!$G147</f>
        <v>1134</v>
      </c>
      <c r="E143" s="8">
        <f t="shared" si="2"/>
        <v>1353</v>
      </c>
    </row>
    <row r="144" spans="1:5" x14ac:dyDescent="0.2">
      <c r="A144" s="26">
        <v>39387</v>
      </c>
      <c r="B144" s="5">
        <f>[1]עקיף!$B148</f>
        <v>2730</v>
      </c>
      <c r="C144" s="6">
        <f>[1]עקיף!$F148</f>
        <v>166</v>
      </c>
      <c r="D144" s="6">
        <f>[1]עקיף!$G148</f>
        <v>982</v>
      </c>
      <c r="E144" s="8">
        <f t="shared" si="2"/>
        <v>1148</v>
      </c>
    </row>
    <row r="145" spans="1:5" x14ac:dyDescent="0.2">
      <c r="A145" s="26">
        <v>39417</v>
      </c>
      <c r="B145" s="5">
        <f>[1]עקיף!$B149</f>
        <v>2955</v>
      </c>
      <c r="C145" s="6">
        <f>[1]עקיף!$F149</f>
        <v>168</v>
      </c>
      <c r="D145" s="6">
        <f>[1]עקיף!$G149</f>
        <v>1074</v>
      </c>
      <c r="E145" s="8">
        <f t="shared" si="2"/>
        <v>1242</v>
      </c>
    </row>
    <row r="146" spans="1:5" x14ac:dyDescent="0.2">
      <c r="A146" s="26">
        <v>39448</v>
      </c>
      <c r="B146" s="5">
        <f>[1]עקיף!$B150</f>
        <v>3089</v>
      </c>
      <c r="C146" s="6">
        <f>[1]עקיף!$F150</f>
        <v>233.6</v>
      </c>
      <c r="D146" s="6">
        <f>[1]עקיף!$G150</f>
        <v>1453.7</v>
      </c>
      <c r="E146" s="8">
        <f t="shared" si="2"/>
        <v>1687.3</v>
      </c>
    </row>
    <row r="147" spans="1:5" x14ac:dyDescent="0.2">
      <c r="A147" s="26">
        <v>39479</v>
      </c>
      <c r="B147" s="5">
        <f>[1]עקיף!$B151</f>
        <v>2628</v>
      </c>
      <c r="C147" s="6">
        <f>[1]עקיף!$F151</f>
        <v>210</v>
      </c>
      <c r="D147" s="6">
        <f>[1]עקיף!$G151</f>
        <v>1177</v>
      </c>
      <c r="E147" s="8">
        <f t="shared" si="2"/>
        <v>1387</v>
      </c>
    </row>
    <row r="148" spans="1:5" x14ac:dyDescent="0.2">
      <c r="A148" s="26">
        <v>39508</v>
      </c>
      <c r="B148" s="5">
        <f>[1]עקיף!$B152</f>
        <v>3121</v>
      </c>
      <c r="C148" s="6">
        <f>[1]עקיף!$F152</f>
        <v>219</v>
      </c>
      <c r="D148" s="6">
        <f>[1]עקיף!$G152</f>
        <v>1221</v>
      </c>
      <c r="E148" s="8">
        <f t="shared" si="2"/>
        <v>1440</v>
      </c>
    </row>
    <row r="149" spans="1:5" x14ac:dyDescent="0.2">
      <c r="A149" s="26">
        <v>39539</v>
      </c>
      <c r="B149" s="5">
        <f>[1]עקיף!$B153</f>
        <v>2813</v>
      </c>
      <c r="C149" s="6">
        <f>[1]עקיף!$F153</f>
        <v>192</v>
      </c>
      <c r="D149" s="6">
        <f>[1]עקיף!$G153</f>
        <v>1098</v>
      </c>
      <c r="E149" s="8">
        <f t="shared" si="2"/>
        <v>1290</v>
      </c>
    </row>
    <row r="150" spans="1:5" x14ac:dyDescent="0.2">
      <c r="A150" s="26">
        <v>39569</v>
      </c>
      <c r="B150" s="5">
        <f>[1]עקיף!$B154</f>
        <v>2835</v>
      </c>
      <c r="C150" s="6">
        <f>[1]עקיף!$F154</f>
        <v>181</v>
      </c>
      <c r="D150" s="6">
        <f>[1]עקיף!$G154</f>
        <v>1147</v>
      </c>
      <c r="E150" s="8">
        <f t="shared" si="2"/>
        <v>1328</v>
      </c>
    </row>
    <row r="151" spans="1:5" x14ac:dyDescent="0.2">
      <c r="A151" s="26">
        <v>39600</v>
      </c>
      <c r="B151" s="5">
        <f>[1]עקיף!$B155</f>
        <v>2800</v>
      </c>
      <c r="C151" s="6">
        <f>[1]עקיף!$F155</f>
        <v>169</v>
      </c>
      <c r="D151" s="6">
        <f>[1]עקיף!$G155</f>
        <v>1261</v>
      </c>
      <c r="E151" s="8">
        <f t="shared" si="2"/>
        <v>1430</v>
      </c>
    </row>
    <row r="152" spans="1:5" x14ac:dyDescent="0.2">
      <c r="A152" s="26">
        <v>39630</v>
      </c>
      <c r="B152" s="5">
        <f>[1]עקיף!$B156</f>
        <v>3044</v>
      </c>
      <c r="C152" s="6">
        <f>[1]עקיף!$F156</f>
        <v>223</v>
      </c>
      <c r="D152" s="6">
        <f>[1]עקיף!$G156</f>
        <v>1267</v>
      </c>
      <c r="E152" s="8">
        <f t="shared" si="2"/>
        <v>1490</v>
      </c>
    </row>
    <row r="153" spans="1:5" x14ac:dyDescent="0.2">
      <c r="A153" s="26">
        <v>39661</v>
      </c>
      <c r="B153" s="5">
        <f>[1]עקיף!$B157</f>
        <v>3068</v>
      </c>
      <c r="C153" s="6">
        <f>[1]עקיף!$F157</f>
        <v>198</v>
      </c>
      <c r="D153" s="6">
        <f>[1]עקיף!$G157</f>
        <v>1086</v>
      </c>
      <c r="E153" s="8">
        <f t="shared" si="2"/>
        <v>1284</v>
      </c>
    </row>
    <row r="154" spans="1:5" x14ac:dyDescent="0.2">
      <c r="A154" s="26">
        <v>39692</v>
      </c>
      <c r="B154" s="5">
        <f>[1]עקיף!$B158</f>
        <v>2721</v>
      </c>
      <c r="C154" s="6">
        <f>[1]עקיף!$F158</f>
        <v>206</v>
      </c>
      <c r="D154" s="6">
        <f>[1]עקיף!$G158</f>
        <v>797</v>
      </c>
      <c r="E154" s="8">
        <f t="shared" si="2"/>
        <v>1003</v>
      </c>
    </row>
    <row r="155" spans="1:5" x14ac:dyDescent="0.2">
      <c r="A155" s="26">
        <v>39722</v>
      </c>
      <c r="B155" s="5">
        <f>[1]עקיף!$B159</f>
        <v>2702</v>
      </c>
      <c r="C155" s="6">
        <f>[1]עקיף!$F159</f>
        <v>193</v>
      </c>
      <c r="D155" s="6">
        <f>[1]עקיף!$G159</f>
        <v>719</v>
      </c>
      <c r="E155" s="8">
        <f t="shared" si="2"/>
        <v>912</v>
      </c>
    </row>
    <row r="156" spans="1:5" x14ac:dyDescent="0.2">
      <c r="A156" s="26">
        <v>39753</v>
      </c>
      <c r="B156" s="5">
        <f>[1]עקיף!$B160</f>
        <v>2722</v>
      </c>
      <c r="C156" s="6">
        <f>[1]עקיף!$F160</f>
        <v>201</v>
      </c>
      <c r="D156" s="6">
        <f>[1]עקיף!$G160</f>
        <v>866</v>
      </c>
      <c r="E156" s="8">
        <f t="shared" si="2"/>
        <v>1067</v>
      </c>
    </row>
    <row r="157" spans="1:5" x14ac:dyDescent="0.2">
      <c r="A157" s="26">
        <v>39783</v>
      </c>
      <c r="B157" s="5">
        <f>[1]עקיף!$B161</f>
        <v>2314</v>
      </c>
      <c r="C157" s="6">
        <f>[1]עקיף!$F161</f>
        <v>155</v>
      </c>
      <c r="D157" s="6">
        <f>[1]עקיף!$G161</f>
        <v>624</v>
      </c>
      <c r="E157" s="8">
        <f t="shared" si="2"/>
        <v>779</v>
      </c>
    </row>
    <row r="158" spans="1:5" x14ac:dyDescent="0.2">
      <c r="A158" s="26">
        <v>39814</v>
      </c>
      <c r="B158" s="5">
        <f>[1]עקיף!$B162</f>
        <v>2232</v>
      </c>
      <c r="C158" s="6">
        <f>[1]עקיף!$F162</f>
        <v>186</v>
      </c>
      <c r="D158" s="6">
        <f>[1]עקיף!$G162</f>
        <v>890</v>
      </c>
      <c r="E158" s="8">
        <f t="shared" si="2"/>
        <v>1076</v>
      </c>
    </row>
    <row r="159" spans="1:5" x14ac:dyDescent="0.2">
      <c r="A159" s="26">
        <v>39845</v>
      </c>
      <c r="B159" s="5">
        <f>[1]עקיף!$B163</f>
        <v>2137</v>
      </c>
      <c r="C159" s="6">
        <f>[1]עקיף!$F163</f>
        <v>202</v>
      </c>
      <c r="D159" s="6">
        <f>[1]עקיף!$G163</f>
        <v>992</v>
      </c>
      <c r="E159" s="8">
        <f t="shared" si="2"/>
        <v>1194</v>
      </c>
    </row>
    <row r="160" spans="1:5" x14ac:dyDescent="0.2">
      <c r="A160" s="26">
        <v>39873</v>
      </c>
      <c r="B160" s="5">
        <f>[1]עקיף!$B164</f>
        <v>2447</v>
      </c>
      <c r="C160" s="6">
        <f>[1]עקיף!$F164</f>
        <v>215</v>
      </c>
      <c r="D160" s="6">
        <f>[1]עקיף!$G164</f>
        <v>1109</v>
      </c>
      <c r="E160" s="8">
        <f t="shared" si="2"/>
        <v>1324</v>
      </c>
    </row>
    <row r="161" spans="1:5" x14ac:dyDescent="0.2">
      <c r="A161" s="26">
        <v>39904</v>
      </c>
      <c r="B161" s="5">
        <f>[1]עקיף!$B165</f>
        <v>2084</v>
      </c>
      <c r="C161" s="6">
        <f>[1]עקיף!$F165</f>
        <v>170</v>
      </c>
      <c r="D161" s="6">
        <f>[1]עקיף!$G165</f>
        <v>724</v>
      </c>
      <c r="E161" s="8">
        <f t="shared" si="2"/>
        <v>894</v>
      </c>
    </row>
    <row r="162" spans="1:5" x14ac:dyDescent="0.2">
      <c r="A162" s="26">
        <v>39934</v>
      </c>
      <c r="B162" s="5">
        <f>[1]עקיף!$B166</f>
        <v>2185</v>
      </c>
      <c r="C162" s="6">
        <f>[1]עקיף!$F166</f>
        <v>179</v>
      </c>
      <c r="D162" s="6">
        <f>[1]עקיף!$G166</f>
        <v>956</v>
      </c>
      <c r="E162" s="8">
        <f t="shared" si="2"/>
        <v>1135</v>
      </c>
    </row>
    <row r="163" spans="1:5" x14ac:dyDescent="0.2">
      <c r="A163" s="26">
        <v>39965</v>
      </c>
      <c r="B163" s="5">
        <f>[1]עקיף!$B167</f>
        <v>2354</v>
      </c>
      <c r="C163" s="6">
        <f>[1]עקיף!$F167</f>
        <v>190</v>
      </c>
      <c r="D163" s="6">
        <f>[1]עקיף!$G167</f>
        <v>1323</v>
      </c>
      <c r="E163" s="8">
        <f t="shared" si="2"/>
        <v>1513</v>
      </c>
    </row>
    <row r="164" spans="1:5" x14ac:dyDescent="0.2">
      <c r="A164" s="26">
        <v>39995</v>
      </c>
      <c r="B164" s="5">
        <f>[1]עקיף!$B168</f>
        <v>2844</v>
      </c>
      <c r="C164" s="6">
        <f>[1]עקיף!$F168</f>
        <v>223</v>
      </c>
      <c r="D164" s="6">
        <f>[1]עקיף!$G168</f>
        <v>1966</v>
      </c>
      <c r="E164" s="8">
        <f t="shared" si="2"/>
        <v>2189</v>
      </c>
    </row>
    <row r="165" spans="1:5" x14ac:dyDescent="0.2">
      <c r="A165" s="26">
        <v>40026</v>
      </c>
      <c r="B165" s="5">
        <f>[1]עקיף!$B169</f>
        <v>2999</v>
      </c>
      <c r="C165" s="6">
        <f>[1]עקיף!$F169</f>
        <v>218</v>
      </c>
      <c r="D165" s="6">
        <f>[1]עקיף!$G169</f>
        <v>857</v>
      </c>
      <c r="E165" s="8">
        <f t="shared" si="2"/>
        <v>1075</v>
      </c>
    </row>
    <row r="166" spans="1:5" x14ac:dyDescent="0.2">
      <c r="A166" s="26">
        <v>40057</v>
      </c>
      <c r="B166" s="5">
        <f>[1]עקיף!$B170</f>
        <v>2297</v>
      </c>
      <c r="C166" s="6">
        <f>[1]עקיף!$F170</f>
        <v>198</v>
      </c>
      <c r="D166" s="6">
        <f>[1]עקיף!$G170</f>
        <v>788</v>
      </c>
      <c r="E166" s="8">
        <f t="shared" si="2"/>
        <v>986</v>
      </c>
    </row>
    <row r="167" spans="1:5" x14ac:dyDescent="0.2">
      <c r="A167" s="26">
        <v>40087</v>
      </c>
      <c r="B167" s="5">
        <f>[1]עקיף!$B171</f>
        <v>2410</v>
      </c>
      <c r="C167" s="6">
        <f>[1]עקיף!$F171</f>
        <v>203</v>
      </c>
      <c r="D167" s="6">
        <f>[1]עקיף!$G171</f>
        <v>943</v>
      </c>
      <c r="E167" s="8">
        <f t="shared" si="2"/>
        <v>1146</v>
      </c>
    </row>
    <row r="168" spans="1:5" x14ac:dyDescent="0.2">
      <c r="A168" s="26">
        <v>40118</v>
      </c>
      <c r="B168" s="5">
        <f>[1]עקיף!$B172</f>
        <v>2693</v>
      </c>
      <c r="C168" s="6">
        <f>[1]עקיף!$F172</f>
        <v>196</v>
      </c>
      <c r="D168" s="6">
        <f>[1]עקיף!$G172</f>
        <v>911</v>
      </c>
      <c r="E168" s="8">
        <f t="shared" si="2"/>
        <v>1107</v>
      </c>
    </row>
    <row r="169" spans="1:5" x14ac:dyDescent="0.2">
      <c r="A169" s="26">
        <v>40148</v>
      </c>
      <c r="B169" s="5">
        <f>[1]עקיף!$B173</f>
        <v>2658</v>
      </c>
      <c r="C169" s="6">
        <f>[1]עקיף!$F173</f>
        <v>229</v>
      </c>
      <c r="D169" s="6">
        <f>[1]עקיף!$G173</f>
        <v>1043</v>
      </c>
      <c r="E169" s="8">
        <f t="shared" si="2"/>
        <v>1272</v>
      </c>
    </row>
    <row r="170" spans="1:5" x14ac:dyDescent="0.2">
      <c r="A170" s="26">
        <v>40179</v>
      </c>
      <c r="B170" s="5">
        <f>[1]עקיף!$B174</f>
        <v>2714</v>
      </c>
      <c r="C170" s="6">
        <f>[1]עקיף!$F174</f>
        <v>229</v>
      </c>
      <c r="D170" s="6">
        <f>[1]עקיף!$G174</f>
        <v>995</v>
      </c>
      <c r="E170" s="8">
        <f t="shared" si="2"/>
        <v>1224</v>
      </c>
    </row>
    <row r="171" spans="1:5" x14ac:dyDescent="0.2">
      <c r="A171" s="26">
        <v>40210</v>
      </c>
      <c r="B171" s="5">
        <f>[1]עקיף!$B175</f>
        <v>2424</v>
      </c>
      <c r="C171" s="6">
        <f>[1]עקיף!$F175</f>
        <v>233</v>
      </c>
      <c r="D171" s="6">
        <f>[1]עקיף!$G175</f>
        <v>1082</v>
      </c>
      <c r="E171" s="8">
        <f t="shared" si="2"/>
        <v>1315</v>
      </c>
    </row>
    <row r="172" spans="1:5" x14ac:dyDescent="0.2">
      <c r="A172" s="26">
        <v>40238</v>
      </c>
      <c r="B172" s="5">
        <f>[1]עקיף!$B176</f>
        <v>2938</v>
      </c>
      <c r="C172" s="6">
        <f>[1]עקיף!$F176</f>
        <v>244</v>
      </c>
      <c r="D172" s="6">
        <f>[1]עקיף!$G176</f>
        <v>1070</v>
      </c>
      <c r="E172" s="8">
        <f t="shared" si="2"/>
        <v>1314</v>
      </c>
    </row>
    <row r="173" spans="1:5" x14ac:dyDescent="0.2">
      <c r="A173" s="26">
        <v>40269</v>
      </c>
      <c r="B173" s="5">
        <f>[1]עקיף!$B177</f>
        <v>2611</v>
      </c>
      <c r="C173" s="6">
        <f>[1]עקיף!$F177</f>
        <v>190</v>
      </c>
      <c r="D173" s="6">
        <f>[1]עקיף!$G177</f>
        <v>954</v>
      </c>
      <c r="E173" s="8">
        <f t="shared" si="2"/>
        <v>1144</v>
      </c>
    </row>
    <row r="174" spans="1:5" x14ac:dyDescent="0.2">
      <c r="A174" s="26">
        <v>40299</v>
      </c>
      <c r="B174" s="5">
        <f>[1]עקיף!$B178</f>
        <v>2801</v>
      </c>
      <c r="C174" s="6">
        <f>[1]עקיף!$F178</f>
        <v>235</v>
      </c>
      <c r="D174" s="6">
        <f>[1]עקיף!$G178</f>
        <v>1291</v>
      </c>
      <c r="E174" s="8">
        <f t="shared" si="2"/>
        <v>1526</v>
      </c>
    </row>
    <row r="175" spans="1:5" x14ac:dyDescent="0.2">
      <c r="A175" s="26">
        <v>40330</v>
      </c>
      <c r="B175" s="5">
        <f>[1]עקיף!$B179</f>
        <v>2840</v>
      </c>
      <c r="C175" s="6">
        <f>[1]עקיף!$F179</f>
        <v>222</v>
      </c>
      <c r="D175" s="6">
        <f>[1]עקיף!$G179</f>
        <v>1194</v>
      </c>
      <c r="E175" s="8">
        <f t="shared" si="2"/>
        <v>1416</v>
      </c>
    </row>
    <row r="176" spans="1:5" x14ac:dyDescent="0.2">
      <c r="A176" s="26">
        <v>40360</v>
      </c>
      <c r="B176" s="5">
        <f>[1]עקיף!$B180</f>
        <v>2927</v>
      </c>
      <c r="C176" s="6">
        <f>[1]עקיף!$F180</f>
        <v>247</v>
      </c>
      <c r="D176" s="6">
        <f>[1]עקיף!$G180</f>
        <v>1291</v>
      </c>
      <c r="E176" s="8">
        <f t="shared" si="2"/>
        <v>1538</v>
      </c>
    </row>
    <row r="177" spans="1:5" x14ac:dyDescent="0.2">
      <c r="A177" s="26">
        <v>40391</v>
      </c>
      <c r="B177" s="5">
        <f>[1]עקיף!$B181</f>
        <v>3025</v>
      </c>
      <c r="C177" s="6">
        <f>[1]עקיף!$F181</f>
        <v>292</v>
      </c>
      <c r="D177" s="6">
        <f>[1]עקיף!$G181</f>
        <v>1300</v>
      </c>
      <c r="E177" s="8">
        <f t="shared" si="2"/>
        <v>1592</v>
      </c>
    </row>
    <row r="178" spans="1:5" x14ac:dyDescent="0.2">
      <c r="A178" s="26">
        <v>40422</v>
      </c>
      <c r="B178" s="5">
        <f>[1]עקיף!$B182</f>
        <v>2435</v>
      </c>
      <c r="C178" s="6">
        <f>[1]עקיף!$F182</f>
        <v>197</v>
      </c>
      <c r="D178" s="6">
        <f>[1]עקיף!$G182</f>
        <v>925</v>
      </c>
      <c r="E178" s="8">
        <f t="shared" si="2"/>
        <v>1122</v>
      </c>
    </row>
    <row r="179" spans="1:5" x14ac:dyDescent="0.2">
      <c r="A179" s="26">
        <v>40452</v>
      </c>
      <c r="B179" s="5">
        <f>[1]עקיף!$B183</f>
        <v>3127</v>
      </c>
      <c r="C179" s="6">
        <f>[1]עקיף!$F183</f>
        <v>253</v>
      </c>
      <c r="D179" s="6">
        <f>[1]עקיף!$G183</f>
        <v>1497</v>
      </c>
      <c r="E179" s="8">
        <f t="shared" si="2"/>
        <v>1750</v>
      </c>
    </row>
    <row r="180" spans="1:5" x14ac:dyDescent="0.2">
      <c r="A180" s="26">
        <v>40483</v>
      </c>
      <c r="B180" s="5">
        <f>[1]עקיף!$B184</f>
        <v>2699</v>
      </c>
      <c r="C180" s="6">
        <f>[1]עקיף!$F184</f>
        <v>206</v>
      </c>
      <c r="D180" s="6">
        <f>[1]עקיף!$G184</f>
        <v>1196</v>
      </c>
      <c r="E180" s="8">
        <f t="shared" si="2"/>
        <v>1402</v>
      </c>
    </row>
    <row r="181" spans="1:5" x14ac:dyDescent="0.2">
      <c r="A181" s="26">
        <v>40513</v>
      </c>
      <c r="B181" s="5">
        <f>[1]עקיף!$B185</f>
        <v>3080</v>
      </c>
      <c r="C181" s="6">
        <f>[1]עקיף!$F185</f>
        <v>148</v>
      </c>
      <c r="D181" s="6">
        <f>[1]עקיף!$G185</f>
        <v>1351</v>
      </c>
      <c r="E181" s="8">
        <f t="shared" si="2"/>
        <v>1499</v>
      </c>
    </row>
    <row r="182" spans="1:5" x14ac:dyDescent="0.2">
      <c r="A182" s="26">
        <v>40544</v>
      </c>
      <c r="B182" s="5">
        <f>[1]עקיף!$B186</f>
        <v>3109</v>
      </c>
      <c r="C182" s="6">
        <f>[1]עקיף!$F186</f>
        <v>239</v>
      </c>
      <c r="D182" s="6">
        <f>[1]עקיף!$G186</f>
        <v>1472</v>
      </c>
      <c r="E182" s="8">
        <f t="shared" si="2"/>
        <v>1711</v>
      </c>
    </row>
    <row r="183" spans="1:5" x14ac:dyDescent="0.2">
      <c r="A183" s="26">
        <v>40575</v>
      </c>
      <c r="B183" s="5">
        <f>[1]עקיף!$B187</f>
        <v>2989</v>
      </c>
      <c r="C183" s="6">
        <f>[1]עקיף!$F187</f>
        <v>225</v>
      </c>
      <c r="D183" s="6">
        <f>[1]עקיף!$G187</f>
        <v>1080</v>
      </c>
      <c r="E183" s="8">
        <f t="shared" si="2"/>
        <v>1305</v>
      </c>
    </row>
    <row r="184" spans="1:5" x14ac:dyDescent="0.2">
      <c r="A184" s="26">
        <v>40603</v>
      </c>
      <c r="B184" s="5">
        <f>[1]עקיף!$B188</f>
        <v>3681</v>
      </c>
      <c r="C184" s="6">
        <f>[1]עקיף!$F188</f>
        <v>291</v>
      </c>
      <c r="D184" s="6">
        <f>[1]עקיף!$G188</f>
        <v>1342</v>
      </c>
      <c r="E184" s="8">
        <f t="shared" si="2"/>
        <v>1633</v>
      </c>
    </row>
    <row r="185" spans="1:5" x14ac:dyDescent="0.2">
      <c r="A185" s="26">
        <v>40634</v>
      </c>
      <c r="B185" s="5">
        <f>[1]עקיף!$B189</f>
        <v>3079</v>
      </c>
      <c r="C185" s="6">
        <f>[1]עקיף!$F189</f>
        <v>200</v>
      </c>
      <c r="D185" s="6">
        <f>[1]עקיף!$G189</f>
        <v>1116</v>
      </c>
      <c r="E185" s="8">
        <f t="shared" si="2"/>
        <v>1316</v>
      </c>
    </row>
    <row r="186" spans="1:5" x14ac:dyDescent="0.2">
      <c r="A186" s="26">
        <v>40664</v>
      </c>
      <c r="B186" s="5">
        <f>[1]עקיף!$B190</f>
        <v>3462</v>
      </c>
      <c r="C186" s="6">
        <f>[1]עקיף!$F190</f>
        <v>258</v>
      </c>
      <c r="D186" s="6">
        <f>[1]עקיף!$G190</f>
        <v>1289</v>
      </c>
      <c r="E186" s="8">
        <f t="shared" si="2"/>
        <v>1547</v>
      </c>
    </row>
    <row r="187" spans="1:5" x14ac:dyDescent="0.2">
      <c r="A187" s="26">
        <v>40695</v>
      </c>
      <c r="B187" s="5">
        <f>[1]עקיף!$B191</f>
        <v>3144</v>
      </c>
      <c r="C187" s="6">
        <f>[1]עקיף!$F191</f>
        <v>225</v>
      </c>
      <c r="D187" s="6">
        <f>[1]עקיף!$G191</f>
        <v>1372</v>
      </c>
      <c r="E187" s="8">
        <f t="shared" si="2"/>
        <v>1597</v>
      </c>
    </row>
    <row r="188" spans="1:5" x14ac:dyDescent="0.2">
      <c r="A188" s="26">
        <v>40725</v>
      </c>
      <c r="B188" s="5">
        <f>[1]עקיף!$B192</f>
        <v>3351</v>
      </c>
      <c r="C188" s="6">
        <f>[1]עקיף!$F192</f>
        <v>238</v>
      </c>
      <c r="D188" s="6">
        <f>[1]עקיף!$G192</f>
        <v>1311</v>
      </c>
      <c r="E188" s="8">
        <f t="shared" si="2"/>
        <v>1549</v>
      </c>
    </row>
    <row r="189" spans="1:5" x14ac:dyDescent="0.2">
      <c r="A189" s="26">
        <v>40756</v>
      </c>
      <c r="B189" s="5">
        <f>[1]עקיף!$B193</f>
        <v>3699</v>
      </c>
      <c r="C189" s="6">
        <f>[1]עקיף!$F193</f>
        <v>314</v>
      </c>
      <c r="D189" s="6">
        <f>[1]עקיף!$G193</f>
        <v>1332</v>
      </c>
      <c r="E189" s="8">
        <f t="shared" si="2"/>
        <v>1646</v>
      </c>
    </row>
    <row r="190" spans="1:5" x14ac:dyDescent="0.2">
      <c r="A190" s="26">
        <v>40787</v>
      </c>
      <c r="B190" s="5">
        <f>[1]עקיף!$B194</f>
        <v>3258</v>
      </c>
      <c r="C190" s="6">
        <f>[1]עקיף!$F194</f>
        <v>262</v>
      </c>
      <c r="D190" s="6">
        <f>[1]עקיף!$G194</f>
        <v>976</v>
      </c>
      <c r="E190" s="8">
        <f t="shared" si="2"/>
        <v>1238</v>
      </c>
    </row>
    <row r="191" spans="1:5" x14ac:dyDescent="0.2">
      <c r="A191" s="26">
        <v>40817</v>
      </c>
      <c r="B191" s="5">
        <f>[1]עקיף!$B195</f>
        <v>3322</v>
      </c>
      <c r="C191" s="6">
        <f>[1]עקיף!$F195</f>
        <v>240</v>
      </c>
      <c r="D191" s="6">
        <f>[1]עקיף!$G195</f>
        <v>1162</v>
      </c>
      <c r="E191" s="8">
        <f t="shared" si="2"/>
        <v>1402</v>
      </c>
    </row>
    <row r="192" spans="1:5" x14ac:dyDescent="0.2">
      <c r="A192" s="26">
        <v>40848</v>
      </c>
      <c r="B192" s="5">
        <f>[1]עקיף!$B196</f>
        <v>3541</v>
      </c>
      <c r="C192" s="6">
        <f>[1]עקיף!$F196</f>
        <v>236</v>
      </c>
      <c r="D192" s="6">
        <f>[1]עקיף!$G196</f>
        <v>1371</v>
      </c>
      <c r="E192" s="8">
        <f t="shared" si="2"/>
        <v>1607</v>
      </c>
    </row>
    <row r="193" spans="1:5" x14ac:dyDescent="0.2">
      <c r="A193" s="26">
        <v>40878</v>
      </c>
      <c r="B193" s="5">
        <f>[1]עקיף!$B197</f>
        <v>3173</v>
      </c>
      <c r="C193" s="6">
        <f>[1]עקיף!$F197</f>
        <v>191</v>
      </c>
      <c r="D193" s="6">
        <f>[1]עקיף!$G197</f>
        <v>1259</v>
      </c>
      <c r="E193" s="8">
        <f t="shared" si="2"/>
        <v>1450</v>
      </c>
    </row>
    <row r="194" spans="1:5" x14ac:dyDescent="0.2">
      <c r="A194" s="26">
        <v>40909</v>
      </c>
      <c r="B194" s="5">
        <f>[1]עקיף!$B198</f>
        <v>3971</v>
      </c>
      <c r="C194" s="6">
        <f>[1]עקיף!$F198</f>
        <v>284</v>
      </c>
      <c r="D194" s="6">
        <f>[1]עקיף!$G198</f>
        <v>1231</v>
      </c>
      <c r="E194" s="8">
        <f t="shared" ref="E194:E257" si="3">SUM(C194:D194)</f>
        <v>1515</v>
      </c>
    </row>
    <row r="195" spans="1:5" x14ac:dyDescent="0.2">
      <c r="A195" s="26">
        <v>40940</v>
      </c>
      <c r="B195" s="5">
        <f>[1]עקיף!$B199</f>
        <v>3622</v>
      </c>
      <c r="C195" s="6">
        <f>[1]עקיף!$F199</f>
        <v>207</v>
      </c>
      <c r="D195" s="6">
        <f>[1]עקיף!$G199</f>
        <v>1443</v>
      </c>
      <c r="E195" s="8">
        <f t="shared" si="3"/>
        <v>1650</v>
      </c>
    </row>
    <row r="196" spans="1:5" x14ac:dyDescent="0.2">
      <c r="A196" s="26">
        <v>40969</v>
      </c>
      <c r="B196" s="5">
        <f>[1]עקיף!$B200</f>
        <v>3811</v>
      </c>
      <c r="C196" s="6">
        <f>[1]עקיף!$F200</f>
        <v>217</v>
      </c>
      <c r="D196" s="6">
        <f>[1]עקיף!$G200</f>
        <v>1226</v>
      </c>
      <c r="E196" s="8">
        <f t="shared" si="3"/>
        <v>1443</v>
      </c>
    </row>
    <row r="197" spans="1:5" x14ac:dyDescent="0.2">
      <c r="A197" s="26">
        <v>41000</v>
      </c>
      <c r="B197" s="5">
        <f>[1]עקיף!$B201</f>
        <v>3678</v>
      </c>
      <c r="C197" s="6">
        <f>[1]עקיף!$F201</f>
        <v>204</v>
      </c>
      <c r="D197" s="6">
        <f>[1]עקיף!$G201</f>
        <v>1139</v>
      </c>
      <c r="E197" s="8">
        <f t="shared" si="3"/>
        <v>1343</v>
      </c>
    </row>
    <row r="198" spans="1:5" x14ac:dyDescent="0.2">
      <c r="A198" s="26">
        <v>41030</v>
      </c>
      <c r="B198" s="5">
        <f>[1]עקיף!$B202</f>
        <v>3731</v>
      </c>
      <c r="C198" s="6">
        <f>[1]עקיף!$F202</f>
        <v>227</v>
      </c>
      <c r="D198" s="6">
        <f>[1]עקיף!$G202</f>
        <v>1277</v>
      </c>
      <c r="E198" s="8">
        <f t="shared" si="3"/>
        <v>1504</v>
      </c>
    </row>
    <row r="199" spans="1:5" x14ac:dyDescent="0.2">
      <c r="A199" s="26">
        <v>41061</v>
      </c>
      <c r="B199" s="5">
        <f>[1]עקיף!$B203</f>
        <v>3505</v>
      </c>
      <c r="C199" s="6">
        <f>[1]עקיף!$F203</f>
        <v>226</v>
      </c>
      <c r="D199" s="6">
        <f>[1]עקיף!$G203</f>
        <v>1418</v>
      </c>
      <c r="E199" s="8">
        <f t="shared" si="3"/>
        <v>1644</v>
      </c>
    </row>
    <row r="200" spans="1:5" x14ac:dyDescent="0.2">
      <c r="A200" s="26">
        <v>41091</v>
      </c>
      <c r="B200" s="5">
        <f>[1]עקיף!$B204</f>
        <v>3933</v>
      </c>
      <c r="C200" s="6">
        <f>[1]עקיף!$F204</f>
        <v>257</v>
      </c>
      <c r="D200" s="6">
        <f>[1]עקיף!$G204</f>
        <v>1595</v>
      </c>
      <c r="E200" s="8">
        <f t="shared" si="3"/>
        <v>1852</v>
      </c>
    </row>
    <row r="201" spans="1:5" x14ac:dyDescent="0.2">
      <c r="A201" s="26">
        <v>41122</v>
      </c>
      <c r="B201" s="5">
        <f>[1]עקיף!$B205</f>
        <v>4139</v>
      </c>
      <c r="C201" s="6">
        <f>[1]עקיף!$F205</f>
        <v>225</v>
      </c>
      <c r="D201" s="6">
        <f>[1]עקיף!$G205</f>
        <v>1308</v>
      </c>
      <c r="E201" s="8">
        <f t="shared" si="3"/>
        <v>1533</v>
      </c>
    </row>
    <row r="202" spans="1:5" x14ac:dyDescent="0.2">
      <c r="A202" s="26">
        <v>41153</v>
      </c>
      <c r="B202" s="5">
        <f>[1]עקיף!$B206</f>
        <v>3020</v>
      </c>
      <c r="C202" s="6">
        <f>[1]עקיף!$F206</f>
        <v>174</v>
      </c>
      <c r="D202" s="6">
        <f>[1]עקיף!$G206</f>
        <v>959</v>
      </c>
      <c r="E202" s="8">
        <f t="shared" si="3"/>
        <v>1133</v>
      </c>
    </row>
    <row r="203" spans="1:5" x14ac:dyDescent="0.2">
      <c r="A203" s="26">
        <v>41183</v>
      </c>
      <c r="B203" s="5">
        <f>[1]עקיף!$B207</f>
        <v>4350</v>
      </c>
      <c r="C203" s="6">
        <f>[1]עקיף!$F207</f>
        <v>221</v>
      </c>
      <c r="D203" s="6">
        <f>[1]עקיף!$G207</f>
        <v>1308</v>
      </c>
      <c r="E203" s="8">
        <f t="shared" si="3"/>
        <v>1529</v>
      </c>
    </row>
    <row r="204" spans="1:5" x14ac:dyDescent="0.2">
      <c r="A204" s="26">
        <v>41214</v>
      </c>
      <c r="B204" s="5">
        <f>[1]עקיף!$B208</f>
        <v>3150</v>
      </c>
      <c r="C204" s="6">
        <f>[1]עקיף!$F208</f>
        <v>162</v>
      </c>
      <c r="D204" s="6">
        <f>[1]עקיף!$G208</f>
        <v>1155</v>
      </c>
      <c r="E204" s="8">
        <f t="shared" si="3"/>
        <v>1317</v>
      </c>
    </row>
    <row r="205" spans="1:5" x14ac:dyDescent="0.2">
      <c r="A205" s="26">
        <v>41244</v>
      </c>
      <c r="B205" s="5">
        <f>[1]עקיף!$B209</f>
        <v>4041</v>
      </c>
      <c r="C205" s="6">
        <f>[1]עקיף!$F209</f>
        <v>147</v>
      </c>
      <c r="D205" s="6">
        <f>[1]עקיף!$G209</f>
        <v>1026</v>
      </c>
      <c r="E205" s="8">
        <f t="shared" si="3"/>
        <v>1173</v>
      </c>
    </row>
    <row r="206" spans="1:5" x14ac:dyDescent="0.2">
      <c r="A206" s="26">
        <v>41275</v>
      </c>
      <c r="B206" s="5">
        <f>[1]עקיף!$B210</f>
        <v>3595</v>
      </c>
      <c r="C206" s="6">
        <f>[1]עקיף!$F210</f>
        <v>178</v>
      </c>
      <c r="D206" s="6">
        <f>[1]עקיף!$G210</f>
        <v>1503</v>
      </c>
      <c r="E206" s="8">
        <f t="shared" si="3"/>
        <v>1681</v>
      </c>
    </row>
    <row r="207" spans="1:5" x14ac:dyDescent="0.2">
      <c r="A207" s="26">
        <v>41306</v>
      </c>
      <c r="B207" s="5">
        <f>[1]עקיף!$B211</f>
        <v>3577</v>
      </c>
      <c r="C207" s="6">
        <f>[1]עקיף!$F211</f>
        <v>190</v>
      </c>
      <c r="D207" s="6">
        <f>[1]עקיף!$G211</f>
        <v>1144</v>
      </c>
      <c r="E207" s="8">
        <f t="shared" si="3"/>
        <v>1334</v>
      </c>
    </row>
    <row r="208" spans="1:5" x14ac:dyDescent="0.2">
      <c r="A208" s="26">
        <v>41334</v>
      </c>
      <c r="B208" s="5">
        <f>[1]עקיף!$B212</f>
        <v>3369</v>
      </c>
      <c r="C208" s="6">
        <f>[1]עקיף!$F212</f>
        <v>189</v>
      </c>
      <c r="D208" s="6">
        <f>[1]עקיף!$G212</f>
        <v>1284</v>
      </c>
      <c r="E208" s="8">
        <f t="shared" si="3"/>
        <v>1473</v>
      </c>
    </row>
    <row r="209" spans="1:5" x14ac:dyDescent="0.2">
      <c r="A209" s="26">
        <v>41365</v>
      </c>
      <c r="B209" s="5">
        <f>[1]עקיף!$B213</f>
        <v>3742</v>
      </c>
      <c r="C209" s="6">
        <f>[1]עקיף!$F213</f>
        <v>165</v>
      </c>
      <c r="D209" s="6">
        <f>[1]עקיף!$G213</f>
        <v>1491</v>
      </c>
      <c r="E209" s="8">
        <f t="shared" si="3"/>
        <v>1656</v>
      </c>
    </row>
    <row r="210" spans="1:5" x14ac:dyDescent="0.2">
      <c r="A210" s="26">
        <v>41395</v>
      </c>
      <c r="B210" s="5">
        <f>[1]עקיף!$B214</f>
        <v>3566</v>
      </c>
      <c r="C210" s="6">
        <f>[1]עקיף!$F214</f>
        <v>203</v>
      </c>
      <c r="D210" s="6">
        <f>[1]עקיף!$G214</f>
        <v>1351</v>
      </c>
      <c r="E210" s="8">
        <f t="shared" si="3"/>
        <v>1554</v>
      </c>
    </row>
    <row r="211" spans="1:5" x14ac:dyDescent="0.2">
      <c r="A211" s="26">
        <v>41426</v>
      </c>
      <c r="B211" s="5">
        <f>[1]עקיף!$B215</f>
        <v>3498</v>
      </c>
      <c r="C211" s="6">
        <f>[1]עקיף!$F215</f>
        <v>200</v>
      </c>
      <c r="D211" s="6">
        <f>[1]עקיף!$G215</f>
        <v>1287</v>
      </c>
      <c r="E211" s="8">
        <f t="shared" si="3"/>
        <v>1487</v>
      </c>
    </row>
    <row r="212" spans="1:5" x14ac:dyDescent="0.2">
      <c r="A212" s="26">
        <v>41456</v>
      </c>
      <c r="B212" s="5">
        <f>[1]עקיף!$B216</f>
        <v>4329</v>
      </c>
      <c r="C212" s="6">
        <f>[1]עקיף!$F216</f>
        <v>216</v>
      </c>
      <c r="D212" s="6">
        <f>[1]עקיף!$G216</f>
        <v>1437</v>
      </c>
      <c r="E212" s="8">
        <f t="shared" si="3"/>
        <v>1653</v>
      </c>
    </row>
    <row r="213" spans="1:5" x14ac:dyDescent="0.2">
      <c r="A213" s="26">
        <v>41487</v>
      </c>
      <c r="B213" s="5">
        <f>[1]עקיף!$B217</f>
        <v>3741</v>
      </c>
      <c r="C213" s="6">
        <f>[1]עקיף!$F217</f>
        <v>225</v>
      </c>
      <c r="D213" s="6">
        <f>[1]עקיף!$G217</f>
        <v>1303</v>
      </c>
      <c r="E213" s="8">
        <f t="shared" si="3"/>
        <v>1528</v>
      </c>
    </row>
    <row r="214" spans="1:5" x14ac:dyDescent="0.2">
      <c r="A214" s="26">
        <v>41518</v>
      </c>
      <c r="B214" s="5">
        <f>[1]עקיף!$B218</f>
        <v>3290</v>
      </c>
      <c r="C214" s="6">
        <f>[1]עקיף!$F218</f>
        <v>176</v>
      </c>
      <c r="D214" s="6">
        <f>[1]עקיף!$G218</f>
        <v>1208</v>
      </c>
      <c r="E214" s="8">
        <f t="shared" si="3"/>
        <v>1384</v>
      </c>
    </row>
    <row r="215" spans="1:5" x14ac:dyDescent="0.2">
      <c r="A215" s="26">
        <v>41548</v>
      </c>
      <c r="B215" s="5">
        <f>[1]עקיף!$B219</f>
        <v>3984</v>
      </c>
      <c r="C215" s="6">
        <f>[1]עקיף!$F219</f>
        <v>231</v>
      </c>
      <c r="D215" s="6">
        <f>[1]עקיף!$G219</f>
        <v>1167</v>
      </c>
      <c r="E215" s="8">
        <f t="shared" si="3"/>
        <v>1398</v>
      </c>
    </row>
    <row r="216" spans="1:5" x14ac:dyDescent="0.2">
      <c r="A216" s="26">
        <v>41579</v>
      </c>
      <c r="B216" s="5">
        <f>[1]עקיף!$B220</f>
        <v>3433</v>
      </c>
      <c r="C216" s="6">
        <f>[1]עקיף!$F220</f>
        <v>152</v>
      </c>
      <c r="D216" s="6">
        <f>[1]עקיף!$G220</f>
        <v>1068</v>
      </c>
      <c r="E216" s="8">
        <f t="shared" si="3"/>
        <v>1220</v>
      </c>
    </row>
    <row r="217" spans="1:5" x14ac:dyDescent="0.2">
      <c r="A217" s="26">
        <v>41609</v>
      </c>
      <c r="B217" s="5">
        <f>[1]עקיף!$B221</f>
        <v>3661</v>
      </c>
      <c r="C217" s="6">
        <f>[1]עקיף!$F221</f>
        <v>181</v>
      </c>
      <c r="D217" s="6">
        <f>[1]עקיף!$G221</f>
        <v>1133</v>
      </c>
      <c r="E217" s="8">
        <f t="shared" si="3"/>
        <v>1314</v>
      </c>
    </row>
    <row r="218" spans="1:5" x14ac:dyDescent="0.2">
      <c r="A218" s="26">
        <v>41640</v>
      </c>
      <c r="B218" s="5">
        <f>[1]עקיף!$B222</f>
        <v>3965</v>
      </c>
      <c r="C218" s="6">
        <f>[1]עקיף!$F222</f>
        <v>240</v>
      </c>
      <c r="D218" s="6">
        <f>[1]עקיף!$G222</f>
        <v>1415</v>
      </c>
      <c r="E218" s="8">
        <f t="shared" si="3"/>
        <v>1655</v>
      </c>
    </row>
    <row r="219" spans="1:5" x14ac:dyDescent="0.2">
      <c r="A219" s="26">
        <v>41671</v>
      </c>
      <c r="B219" s="5">
        <f>[1]עקיף!$B223</f>
        <v>3604</v>
      </c>
      <c r="C219" s="6">
        <f>[1]עקיף!$F223</f>
        <v>254</v>
      </c>
      <c r="D219" s="6">
        <f>[1]עקיף!$G223</f>
        <v>1274</v>
      </c>
      <c r="E219" s="8">
        <f t="shared" si="3"/>
        <v>1528</v>
      </c>
    </row>
    <row r="220" spans="1:5" x14ac:dyDescent="0.2">
      <c r="A220" s="26">
        <v>41699</v>
      </c>
      <c r="B220" s="5">
        <f>[1]עקיף!$B224</f>
        <v>3683</v>
      </c>
      <c r="C220" s="6">
        <f>[1]עקיף!$F224</f>
        <v>218</v>
      </c>
      <c r="D220" s="6">
        <f>[1]עקיף!$G224</f>
        <v>1329</v>
      </c>
      <c r="E220" s="8">
        <f t="shared" si="3"/>
        <v>1547</v>
      </c>
    </row>
    <row r="221" spans="1:5" x14ac:dyDescent="0.2">
      <c r="A221" s="26">
        <v>41730</v>
      </c>
      <c r="B221" s="5">
        <f>[1]עקיף!$B225</f>
        <v>3549</v>
      </c>
      <c r="C221" s="6">
        <f>[1]עקיף!$F225</f>
        <v>198</v>
      </c>
      <c r="D221" s="6">
        <f>[1]עקיף!$G225</f>
        <v>1314</v>
      </c>
      <c r="E221" s="8">
        <f t="shared" si="3"/>
        <v>1512</v>
      </c>
    </row>
    <row r="222" spans="1:5" x14ac:dyDescent="0.2">
      <c r="A222" s="26">
        <v>41760</v>
      </c>
      <c r="B222" s="5">
        <f>[1]עקיף!$B226</f>
        <v>3800</v>
      </c>
      <c r="C222" s="6">
        <f>[1]עקיף!$F226</f>
        <v>246</v>
      </c>
      <c r="D222" s="6">
        <f>[1]עקיף!$G226</f>
        <v>1455</v>
      </c>
      <c r="E222" s="8">
        <f t="shared" si="3"/>
        <v>1701</v>
      </c>
    </row>
    <row r="223" spans="1:5" x14ac:dyDescent="0.2">
      <c r="A223" s="26">
        <v>41791</v>
      </c>
      <c r="B223" s="5">
        <f>[1]עקיף!$B227</f>
        <v>3567</v>
      </c>
      <c r="C223" s="6">
        <f>[1]עקיף!$F227</f>
        <v>231</v>
      </c>
      <c r="D223" s="6">
        <f>[1]עקיף!$G227</f>
        <v>1301</v>
      </c>
      <c r="E223" s="8">
        <f t="shared" si="3"/>
        <v>1532</v>
      </c>
    </row>
    <row r="224" spans="1:5" x14ac:dyDescent="0.2">
      <c r="A224" s="26">
        <v>41821</v>
      </c>
      <c r="B224" s="5">
        <f>[1]עקיף!$B228</f>
        <v>4013</v>
      </c>
      <c r="C224" s="6">
        <f>[1]עקיף!$F228</f>
        <v>240</v>
      </c>
      <c r="D224" s="6">
        <f>[1]עקיף!$G228</f>
        <v>1395</v>
      </c>
      <c r="E224" s="8">
        <f t="shared" si="3"/>
        <v>1635</v>
      </c>
    </row>
    <row r="225" spans="1:5" x14ac:dyDescent="0.2">
      <c r="A225" s="26">
        <v>41852</v>
      </c>
      <c r="B225" s="5">
        <f>[1]עקיף!$B229</f>
        <v>3781</v>
      </c>
      <c r="C225" s="6">
        <f>[1]עקיף!$F229</f>
        <v>234</v>
      </c>
      <c r="D225" s="6">
        <f>[1]עקיף!$G229</f>
        <v>1520</v>
      </c>
      <c r="E225" s="8">
        <f t="shared" si="3"/>
        <v>1754</v>
      </c>
    </row>
    <row r="226" spans="1:5" x14ac:dyDescent="0.2">
      <c r="A226" s="26">
        <v>41883</v>
      </c>
      <c r="B226" s="5">
        <f>[1]עקיף!$B230</f>
        <v>3538</v>
      </c>
      <c r="C226" s="6">
        <f>[1]עקיף!$F230</f>
        <v>233</v>
      </c>
      <c r="D226" s="6">
        <f>[1]עקיף!$G230</f>
        <v>1314</v>
      </c>
      <c r="E226" s="8">
        <f t="shared" si="3"/>
        <v>1547</v>
      </c>
    </row>
    <row r="227" spans="1:5" x14ac:dyDescent="0.2">
      <c r="A227" s="26">
        <v>41913</v>
      </c>
      <c r="B227" s="5">
        <f>[1]עקיף!$B231</f>
        <v>3738</v>
      </c>
      <c r="C227" s="6">
        <f>[1]עקיף!$F231</f>
        <v>237</v>
      </c>
      <c r="D227" s="6">
        <f>[1]עקיף!$G231</f>
        <v>1418</v>
      </c>
      <c r="E227" s="8">
        <f t="shared" si="3"/>
        <v>1655</v>
      </c>
    </row>
    <row r="228" spans="1:5" x14ac:dyDescent="0.2">
      <c r="A228" s="26">
        <v>41944</v>
      </c>
      <c r="B228" s="5">
        <f>[1]עקיף!$B232</f>
        <v>3421</v>
      </c>
      <c r="C228" s="6">
        <f>[1]עקיף!$F232</f>
        <v>184</v>
      </c>
      <c r="D228" s="6">
        <f>[1]עקיף!$G232</f>
        <v>1197</v>
      </c>
      <c r="E228" s="8">
        <f t="shared" si="3"/>
        <v>1381</v>
      </c>
    </row>
    <row r="229" spans="1:5" x14ac:dyDescent="0.2">
      <c r="A229" s="26">
        <v>41974</v>
      </c>
      <c r="B229" s="5">
        <f>[1]עקיף!$B233</f>
        <v>4485</v>
      </c>
      <c r="C229" s="6">
        <f>[1]עקיף!$F233</f>
        <v>269</v>
      </c>
      <c r="D229" s="6">
        <f>[1]עקיף!$G233</f>
        <v>2562</v>
      </c>
      <c r="E229" s="8">
        <f t="shared" si="3"/>
        <v>2831</v>
      </c>
    </row>
    <row r="230" spans="1:5" x14ac:dyDescent="0.2">
      <c r="A230" s="26">
        <v>42005</v>
      </c>
      <c r="B230" s="5">
        <f>[1]עקיף!$B234</f>
        <v>3411</v>
      </c>
      <c r="C230" s="6">
        <f>[1]עקיף!$F234</f>
        <v>236</v>
      </c>
      <c r="D230" s="6">
        <f>[1]עקיף!$G234</f>
        <v>1082</v>
      </c>
      <c r="E230" s="8">
        <f t="shared" si="3"/>
        <v>1318</v>
      </c>
    </row>
    <row r="231" spans="1:5" x14ac:dyDescent="0.2">
      <c r="A231" s="26">
        <v>42036</v>
      </c>
      <c r="B231" s="5">
        <f>[1]עקיף!$B235</f>
        <v>3272</v>
      </c>
      <c r="C231" s="6">
        <f>[1]עקיף!$F235</f>
        <v>231</v>
      </c>
      <c r="D231" s="6">
        <f>[1]עקיף!$G235</f>
        <v>1115</v>
      </c>
      <c r="E231" s="8">
        <f t="shared" si="3"/>
        <v>1346</v>
      </c>
    </row>
    <row r="232" spans="1:5" x14ac:dyDescent="0.2">
      <c r="A232" s="26">
        <v>42064</v>
      </c>
      <c r="B232" s="5">
        <f>[1]עקיף!$B236</f>
        <v>4097</v>
      </c>
      <c r="C232" s="6">
        <f>[1]עקיף!$F236</f>
        <v>302</v>
      </c>
      <c r="D232" s="6">
        <f>[1]עקיף!$G236</f>
        <v>1576</v>
      </c>
      <c r="E232" s="8">
        <f t="shared" si="3"/>
        <v>1878</v>
      </c>
    </row>
    <row r="233" spans="1:5" x14ac:dyDescent="0.2">
      <c r="A233" s="26">
        <v>42095</v>
      </c>
      <c r="B233" s="5">
        <f>[1]עקיף!$B237</f>
        <v>3390</v>
      </c>
      <c r="C233" s="6">
        <f>[1]עקיף!$F237</f>
        <v>176</v>
      </c>
      <c r="D233" s="6">
        <f>[1]עקיף!$G237</f>
        <v>1214</v>
      </c>
      <c r="E233" s="8">
        <f t="shared" si="3"/>
        <v>1390</v>
      </c>
    </row>
    <row r="234" spans="1:5" x14ac:dyDescent="0.2">
      <c r="A234" s="26">
        <v>42125</v>
      </c>
      <c r="B234" s="5">
        <f>[1]עקיף!$B238</f>
        <v>3645</v>
      </c>
      <c r="C234" s="6">
        <f>[1]עקיף!$F238</f>
        <v>234</v>
      </c>
      <c r="D234" s="6">
        <f>[1]עקיף!$G238</f>
        <v>1536</v>
      </c>
      <c r="E234" s="8">
        <f t="shared" si="3"/>
        <v>1770</v>
      </c>
    </row>
    <row r="235" spans="1:5" x14ac:dyDescent="0.2">
      <c r="A235" s="26">
        <v>42156</v>
      </c>
      <c r="B235" s="5">
        <f>[1]עקיף!$B239</f>
        <v>3771</v>
      </c>
      <c r="C235" s="6">
        <f>[1]עקיף!$F239</f>
        <v>267</v>
      </c>
      <c r="D235" s="6">
        <f>[1]עקיף!$G239</f>
        <v>1484</v>
      </c>
      <c r="E235" s="8">
        <f t="shared" si="3"/>
        <v>1751</v>
      </c>
    </row>
    <row r="236" spans="1:5" x14ac:dyDescent="0.2">
      <c r="A236" s="26">
        <v>42186</v>
      </c>
      <c r="B236" s="5">
        <f>[1]עקיף!$B240</f>
        <v>3812</v>
      </c>
      <c r="C236" s="6">
        <f>[1]עקיף!$F240</f>
        <v>247</v>
      </c>
      <c r="D236" s="6">
        <f>[1]עקיף!$G240</f>
        <v>1577</v>
      </c>
      <c r="E236" s="8">
        <f t="shared" si="3"/>
        <v>1824</v>
      </c>
    </row>
    <row r="237" spans="1:5" x14ac:dyDescent="0.2">
      <c r="A237" s="26">
        <v>42217</v>
      </c>
      <c r="B237" s="5">
        <f>[1]עקיף!$B241</f>
        <v>3766</v>
      </c>
      <c r="C237" s="6">
        <f>[1]עקיף!$F241</f>
        <v>325</v>
      </c>
      <c r="D237" s="6">
        <f>[1]עקיף!$G241</f>
        <v>1612</v>
      </c>
      <c r="E237" s="8">
        <f t="shared" si="3"/>
        <v>1937</v>
      </c>
    </row>
    <row r="238" spans="1:5" x14ac:dyDescent="0.2">
      <c r="A238" s="26">
        <v>42248</v>
      </c>
      <c r="B238" s="5">
        <f>[1]עקיף!$B242</f>
        <v>2909</v>
      </c>
      <c r="C238" s="6">
        <f>[1]עקיף!$F242</f>
        <v>201</v>
      </c>
      <c r="D238" s="6">
        <f>[1]עקיף!$G242</f>
        <v>1037</v>
      </c>
      <c r="E238" s="8">
        <f t="shared" si="3"/>
        <v>1238</v>
      </c>
    </row>
    <row r="239" spans="1:5" x14ac:dyDescent="0.2">
      <c r="A239" s="26">
        <v>42278</v>
      </c>
      <c r="B239" s="5">
        <f>[1]עקיף!$B243</f>
        <v>3551</v>
      </c>
      <c r="C239" s="6">
        <f>[1]עקיף!$F243</f>
        <v>279</v>
      </c>
      <c r="D239" s="6">
        <f>[1]עקיף!$G243</f>
        <v>1413</v>
      </c>
      <c r="E239" s="8">
        <f t="shared" si="3"/>
        <v>1692</v>
      </c>
    </row>
    <row r="240" spans="1:5" x14ac:dyDescent="0.2">
      <c r="A240" s="26">
        <v>42309</v>
      </c>
      <c r="B240" s="5">
        <f>[1]עקיף!$B244</f>
        <v>3306</v>
      </c>
      <c r="C240" s="6">
        <f>[1]עקיף!$F244</f>
        <v>202</v>
      </c>
      <c r="D240" s="6">
        <f>[1]עקיף!$G244</f>
        <v>1248</v>
      </c>
      <c r="E240" s="8">
        <f t="shared" si="3"/>
        <v>1450</v>
      </c>
    </row>
    <row r="241" spans="1:5" x14ac:dyDescent="0.2">
      <c r="A241" s="26">
        <v>42339</v>
      </c>
      <c r="B241" s="5">
        <f>[1]עקיף!$B245</f>
        <v>3742</v>
      </c>
      <c r="C241" s="6">
        <f>[1]עקיף!$F245</f>
        <v>178</v>
      </c>
      <c r="D241" s="6">
        <f>[1]עקיף!$G245</f>
        <v>1597</v>
      </c>
      <c r="E241" s="8">
        <f t="shared" si="3"/>
        <v>1775</v>
      </c>
    </row>
    <row r="242" spans="1:5" x14ac:dyDescent="0.2">
      <c r="A242" s="26">
        <v>42370</v>
      </c>
      <c r="B242" s="5">
        <f>[1]עקיף!$B246</f>
        <v>3278</v>
      </c>
      <c r="C242" s="6">
        <f>[1]עקיף!$F246</f>
        <v>275</v>
      </c>
      <c r="D242" s="6">
        <f>[1]עקיף!$G246</f>
        <v>1915</v>
      </c>
      <c r="E242" s="8">
        <f t="shared" si="3"/>
        <v>2190</v>
      </c>
    </row>
    <row r="243" spans="1:5" x14ac:dyDescent="0.2">
      <c r="A243" s="26">
        <v>42401</v>
      </c>
      <c r="B243" s="5">
        <f>[1]עקיף!$B247</f>
        <v>3448</v>
      </c>
      <c r="C243" s="6">
        <f>[1]עקיף!$F247</f>
        <v>294</v>
      </c>
      <c r="D243" s="6">
        <f>[1]עקיף!$G247</f>
        <v>1334</v>
      </c>
      <c r="E243" s="8">
        <f t="shared" si="3"/>
        <v>1628</v>
      </c>
    </row>
    <row r="244" spans="1:5" x14ac:dyDescent="0.2">
      <c r="A244" s="26">
        <v>42430</v>
      </c>
      <c r="B244" s="5">
        <f>[1]עקיף!$B248</f>
        <v>3751</v>
      </c>
      <c r="C244" s="6">
        <f>[1]עקיף!$F248</f>
        <v>262</v>
      </c>
      <c r="D244" s="6">
        <f>[1]עקיף!$G248</f>
        <v>1781</v>
      </c>
      <c r="E244" s="8">
        <f t="shared" si="3"/>
        <v>2043</v>
      </c>
    </row>
    <row r="245" spans="1:5" x14ac:dyDescent="0.2">
      <c r="A245" s="26">
        <v>42461</v>
      </c>
      <c r="B245" s="5">
        <f>[1]עקיף!$B249</f>
        <v>3152</v>
      </c>
      <c r="C245" s="6">
        <f>[1]עקיף!$F249</f>
        <v>202</v>
      </c>
      <c r="D245" s="6">
        <f>[1]עקיף!$G249</f>
        <v>1444</v>
      </c>
      <c r="E245" s="8">
        <f t="shared" si="3"/>
        <v>1646</v>
      </c>
    </row>
    <row r="246" spans="1:5" x14ac:dyDescent="0.2">
      <c r="A246" s="26">
        <v>42491</v>
      </c>
      <c r="B246" s="5">
        <f>[1]עקיף!$B250</f>
        <v>4041</v>
      </c>
      <c r="C246" s="6">
        <f>[1]עקיף!$F250</f>
        <v>316</v>
      </c>
      <c r="D246" s="6">
        <f>[1]עקיף!$G250</f>
        <v>1952</v>
      </c>
      <c r="E246" s="8">
        <f t="shared" si="3"/>
        <v>2268</v>
      </c>
    </row>
    <row r="247" spans="1:5" x14ac:dyDescent="0.2">
      <c r="A247" s="26">
        <v>42522</v>
      </c>
      <c r="B247" s="5">
        <f>[1]עקיף!$B251</f>
        <v>3687</v>
      </c>
      <c r="C247" s="6">
        <f>[1]עקיף!$F251</f>
        <v>271</v>
      </c>
      <c r="D247" s="6">
        <f>[1]עקיף!$G251</f>
        <v>1564</v>
      </c>
      <c r="E247" s="8">
        <f t="shared" si="3"/>
        <v>1835</v>
      </c>
    </row>
    <row r="248" spans="1:5" x14ac:dyDescent="0.2">
      <c r="A248" s="26">
        <v>42552</v>
      </c>
      <c r="B248" s="5">
        <f>[1]עקיף!$B252</f>
        <v>3659</v>
      </c>
      <c r="C248" s="6">
        <f>[1]עקיף!$F252</f>
        <v>278</v>
      </c>
      <c r="D248" s="6">
        <f>[1]עקיף!$G252</f>
        <v>1621</v>
      </c>
      <c r="E248" s="8">
        <f t="shared" si="3"/>
        <v>1899</v>
      </c>
    </row>
    <row r="249" spans="1:5" x14ac:dyDescent="0.2">
      <c r="A249" s="26">
        <v>42583</v>
      </c>
      <c r="B249" s="5">
        <f>[1]עקיף!$B253</f>
        <v>4019</v>
      </c>
      <c r="C249" s="6">
        <f>[1]עקיף!$F253</f>
        <v>316</v>
      </c>
      <c r="D249" s="6">
        <f>[1]עקיף!$G253</f>
        <v>1632</v>
      </c>
      <c r="E249" s="8">
        <f t="shared" si="3"/>
        <v>1948</v>
      </c>
    </row>
    <row r="250" spans="1:5" x14ac:dyDescent="0.2">
      <c r="A250" s="26">
        <v>42614</v>
      </c>
      <c r="B250" s="5">
        <f>[1]עקיף!$B254</f>
        <v>3694</v>
      </c>
      <c r="C250" s="6">
        <f>[1]עקיף!$F254</f>
        <v>310</v>
      </c>
      <c r="D250" s="6">
        <f>[1]עקיף!$G254</f>
        <v>1673</v>
      </c>
      <c r="E250" s="8">
        <f t="shared" si="3"/>
        <v>1983</v>
      </c>
    </row>
    <row r="251" spans="1:5" x14ac:dyDescent="0.2">
      <c r="A251" s="26">
        <v>42644</v>
      </c>
      <c r="B251" s="5">
        <f>[1]עקיף!$B255</f>
        <v>3043</v>
      </c>
      <c r="C251" s="6">
        <f>[1]עקיף!$F255</f>
        <v>203</v>
      </c>
      <c r="D251" s="6">
        <f>[1]עקיף!$G255</f>
        <v>1033</v>
      </c>
      <c r="E251" s="8">
        <f t="shared" si="3"/>
        <v>1236</v>
      </c>
    </row>
    <row r="252" spans="1:5" x14ac:dyDescent="0.2">
      <c r="A252" s="26">
        <v>42675</v>
      </c>
      <c r="B252" s="5">
        <f>[1]עקיף!$B256</f>
        <v>3497</v>
      </c>
      <c r="C252" s="6">
        <f>[1]עקיף!$F256</f>
        <v>258</v>
      </c>
      <c r="D252" s="6">
        <f>[1]עקיף!$G256</f>
        <v>1423</v>
      </c>
      <c r="E252" s="8">
        <f t="shared" si="3"/>
        <v>1681</v>
      </c>
    </row>
    <row r="253" spans="1:5" x14ac:dyDescent="0.2">
      <c r="A253" s="26">
        <v>42705</v>
      </c>
      <c r="B253" s="5">
        <f>[1]עקיף!$B257</f>
        <v>4320</v>
      </c>
      <c r="C253" s="6">
        <f>[1]עקיף!$F257</f>
        <v>312</v>
      </c>
      <c r="D253" s="6">
        <f>[1]עקיף!$G257</f>
        <v>3182</v>
      </c>
      <c r="E253" s="8">
        <f t="shared" si="3"/>
        <v>3494</v>
      </c>
    </row>
    <row r="254" spans="1:5" x14ac:dyDescent="0.2">
      <c r="A254" s="26">
        <v>42736</v>
      </c>
      <c r="B254" s="5">
        <f>[1]עקיף!$B258</f>
        <v>3602</v>
      </c>
      <c r="C254" s="6">
        <f>[1]עקיף!$F258</f>
        <v>267</v>
      </c>
      <c r="D254" s="6">
        <f>[1]עקיף!$G258</f>
        <v>1109</v>
      </c>
      <c r="E254" s="8">
        <f t="shared" si="3"/>
        <v>1376</v>
      </c>
    </row>
    <row r="255" spans="1:5" x14ac:dyDescent="0.2">
      <c r="A255" s="26">
        <v>42767</v>
      </c>
      <c r="B255" s="5">
        <f>[1]עקיף!$B259</f>
        <v>3302</v>
      </c>
      <c r="C255" s="6">
        <f>[1]עקיף!$F259</f>
        <v>260</v>
      </c>
      <c r="D255" s="6">
        <f>[1]עקיף!$G259</f>
        <v>1020</v>
      </c>
      <c r="E255" s="8">
        <f t="shared" si="3"/>
        <v>1280</v>
      </c>
    </row>
    <row r="256" spans="1:5" x14ac:dyDescent="0.2">
      <c r="A256" s="26">
        <v>42795</v>
      </c>
      <c r="B256" s="5">
        <f>[1]עקיף!$B260</f>
        <v>3720</v>
      </c>
      <c r="C256" s="6">
        <f>[1]עקיף!$F260</f>
        <v>248</v>
      </c>
      <c r="D256" s="6">
        <f>[1]עקיף!$G260</f>
        <v>1630</v>
      </c>
      <c r="E256" s="8">
        <f t="shared" si="3"/>
        <v>1878</v>
      </c>
    </row>
    <row r="257" spans="1:5" x14ac:dyDescent="0.2">
      <c r="A257" s="26">
        <v>42826</v>
      </c>
      <c r="B257" s="5">
        <f>[1]עקיף!$B261</f>
        <v>3250</v>
      </c>
      <c r="C257" s="6">
        <f>[1]עקיף!$F261</f>
        <v>217</v>
      </c>
      <c r="D257" s="6">
        <f>[1]עקיף!$G261</f>
        <v>1324</v>
      </c>
      <c r="E257" s="8">
        <f t="shared" si="3"/>
        <v>1541</v>
      </c>
    </row>
    <row r="258" spans="1:5" x14ac:dyDescent="0.2">
      <c r="A258" s="26">
        <v>42856</v>
      </c>
      <c r="B258" s="5">
        <f>[1]עקיף!$B262</f>
        <v>3660</v>
      </c>
      <c r="C258" s="6">
        <f>[1]עקיף!$F262</f>
        <v>289</v>
      </c>
      <c r="D258" s="6">
        <f>[1]עקיף!$G262</f>
        <v>1544</v>
      </c>
      <c r="E258" s="8">
        <f t="shared" ref="E258:E321" si="4">SUM(C258:D258)</f>
        <v>1833</v>
      </c>
    </row>
    <row r="259" spans="1:5" x14ac:dyDescent="0.2">
      <c r="A259" s="26">
        <v>42887</v>
      </c>
      <c r="B259" s="5">
        <f>[1]עקיף!$B263</f>
        <v>3432</v>
      </c>
      <c r="C259" s="6">
        <f>[1]עקיף!$F263</f>
        <v>247</v>
      </c>
      <c r="D259" s="6">
        <f>[1]עקיף!$G263</f>
        <v>1282</v>
      </c>
      <c r="E259" s="8">
        <f t="shared" si="4"/>
        <v>1529</v>
      </c>
    </row>
    <row r="260" spans="1:5" x14ac:dyDescent="0.2">
      <c r="A260" s="26">
        <v>42917</v>
      </c>
      <c r="B260" s="5">
        <f>[1]עקיף!$B264</f>
        <v>3700</v>
      </c>
      <c r="C260" s="6">
        <f>[1]עקיף!$F264</f>
        <v>280</v>
      </c>
      <c r="D260" s="6">
        <f>[1]עקיף!$G264</f>
        <v>1733</v>
      </c>
      <c r="E260" s="8">
        <f t="shared" si="4"/>
        <v>2013</v>
      </c>
    </row>
    <row r="261" spans="1:5" x14ac:dyDescent="0.2">
      <c r="A261" s="26">
        <v>42948</v>
      </c>
      <c r="B261" s="5">
        <f>[1]עקיף!$B265</f>
        <v>3906</v>
      </c>
      <c r="C261" s="6">
        <f>[1]עקיף!$F265</f>
        <v>302</v>
      </c>
      <c r="D261" s="6">
        <f>[1]עקיף!$G265</f>
        <v>1415</v>
      </c>
      <c r="E261" s="8">
        <f t="shared" si="4"/>
        <v>1717</v>
      </c>
    </row>
    <row r="262" spans="1:5" x14ac:dyDescent="0.2">
      <c r="A262" s="26">
        <v>42979</v>
      </c>
      <c r="B262" s="5">
        <f>[1]עקיף!$B266</f>
        <v>3337</v>
      </c>
      <c r="C262" s="6">
        <f>[1]עקיף!$F266</f>
        <v>222</v>
      </c>
      <c r="D262" s="6">
        <f>[1]עקיף!$G266</f>
        <v>1169</v>
      </c>
      <c r="E262" s="8">
        <f t="shared" si="4"/>
        <v>1391</v>
      </c>
    </row>
    <row r="263" spans="1:5" x14ac:dyDescent="0.2">
      <c r="A263" s="26">
        <v>43009</v>
      </c>
      <c r="B263" s="5">
        <f>[1]עקיף!$B267</f>
        <v>3672</v>
      </c>
      <c r="C263" s="6">
        <f>[1]עקיף!$F267</f>
        <v>226</v>
      </c>
      <c r="D263" s="6">
        <f>[1]עקיף!$G267</f>
        <v>1245</v>
      </c>
      <c r="E263" s="8">
        <f t="shared" si="4"/>
        <v>1471</v>
      </c>
    </row>
    <row r="264" spans="1:5" x14ac:dyDescent="0.2">
      <c r="A264" s="26">
        <v>43040</v>
      </c>
      <c r="B264" s="5">
        <f>[1]עקיף!$B268</f>
        <v>3425</v>
      </c>
      <c r="C264" s="6">
        <f>[1]עקיף!$F268</f>
        <v>225</v>
      </c>
      <c r="D264" s="6">
        <f>[1]עקיף!$G268</f>
        <v>1255</v>
      </c>
      <c r="E264" s="8">
        <f t="shared" si="4"/>
        <v>1480</v>
      </c>
    </row>
    <row r="265" spans="1:5" x14ac:dyDescent="0.2">
      <c r="A265" s="26">
        <v>43070</v>
      </c>
      <c r="B265" s="5">
        <f>[1]עקיף!$B269</f>
        <v>3863</v>
      </c>
      <c r="C265" s="6">
        <f>[1]עקיף!$F269</f>
        <v>235</v>
      </c>
      <c r="D265" s="6">
        <f>[1]עקיף!$G269</f>
        <v>1424</v>
      </c>
      <c r="E265" s="8">
        <f t="shared" si="4"/>
        <v>1659</v>
      </c>
    </row>
    <row r="266" spans="1:5" x14ac:dyDescent="0.2">
      <c r="A266" s="26">
        <v>43101</v>
      </c>
      <c r="B266" s="5">
        <f>[1]עקיף!$B270</f>
        <v>3951</v>
      </c>
      <c r="C266" s="6">
        <f>[1]עקיף!$F270</f>
        <v>263</v>
      </c>
      <c r="D266" s="6">
        <f>[1]עקיף!$G270</f>
        <v>1743</v>
      </c>
      <c r="E266" s="8">
        <f t="shared" si="4"/>
        <v>2006</v>
      </c>
    </row>
    <row r="267" spans="1:5" x14ac:dyDescent="0.2">
      <c r="A267" s="26">
        <v>43132</v>
      </c>
      <c r="B267" s="5">
        <f>[1]עקיף!$B271</f>
        <v>3911</v>
      </c>
      <c r="C267" s="6">
        <f>[1]עקיף!$F271</f>
        <v>235</v>
      </c>
      <c r="D267" s="6">
        <f>[1]עקיף!$G271</f>
        <v>1751</v>
      </c>
      <c r="E267" s="8">
        <f t="shared" si="4"/>
        <v>1986</v>
      </c>
    </row>
    <row r="268" spans="1:5" x14ac:dyDescent="0.2">
      <c r="A268" s="26">
        <v>43160</v>
      </c>
      <c r="B268" s="5">
        <f>[1]עקיף!$B272</f>
        <v>4092</v>
      </c>
      <c r="C268" s="6">
        <f>[1]עקיף!$F272</f>
        <v>245</v>
      </c>
      <c r="D268" s="6">
        <f>[1]עקיף!$G272</f>
        <v>1678</v>
      </c>
      <c r="E268" s="8">
        <f t="shared" si="4"/>
        <v>1923</v>
      </c>
    </row>
    <row r="269" spans="1:5" x14ac:dyDescent="0.2">
      <c r="A269" s="26">
        <v>43191</v>
      </c>
      <c r="B269" s="5">
        <f>[1]עקיף!$B273</f>
        <v>3795</v>
      </c>
      <c r="C269" s="6">
        <f>[1]עקיף!$F273</f>
        <v>195</v>
      </c>
      <c r="D269" s="6">
        <f>[1]עקיף!$G273</f>
        <v>1317</v>
      </c>
      <c r="E269" s="8">
        <f t="shared" si="4"/>
        <v>1512</v>
      </c>
    </row>
    <row r="270" spans="1:5" x14ac:dyDescent="0.2">
      <c r="A270" s="26">
        <v>43221</v>
      </c>
      <c r="B270" s="5">
        <f>[1]עקיף!$B274</f>
        <v>4080</v>
      </c>
      <c r="C270" s="6">
        <f>[1]עקיף!$F274</f>
        <v>257</v>
      </c>
      <c r="D270" s="6">
        <f>[1]עקיף!$G274</f>
        <v>1420</v>
      </c>
      <c r="E270" s="8">
        <f t="shared" si="4"/>
        <v>1677</v>
      </c>
    </row>
    <row r="271" spans="1:5" x14ac:dyDescent="0.2">
      <c r="A271" s="26">
        <v>43252</v>
      </c>
      <c r="B271" s="5">
        <f>[1]עקיף!$B275</f>
        <v>3866</v>
      </c>
      <c r="C271" s="6">
        <f>[1]עקיף!$F275</f>
        <v>235</v>
      </c>
      <c r="D271" s="6">
        <f>[1]עקיף!$G275</f>
        <v>1398</v>
      </c>
      <c r="E271" s="8">
        <f t="shared" si="4"/>
        <v>1633</v>
      </c>
    </row>
    <row r="272" spans="1:5" x14ac:dyDescent="0.2">
      <c r="A272" s="26">
        <v>43282</v>
      </c>
      <c r="B272" s="5">
        <f>[1]עקיף!$B276</f>
        <v>4415</v>
      </c>
      <c r="C272" s="6">
        <f>[1]עקיף!$F276</f>
        <v>262</v>
      </c>
      <c r="D272" s="6">
        <f>[1]עקיף!$G276</f>
        <v>1592</v>
      </c>
      <c r="E272" s="8">
        <f t="shared" si="4"/>
        <v>1854</v>
      </c>
    </row>
    <row r="273" spans="1:5" x14ac:dyDescent="0.2">
      <c r="A273" s="26">
        <v>43313</v>
      </c>
      <c r="B273" s="5">
        <f>[1]עקיף!$B277</f>
        <v>4186</v>
      </c>
      <c r="C273" s="6">
        <f>[1]עקיף!$F277</f>
        <v>270</v>
      </c>
      <c r="D273" s="6">
        <f>[1]עקיף!$G277</f>
        <v>1538</v>
      </c>
      <c r="E273" s="8">
        <f t="shared" si="4"/>
        <v>1808</v>
      </c>
    </row>
    <row r="274" spans="1:5" x14ac:dyDescent="0.2">
      <c r="A274" s="26">
        <v>43344</v>
      </c>
      <c r="B274" s="5">
        <f>[1]עקיף!$B278</f>
        <v>3029</v>
      </c>
      <c r="C274" s="6">
        <f>[1]עקיף!$F278</f>
        <v>146</v>
      </c>
      <c r="D274" s="6">
        <f>[1]עקיף!$G278</f>
        <v>1032</v>
      </c>
      <c r="E274" s="8">
        <f t="shared" si="4"/>
        <v>1178</v>
      </c>
    </row>
    <row r="275" spans="1:5" x14ac:dyDescent="0.2">
      <c r="A275" s="26">
        <v>43374</v>
      </c>
      <c r="B275" s="5">
        <f>[1]עקיף!$B279</f>
        <v>4310</v>
      </c>
      <c r="C275" s="6">
        <f>[1]עקיף!$F279</f>
        <v>235</v>
      </c>
      <c r="D275" s="6">
        <f>[1]עקיף!$G279</f>
        <v>1400</v>
      </c>
      <c r="E275" s="8">
        <f t="shared" si="4"/>
        <v>1635</v>
      </c>
    </row>
    <row r="276" spans="1:5" x14ac:dyDescent="0.2">
      <c r="A276" s="26">
        <v>43405</v>
      </c>
      <c r="B276" s="5">
        <f>[1]עקיף!$B280</f>
        <v>3893</v>
      </c>
      <c r="C276" s="6">
        <f>[1]עקיף!$F280</f>
        <v>198</v>
      </c>
      <c r="D276" s="6">
        <f>[1]עקיף!$G280</f>
        <v>1267</v>
      </c>
      <c r="E276" s="8">
        <f t="shared" si="4"/>
        <v>1465</v>
      </c>
    </row>
    <row r="277" spans="1:5" x14ac:dyDescent="0.2">
      <c r="A277" s="26">
        <v>43435</v>
      </c>
      <c r="B277" s="5">
        <f>[1]עקיף!$B281</f>
        <v>3982</v>
      </c>
      <c r="C277" s="6">
        <f>[1]עקיף!$F281</f>
        <v>252</v>
      </c>
      <c r="D277" s="6">
        <f>[1]עקיף!$G281</f>
        <v>1345</v>
      </c>
      <c r="E277" s="8">
        <f t="shared" si="4"/>
        <v>1597</v>
      </c>
    </row>
    <row r="278" spans="1:5" x14ac:dyDescent="0.2">
      <c r="A278" s="26">
        <v>43466</v>
      </c>
      <c r="B278" s="5">
        <f>[1]עקיף!$B282</f>
        <v>4219</v>
      </c>
      <c r="C278" s="6">
        <f>[1]עקיף!$F282</f>
        <v>277</v>
      </c>
      <c r="D278" s="6">
        <f>[1]עקיף!$G282</f>
        <v>1394</v>
      </c>
      <c r="E278" s="8">
        <f t="shared" si="4"/>
        <v>1671</v>
      </c>
    </row>
    <row r="279" spans="1:5" x14ac:dyDescent="0.2">
      <c r="A279" s="26">
        <v>43497</v>
      </c>
      <c r="B279" s="5">
        <f>[1]עקיף!$B283</f>
        <v>4047</v>
      </c>
      <c r="C279" s="6">
        <f>[1]עקיף!$F283</f>
        <v>277</v>
      </c>
      <c r="D279" s="6">
        <f>[1]עקיף!$G283</f>
        <v>1351</v>
      </c>
      <c r="E279" s="8">
        <f t="shared" si="4"/>
        <v>1628</v>
      </c>
    </row>
    <row r="280" spans="1:5" x14ac:dyDescent="0.2">
      <c r="A280" s="26">
        <v>43525</v>
      </c>
      <c r="B280" s="5">
        <f>[1]עקיף!$B284</f>
        <v>4663</v>
      </c>
      <c r="C280" s="6">
        <f>[1]עקיף!$F284</f>
        <v>305</v>
      </c>
      <c r="D280" s="6">
        <f>[1]עקיף!$G284</f>
        <v>2813</v>
      </c>
      <c r="E280" s="8">
        <f t="shared" si="4"/>
        <v>3118</v>
      </c>
    </row>
    <row r="281" spans="1:5" x14ac:dyDescent="0.2">
      <c r="A281" s="26">
        <v>43556</v>
      </c>
      <c r="B281" s="5">
        <f>[1]עקיף!$B285</f>
        <v>3934</v>
      </c>
      <c r="C281" s="6">
        <f>[1]עקיף!$F285</f>
        <v>231</v>
      </c>
      <c r="D281" s="6">
        <f>[1]עקיף!$G285</f>
        <v>1011</v>
      </c>
      <c r="E281" s="8">
        <f t="shared" si="4"/>
        <v>1242</v>
      </c>
    </row>
    <row r="282" spans="1:5" x14ac:dyDescent="0.2">
      <c r="A282" s="26">
        <v>43586</v>
      </c>
      <c r="B282" s="5">
        <f>[1]עקיף!$B286</f>
        <v>3875</v>
      </c>
      <c r="C282" s="6">
        <f>[1]עקיף!$F286</f>
        <v>236</v>
      </c>
      <c r="D282" s="6">
        <f>[1]עקיף!$G286</f>
        <v>1100</v>
      </c>
      <c r="E282" s="8">
        <f t="shared" si="4"/>
        <v>1336</v>
      </c>
    </row>
    <row r="283" spans="1:5" x14ac:dyDescent="0.2">
      <c r="A283" s="26">
        <v>43617</v>
      </c>
      <c r="B283" s="5">
        <f>[1]עקיף!$B287</f>
        <v>3714</v>
      </c>
      <c r="C283" s="6">
        <f>[1]עקיף!$F287</f>
        <v>223</v>
      </c>
      <c r="D283" s="6">
        <f>[1]עקיף!$G287</f>
        <v>1140</v>
      </c>
      <c r="E283" s="8">
        <f t="shared" si="4"/>
        <v>1363</v>
      </c>
    </row>
    <row r="284" spans="1:5" x14ac:dyDescent="0.2">
      <c r="A284" s="26">
        <v>43647</v>
      </c>
      <c r="B284" s="5">
        <f>[1]עקיף!$B288</f>
        <v>4545</v>
      </c>
      <c r="C284" s="6">
        <f>[1]עקיף!$F288</f>
        <v>249</v>
      </c>
      <c r="D284" s="6">
        <f>[1]עקיף!$G288</f>
        <v>1359</v>
      </c>
      <c r="E284" s="8">
        <f t="shared" si="4"/>
        <v>1608</v>
      </c>
    </row>
    <row r="285" spans="1:5" x14ac:dyDescent="0.2">
      <c r="A285" s="26">
        <v>43678</v>
      </c>
      <c r="B285" s="5">
        <f>[1]עקיף!$B289</f>
        <v>3969</v>
      </c>
      <c r="C285" s="6">
        <f>[1]עקיף!$F289</f>
        <v>232</v>
      </c>
      <c r="D285" s="6">
        <f>[1]עקיף!$G289</f>
        <v>1274</v>
      </c>
      <c r="E285" s="8">
        <f t="shared" si="4"/>
        <v>1506</v>
      </c>
    </row>
    <row r="286" spans="1:5" x14ac:dyDescent="0.2">
      <c r="A286" s="26">
        <v>43709</v>
      </c>
      <c r="B286" s="5">
        <f>[1]עקיף!$B290</f>
        <v>3456</v>
      </c>
      <c r="C286" s="6">
        <f>[1]עקיף!$F290</f>
        <v>209</v>
      </c>
      <c r="D286" s="6">
        <f>[1]עקיף!$G290</f>
        <v>1397</v>
      </c>
      <c r="E286" s="8">
        <f t="shared" si="4"/>
        <v>1606</v>
      </c>
    </row>
    <row r="287" spans="1:5" x14ac:dyDescent="0.2">
      <c r="A287" s="26">
        <v>43739</v>
      </c>
      <c r="B287" s="5">
        <f>[1]עקיף!$B291</f>
        <v>3767</v>
      </c>
      <c r="C287" s="6">
        <f>[1]עקיף!$F291</f>
        <v>236</v>
      </c>
      <c r="D287" s="6">
        <f>[1]עקיף!$G291</f>
        <v>1227</v>
      </c>
      <c r="E287" s="8">
        <f t="shared" si="4"/>
        <v>1463</v>
      </c>
    </row>
    <row r="288" spans="1:5" x14ac:dyDescent="0.2">
      <c r="A288" s="26">
        <v>43770</v>
      </c>
      <c r="B288" s="5">
        <f>[1]עקיף!$B292</f>
        <v>3477</v>
      </c>
      <c r="C288" s="6">
        <f>[1]עקיף!$F292</f>
        <v>209</v>
      </c>
      <c r="D288" s="6">
        <f>[1]עקיף!$G292</f>
        <v>1178</v>
      </c>
      <c r="E288" s="8">
        <f t="shared" si="4"/>
        <v>1387</v>
      </c>
    </row>
    <row r="289" spans="1:5" x14ac:dyDescent="0.2">
      <c r="A289" s="26">
        <v>43800</v>
      </c>
      <c r="B289" s="5">
        <f>[1]עקיף!$B293</f>
        <v>4473</v>
      </c>
      <c r="C289" s="6">
        <f>[1]עקיף!$F293</f>
        <v>340</v>
      </c>
      <c r="D289" s="6">
        <f>[1]עקיף!$G293</f>
        <v>2547</v>
      </c>
      <c r="E289" s="8">
        <f t="shared" si="4"/>
        <v>2887</v>
      </c>
    </row>
    <row r="290" spans="1:5" x14ac:dyDescent="0.2">
      <c r="A290" s="26">
        <v>43831</v>
      </c>
      <c r="B290" s="5">
        <f>[1]עקיף!$B294</f>
        <v>3961</v>
      </c>
      <c r="C290" s="6">
        <f>[1]עקיף!$F294</f>
        <v>252</v>
      </c>
      <c r="D290" s="6">
        <f>[1]עקיף!$G294</f>
        <v>1360</v>
      </c>
      <c r="E290" s="8">
        <f t="shared" si="4"/>
        <v>1612</v>
      </c>
    </row>
    <row r="291" spans="1:5" x14ac:dyDescent="0.2">
      <c r="A291" s="26">
        <v>43862</v>
      </c>
      <c r="B291" s="5">
        <f>[1]עקיף!$B295</f>
        <v>3302</v>
      </c>
      <c r="C291" s="6">
        <f>[1]עקיף!$F295</f>
        <v>230</v>
      </c>
      <c r="D291" s="6">
        <f>[1]עקיף!$G295</f>
        <v>1317</v>
      </c>
      <c r="E291" s="8">
        <f t="shared" si="4"/>
        <v>1547</v>
      </c>
    </row>
    <row r="292" spans="1:5" x14ac:dyDescent="0.2">
      <c r="A292" s="26">
        <v>43891</v>
      </c>
      <c r="B292" s="5">
        <f>[1]עקיף!$B296</f>
        <v>3863</v>
      </c>
      <c r="C292" s="6">
        <f>[1]עקיף!$F296</f>
        <v>212</v>
      </c>
      <c r="D292" s="6">
        <f>[1]עקיף!$G296</f>
        <v>2022</v>
      </c>
      <c r="E292" s="8">
        <f t="shared" si="4"/>
        <v>2234</v>
      </c>
    </row>
    <row r="293" spans="1:5" x14ac:dyDescent="0.2">
      <c r="A293" s="26">
        <v>43922</v>
      </c>
      <c r="B293" s="5">
        <f>[1]עקיף!$B297</f>
        <v>3036</v>
      </c>
      <c r="C293" s="6">
        <f>[1]עקיף!$F297</f>
        <v>173</v>
      </c>
      <c r="D293" s="6">
        <f>[1]עקיף!$G297</f>
        <v>624</v>
      </c>
      <c r="E293" s="8">
        <f t="shared" si="4"/>
        <v>797</v>
      </c>
    </row>
    <row r="294" spans="1:5" x14ac:dyDescent="0.2">
      <c r="A294" s="26">
        <v>43952</v>
      </c>
      <c r="B294" s="5">
        <f>[1]עקיף!$B298</f>
        <v>3086</v>
      </c>
      <c r="C294" s="6">
        <f>[1]עקיף!$F298</f>
        <v>205</v>
      </c>
      <c r="D294" s="6">
        <f>[1]עקיף!$G298</f>
        <v>987</v>
      </c>
      <c r="E294" s="8">
        <f t="shared" si="4"/>
        <v>1192</v>
      </c>
    </row>
    <row r="295" spans="1:5" x14ac:dyDescent="0.2">
      <c r="A295" s="26">
        <v>43983</v>
      </c>
      <c r="B295" s="5">
        <f>[1]עקיף!$B299</f>
        <v>3589</v>
      </c>
      <c r="C295" s="6">
        <f>[1]עקיף!$F299</f>
        <v>227</v>
      </c>
      <c r="D295" s="6">
        <f>[1]עקיף!$G299</f>
        <v>1509</v>
      </c>
      <c r="E295" s="8">
        <f t="shared" si="4"/>
        <v>1736</v>
      </c>
    </row>
    <row r="296" spans="1:5" x14ac:dyDescent="0.2">
      <c r="A296" s="26">
        <v>44013</v>
      </c>
      <c r="B296" s="5">
        <f>[1]עקיף!$B300</f>
        <v>3698</v>
      </c>
      <c r="C296" s="6">
        <f>[1]עקיף!$F300</f>
        <v>252</v>
      </c>
      <c r="D296" s="6">
        <f>[1]עקיף!$G300</f>
        <v>1409</v>
      </c>
      <c r="E296" s="8">
        <f t="shared" si="4"/>
        <v>1661</v>
      </c>
    </row>
    <row r="297" spans="1:5" x14ac:dyDescent="0.2">
      <c r="A297" s="26">
        <v>44044</v>
      </c>
      <c r="B297" s="5">
        <f>[1]עקיף!$B301</f>
        <v>3574</v>
      </c>
      <c r="C297" s="6">
        <f>[1]עקיף!$F301</f>
        <v>225</v>
      </c>
      <c r="D297" s="6">
        <f>[1]עקיף!$G301</f>
        <v>1425</v>
      </c>
      <c r="E297" s="8">
        <f t="shared" si="4"/>
        <v>1650</v>
      </c>
    </row>
    <row r="298" spans="1:5" x14ac:dyDescent="0.2">
      <c r="A298" s="26">
        <v>44075</v>
      </c>
      <c r="B298" s="5">
        <f>[1]עקיף!$B302</f>
        <v>3454</v>
      </c>
      <c r="C298" s="6">
        <f>[1]עקיף!$F302</f>
        <v>236</v>
      </c>
      <c r="D298" s="6">
        <f>[1]עקיף!$G302</f>
        <v>1870</v>
      </c>
      <c r="E298" s="8">
        <f t="shared" si="4"/>
        <v>2106</v>
      </c>
    </row>
    <row r="299" spans="1:5" x14ac:dyDescent="0.2">
      <c r="A299" s="26">
        <v>44105</v>
      </c>
      <c r="B299" s="5">
        <f>[1]עקיף!$B303</f>
        <v>3545</v>
      </c>
      <c r="C299" s="6">
        <f>[1]עקיף!$F303</f>
        <v>237</v>
      </c>
      <c r="D299" s="6">
        <f>[1]עקיף!$G303</f>
        <v>1170</v>
      </c>
      <c r="E299" s="8">
        <f t="shared" si="4"/>
        <v>1407</v>
      </c>
    </row>
    <row r="300" spans="1:5" x14ac:dyDescent="0.2">
      <c r="A300" s="26">
        <v>44136</v>
      </c>
      <c r="B300" s="5">
        <f>[1]עקיף!$B304</f>
        <v>3636</v>
      </c>
      <c r="C300" s="6">
        <f>[1]עקיף!$F304</f>
        <v>256</v>
      </c>
      <c r="D300" s="6">
        <f>[1]עקיף!$G304</f>
        <v>1371</v>
      </c>
      <c r="E300" s="8">
        <f t="shared" si="4"/>
        <v>1627</v>
      </c>
    </row>
    <row r="301" spans="1:5" x14ac:dyDescent="0.2">
      <c r="A301" s="26">
        <v>44166</v>
      </c>
      <c r="B301" s="5">
        <f>[1]עקיף!$B305</f>
        <v>4751</v>
      </c>
      <c r="C301" s="6">
        <f>[1]עקיף!$F305</f>
        <v>378</v>
      </c>
      <c r="D301" s="6">
        <f>[1]עקיף!$G305</f>
        <v>3114</v>
      </c>
      <c r="E301" s="8">
        <f t="shared" si="4"/>
        <v>3492</v>
      </c>
    </row>
    <row r="302" spans="1:5" x14ac:dyDescent="0.2">
      <c r="A302" s="26">
        <v>44197</v>
      </c>
      <c r="B302" s="5">
        <f>[1]עקיף!$B306</f>
        <v>3910</v>
      </c>
      <c r="C302" s="6">
        <f>[1]עקיף!$F306</f>
        <v>271</v>
      </c>
      <c r="D302" s="6">
        <f>[1]עקיף!$G306</f>
        <v>1504</v>
      </c>
      <c r="E302" s="8">
        <f t="shared" si="4"/>
        <v>1775</v>
      </c>
    </row>
    <row r="303" spans="1:5" x14ac:dyDescent="0.2">
      <c r="A303" s="26">
        <v>44228</v>
      </c>
      <c r="B303" s="5">
        <f>[1]עקיף!$B307</f>
        <v>3943</v>
      </c>
      <c r="C303" s="6">
        <f>[1]עקיף!$F307</f>
        <v>275</v>
      </c>
      <c r="D303" s="6">
        <f>[1]עקיף!$G307</f>
        <v>1360</v>
      </c>
      <c r="E303" s="8">
        <f t="shared" si="4"/>
        <v>1635</v>
      </c>
    </row>
    <row r="304" spans="1:5" x14ac:dyDescent="0.2">
      <c r="A304" s="26">
        <v>44256</v>
      </c>
      <c r="B304" s="5">
        <f>[1]עקיף!$B308</f>
        <v>4595</v>
      </c>
      <c r="C304" s="6">
        <f>[1]עקיף!$F308</f>
        <v>310</v>
      </c>
      <c r="D304" s="6">
        <f>[1]עקיף!$G308</f>
        <v>1797</v>
      </c>
      <c r="E304" s="8">
        <f t="shared" si="4"/>
        <v>2107</v>
      </c>
    </row>
    <row r="305" spans="1:5" x14ac:dyDescent="0.2">
      <c r="A305" s="26">
        <v>44287</v>
      </c>
      <c r="B305" s="5">
        <f>[1]עקיף!$B309</f>
        <v>4362</v>
      </c>
      <c r="C305" s="6">
        <f>[1]עקיף!$F309</f>
        <v>295</v>
      </c>
      <c r="D305" s="6">
        <f>[1]עקיף!$G309</f>
        <v>1608</v>
      </c>
      <c r="E305" s="8">
        <f t="shared" si="4"/>
        <v>1903</v>
      </c>
    </row>
    <row r="306" spans="1:5" x14ac:dyDescent="0.2">
      <c r="A306" s="26">
        <v>44317</v>
      </c>
      <c r="B306" s="5">
        <f>[1]עקיף!$B310</f>
        <v>4206</v>
      </c>
      <c r="C306" s="6">
        <f>[1]עקיף!$F310</f>
        <v>286</v>
      </c>
      <c r="D306" s="6">
        <f>[1]עקיף!$G310</f>
        <v>1817</v>
      </c>
      <c r="E306" s="8">
        <f t="shared" si="4"/>
        <v>2103</v>
      </c>
    </row>
    <row r="307" spans="1:5" x14ac:dyDescent="0.2">
      <c r="A307" s="26">
        <v>44348</v>
      </c>
      <c r="B307" s="5">
        <f>[1]עקיף!$B311</f>
        <v>4533</v>
      </c>
      <c r="C307" s="6">
        <f>[1]עקיף!$F311</f>
        <v>329</v>
      </c>
      <c r="D307" s="6">
        <f>[1]עקיף!$G311</f>
        <v>2100</v>
      </c>
      <c r="E307" s="8">
        <f t="shared" si="4"/>
        <v>2429</v>
      </c>
    </row>
    <row r="308" spans="1:5" x14ac:dyDescent="0.2">
      <c r="A308" s="26">
        <v>44378</v>
      </c>
      <c r="B308" s="5">
        <f>[1]עקיף!$B312</f>
        <v>4542</v>
      </c>
      <c r="C308" s="6">
        <f>[1]עקיף!$F312</f>
        <v>318</v>
      </c>
      <c r="D308" s="6">
        <f>[1]עקיף!$G312</f>
        <v>1684</v>
      </c>
      <c r="E308" s="8">
        <f t="shared" si="4"/>
        <v>2002</v>
      </c>
    </row>
    <row r="309" spans="1:5" x14ac:dyDescent="0.2">
      <c r="A309" s="26">
        <v>44409</v>
      </c>
      <c r="B309" s="5">
        <f>[1]עקיף!$B313</f>
        <v>4892</v>
      </c>
      <c r="C309" s="6">
        <f>[1]עקיף!$F313</f>
        <v>345</v>
      </c>
      <c r="D309" s="6">
        <f>[1]עקיף!$G313</f>
        <v>1895</v>
      </c>
      <c r="E309" s="8">
        <f t="shared" si="4"/>
        <v>2240</v>
      </c>
    </row>
    <row r="310" spans="1:5" x14ac:dyDescent="0.2">
      <c r="A310" s="26">
        <v>44440</v>
      </c>
      <c r="B310" s="5">
        <f>[1]עקיף!$B314</f>
        <v>3717</v>
      </c>
      <c r="C310" s="6">
        <f>[1]עקיף!$F314</f>
        <v>240</v>
      </c>
      <c r="D310" s="6">
        <f>[1]עקיף!$G314</f>
        <v>1265</v>
      </c>
      <c r="E310" s="8">
        <f t="shared" si="4"/>
        <v>1505</v>
      </c>
    </row>
    <row r="311" spans="1:5" x14ac:dyDescent="0.2">
      <c r="A311" s="26">
        <v>44470</v>
      </c>
      <c r="B311" s="5">
        <f>[1]עקיף!$B315</f>
        <v>4837</v>
      </c>
      <c r="C311" s="6">
        <f>[1]עקיף!$F315</f>
        <v>324</v>
      </c>
      <c r="D311" s="6">
        <f>[1]עקיף!$G315</f>
        <v>1465</v>
      </c>
      <c r="E311" s="8">
        <f t="shared" si="4"/>
        <v>1789</v>
      </c>
    </row>
    <row r="312" spans="1:5" x14ac:dyDescent="0.2">
      <c r="A312" s="26">
        <v>44501</v>
      </c>
      <c r="B312" s="5">
        <f>[1]עקיף!$B316</f>
        <v>4798</v>
      </c>
      <c r="C312" s="6">
        <f>[1]עקיף!$F316</f>
        <v>321</v>
      </c>
      <c r="D312" s="6">
        <f>[1]עקיף!$G316</f>
        <v>1837</v>
      </c>
      <c r="E312" s="8">
        <f t="shared" si="4"/>
        <v>2158</v>
      </c>
    </row>
    <row r="313" spans="1:5" x14ac:dyDescent="0.2">
      <c r="A313" s="26">
        <v>44531</v>
      </c>
      <c r="B313" s="5">
        <f>[1]עקיף!$B317</f>
        <v>4568</v>
      </c>
      <c r="C313" s="6">
        <f>[1]עקיף!$F317</f>
        <v>371</v>
      </c>
      <c r="D313" s="6">
        <f>[1]עקיף!$G317</f>
        <v>1647</v>
      </c>
      <c r="E313" s="8">
        <f t="shared" si="4"/>
        <v>2018</v>
      </c>
    </row>
    <row r="314" spans="1:5" x14ac:dyDescent="0.2">
      <c r="A314" s="26">
        <v>44562</v>
      </c>
      <c r="B314" s="5">
        <f>[1]עקיף!$B318</f>
        <v>5105</v>
      </c>
      <c r="C314" s="6">
        <f>[1]עקיף!$F318</f>
        <v>362</v>
      </c>
      <c r="D314" s="6">
        <f>[1]עקיף!$G318</f>
        <v>1892</v>
      </c>
      <c r="E314" s="8">
        <f t="shared" si="4"/>
        <v>2254</v>
      </c>
    </row>
    <row r="315" spans="1:5" x14ac:dyDescent="0.2">
      <c r="A315" s="26">
        <v>44593</v>
      </c>
      <c r="B315" s="5">
        <f>[1]עקיף!$B319</f>
        <v>4931</v>
      </c>
      <c r="C315" s="6">
        <f>[1]עקיף!$F319</f>
        <v>350</v>
      </c>
      <c r="D315" s="6">
        <f>[1]עקיף!$G319</f>
        <v>1657</v>
      </c>
      <c r="E315" s="8">
        <f t="shared" si="4"/>
        <v>2007</v>
      </c>
    </row>
    <row r="316" spans="1:5" x14ac:dyDescent="0.2">
      <c r="A316" s="26">
        <v>44621</v>
      </c>
      <c r="B316" s="5">
        <f>[1]עקיף!$B320</f>
        <v>5704</v>
      </c>
      <c r="C316" s="6">
        <f>[1]עקיף!$F320</f>
        <v>354</v>
      </c>
      <c r="D316" s="6">
        <f>[1]עקיף!$G320</f>
        <v>1854</v>
      </c>
      <c r="E316" s="8">
        <f t="shared" si="4"/>
        <v>2208</v>
      </c>
    </row>
    <row r="317" spans="1:5" x14ac:dyDescent="0.2">
      <c r="A317" s="26">
        <v>44652</v>
      </c>
      <c r="B317" s="5">
        <f>[1]עקיף!$B321</f>
        <v>5121</v>
      </c>
      <c r="C317" s="6">
        <f>[1]עקיף!$F321</f>
        <v>316</v>
      </c>
      <c r="D317" s="6">
        <f>[1]עקיף!$G321</f>
        <v>1843</v>
      </c>
      <c r="E317" s="8">
        <f t="shared" si="4"/>
        <v>2159</v>
      </c>
    </row>
    <row r="318" spans="1:5" x14ac:dyDescent="0.2">
      <c r="A318" s="26">
        <v>44682</v>
      </c>
      <c r="B318" s="5">
        <f>[1]עקיף!$B322</f>
        <v>6214</v>
      </c>
      <c r="C318" s="6">
        <f>[1]עקיף!$F322</f>
        <v>288</v>
      </c>
      <c r="D318" s="6">
        <f>[1]עקיף!$G322</f>
        <v>1553</v>
      </c>
      <c r="E318" s="8">
        <f t="shared" si="4"/>
        <v>1841</v>
      </c>
    </row>
    <row r="319" spans="1:5" x14ac:dyDescent="0.2">
      <c r="A319" s="26">
        <v>44713</v>
      </c>
      <c r="B319" s="5">
        <f>[1]עקיף!$B323</f>
        <v>5378</v>
      </c>
      <c r="C319" s="6">
        <f>[1]עקיף!$F323</f>
        <v>173</v>
      </c>
      <c r="D319" s="6">
        <f>[1]עקיף!$G323</f>
        <v>1926</v>
      </c>
      <c r="E319" s="8">
        <f t="shared" si="4"/>
        <v>2099</v>
      </c>
    </row>
    <row r="320" spans="1:5" x14ac:dyDescent="0.2">
      <c r="A320" s="26">
        <v>44743</v>
      </c>
      <c r="B320" s="5">
        <f>[1]עקיף!$B324</f>
        <v>5785</v>
      </c>
      <c r="C320" s="6">
        <f>[1]עקיף!$F324</f>
        <v>182</v>
      </c>
      <c r="D320" s="6">
        <f>[1]עקיף!$G324</f>
        <v>1844</v>
      </c>
      <c r="E320" s="8">
        <f t="shared" si="4"/>
        <v>2026</v>
      </c>
    </row>
    <row r="321" spans="1:5" x14ac:dyDescent="0.2">
      <c r="A321" s="26">
        <v>44774</v>
      </c>
      <c r="B321" s="5">
        <f>[1]עקיף!$B325</f>
        <v>5621</v>
      </c>
      <c r="C321" s="6">
        <f>[1]עקיף!$F325</f>
        <v>161</v>
      </c>
      <c r="D321" s="6">
        <f>[1]עקיף!$G325</f>
        <v>1737</v>
      </c>
      <c r="E321" s="8">
        <f t="shared" si="4"/>
        <v>1898</v>
      </c>
    </row>
    <row r="322" spans="1:5" x14ac:dyDescent="0.2">
      <c r="A322" s="26">
        <v>44805</v>
      </c>
      <c r="B322" s="5">
        <f>[1]עקיף!$B326</f>
        <v>4779</v>
      </c>
      <c r="C322" s="6">
        <f>[1]עקיף!$F326</f>
        <v>121</v>
      </c>
      <c r="D322" s="6">
        <f>[1]עקיף!$G326</f>
        <v>1545</v>
      </c>
      <c r="E322" s="8">
        <f t="shared" ref="E322:E349" si="5">SUM(C322:D322)</f>
        <v>1666</v>
      </c>
    </row>
    <row r="323" spans="1:5" x14ac:dyDescent="0.2">
      <c r="A323" s="26">
        <v>44835</v>
      </c>
      <c r="B323" s="5">
        <f>[1]עקיף!$B327</f>
        <v>5179</v>
      </c>
      <c r="C323" s="6">
        <f>[1]עקיף!$F327</f>
        <v>171</v>
      </c>
      <c r="D323" s="6">
        <f>[1]עקיף!$G327</f>
        <v>1602</v>
      </c>
      <c r="E323" s="8">
        <f t="shared" si="5"/>
        <v>1773</v>
      </c>
    </row>
    <row r="324" spans="1:5" x14ac:dyDescent="0.2">
      <c r="A324" s="26">
        <v>44866</v>
      </c>
      <c r="B324" s="5">
        <f>[1]עקיף!$B328</f>
        <v>5285</v>
      </c>
      <c r="C324" s="6">
        <f>[1]עקיף!$F328</f>
        <v>201</v>
      </c>
      <c r="D324" s="6">
        <f>[1]עקיף!$G328</f>
        <v>1867</v>
      </c>
      <c r="E324" s="8">
        <f t="shared" si="5"/>
        <v>2068</v>
      </c>
    </row>
    <row r="325" spans="1:5" x14ac:dyDescent="0.2">
      <c r="A325" s="26">
        <v>44896</v>
      </c>
      <c r="B325" s="5">
        <f>[1]עקיף!$B329</f>
        <v>5765</v>
      </c>
      <c r="C325" s="6">
        <f>[1]עקיף!$F329</f>
        <v>301</v>
      </c>
      <c r="D325" s="6">
        <f>[1]עקיף!$G329</f>
        <v>3152</v>
      </c>
      <c r="E325" s="8">
        <f t="shared" si="5"/>
        <v>3453</v>
      </c>
    </row>
    <row r="326" spans="1:5" x14ac:dyDescent="0.2">
      <c r="A326" s="26">
        <v>44927</v>
      </c>
      <c r="B326" s="5">
        <f>[1]עקיף!$B330</f>
        <v>5285</v>
      </c>
      <c r="C326" s="6">
        <f>[1]עקיף!$F330</f>
        <v>113</v>
      </c>
      <c r="D326" s="6">
        <f>[1]עקיף!$G330</f>
        <v>1686</v>
      </c>
      <c r="E326" s="8">
        <f t="shared" si="5"/>
        <v>1799</v>
      </c>
    </row>
    <row r="327" spans="1:5" x14ac:dyDescent="0.2">
      <c r="A327" s="26">
        <v>44958</v>
      </c>
      <c r="B327" s="5">
        <f>[1]עקיף!$B331</f>
        <v>5089</v>
      </c>
      <c r="C327" s="6">
        <f>[1]עקיף!$F331</f>
        <v>168</v>
      </c>
      <c r="D327" s="6">
        <f>[1]עקיף!$G331</f>
        <v>2235</v>
      </c>
      <c r="E327" s="8">
        <f t="shared" si="5"/>
        <v>2403</v>
      </c>
    </row>
    <row r="328" spans="1:5" x14ac:dyDescent="0.2">
      <c r="A328" s="26">
        <v>44986</v>
      </c>
      <c r="B328" s="5">
        <f>[1]עקיף!$B332</f>
        <v>5496</v>
      </c>
      <c r="C328" s="6">
        <f>[1]עקיף!$F332</f>
        <v>198</v>
      </c>
      <c r="D328" s="6">
        <f>[1]עקיף!$G332</f>
        <v>2272</v>
      </c>
      <c r="E328" s="8">
        <f t="shared" si="5"/>
        <v>2470</v>
      </c>
    </row>
    <row r="329" spans="1:5" x14ac:dyDescent="0.2">
      <c r="A329" s="26">
        <v>45017</v>
      </c>
      <c r="B329" s="5">
        <f>[1]עקיף!$B333</f>
        <v>4613</v>
      </c>
      <c r="C329" s="6">
        <f>[1]עקיף!$F333</f>
        <v>126</v>
      </c>
      <c r="D329" s="6">
        <f>[1]עקיף!$G333</f>
        <v>1616</v>
      </c>
      <c r="E329" s="8">
        <f t="shared" si="5"/>
        <v>1742</v>
      </c>
    </row>
    <row r="330" spans="1:5" x14ac:dyDescent="0.2">
      <c r="A330" s="26">
        <v>45047</v>
      </c>
      <c r="B330" s="5">
        <f>[1]עקיף!$B334</f>
        <v>5650</v>
      </c>
      <c r="C330" s="6">
        <f>[1]עקיף!$F334</f>
        <v>180</v>
      </c>
      <c r="D330" s="6">
        <f>[1]עקיף!$G334</f>
        <v>2302</v>
      </c>
      <c r="E330" s="8">
        <f t="shared" si="5"/>
        <v>2482</v>
      </c>
    </row>
    <row r="331" spans="1:5" x14ac:dyDescent="0.2">
      <c r="A331" s="26">
        <v>45078</v>
      </c>
      <c r="B331" s="5">
        <f>[1]עקיף!$B335</f>
        <v>4944</v>
      </c>
      <c r="C331" s="6">
        <f>[1]עקיף!$F335</f>
        <v>110</v>
      </c>
      <c r="D331" s="6">
        <f>[1]עקיף!$G335</f>
        <v>1846</v>
      </c>
      <c r="E331" s="8">
        <f t="shared" si="5"/>
        <v>1956</v>
      </c>
    </row>
    <row r="332" spans="1:5" x14ac:dyDescent="0.2">
      <c r="A332" s="26">
        <v>45108</v>
      </c>
      <c r="B332" s="5">
        <f>[1]עקיף!$B336</f>
        <v>5355</v>
      </c>
      <c r="C332" s="6">
        <f>[1]עקיף!$F336</f>
        <v>135</v>
      </c>
      <c r="D332" s="6">
        <f>[1]עקיף!$G336</f>
        <v>2097</v>
      </c>
      <c r="E332" s="8">
        <f t="shared" si="5"/>
        <v>2232</v>
      </c>
    </row>
    <row r="333" spans="1:5" x14ac:dyDescent="0.2">
      <c r="A333" s="26">
        <v>45139</v>
      </c>
      <c r="B333" s="5">
        <f>[1]עקיף!$B337</f>
        <v>5476</v>
      </c>
      <c r="C333" s="6">
        <f>[1]עקיף!$F337</f>
        <v>105</v>
      </c>
      <c r="D333" s="6">
        <f>[1]עקיף!$G337</f>
        <v>1832</v>
      </c>
      <c r="E333" s="8">
        <f t="shared" si="5"/>
        <v>1937</v>
      </c>
    </row>
    <row r="334" spans="1:5" x14ac:dyDescent="0.2">
      <c r="A334" s="26">
        <v>45170</v>
      </c>
      <c r="B334" s="5">
        <f>[1]עקיף!$B338</f>
        <v>4544</v>
      </c>
      <c r="C334" s="6">
        <f>[1]עקיף!$F338</f>
        <v>98</v>
      </c>
      <c r="D334" s="6">
        <f>[1]עקיף!$G338</f>
        <v>1344</v>
      </c>
      <c r="E334" s="8">
        <f t="shared" si="5"/>
        <v>1442</v>
      </c>
    </row>
    <row r="335" spans="1:5" x14ac:dyDescent="0.2">
      <c r="A335" s="26">
        <v>45200</v>
      </c>
      <c r="B335" s="5">
        <f>[1]עקיף!$B339</f>
        <v>5124</v>
      </c>
      <c r="C335" s="6">
        <f>[1]עקיף!$F339</f>
        <v>127</v>
      </c>
      <c r="D335" s="6">
        <f>[1]עקיף!$G339</f>
        <v>1785</v>
      </c>
      <c r="E335" s="8">
        <f t="shared" si="5"/>
        <v>1912</v>
      </c>
    </row>
    <row r="336" spans="1:5" x14ac:dyDescent="0.2">
      <c r="A336" s="26">
        <v>45231</v>
      </c>
      <c r="B336" s="5">
        <f>[1]עקיף!$B340</f>
        <v>4526</v>
      </c>
      <c r="C336" s="6">
        <f>[1]עקיף!$F340</f>
        <v>84</v>
      </c>
      <c r="D336" s="6">
        <f>[1]עקיף!$G340</f>
        <v>1170</v>
      </c>
      <c r="E336" s="8">
        <f t="shared" si="5"/>
        <v>1254</v>
      </c>
    </row>
    <row r="337" spans="1:5" x14ac:dyDescent="0.2">
      <c r="A337" s="26">
        <v>45261</v>
      </c>
      <c r="B337" s="5">
        <f>[1]עקיף!$B341</f>
        <v>5109</v>
      </c>
      <c r="C337" s="6">
        <f>[1]עקיף!$F341</f>
        <v>301</v>
      </c>
      <c r="D337" s="6">
        <f>[1]עקיף!$G341</f>
        <v>3001</v>
      </c>
      <c r="E337" s="8">
        <f t="shared" si="5"/>
        <v>3302</v>
      </c>
    </row>
    <row r="338" spans="1:5" x14ac:dyDescent="0.2">
      <c r="A338" s="26">
        <v>45292</v>
      </c>
      <c r="B338" s="5">
        <f>[1]עקיף!$B342</f>
        <v>4513</v>
      </c>
      <c r="C338" s="6">
        <f>[1]עקיף!$F342</f>
        <v>112</v>
      </c>
      <c r="D338" s="6">
        <f>[1]עקיף!$G342</f>
        <v>1634</v>
      </c>
      <c r="E338" s="8">
        <f t="shared" si="5"/>
        <v>1746</v>
      </c>
    </row>
    <row r="339" spans="1:5" x14ac:dyDescent="0.2">
      <c r="A339" s="26">
        <v>45323</v>
      </c>
      <c r="B339" s="5">
        <f>[1]עקיף!$B343</f>
        <v>5058</v>
      </c>
      <c r="C339" s="6">
        <f>[1]עקיף!$F343</f>
        <v>105</v>
      </c>
      <c r="D339" s="6">
        <f>[1]עקיף!$G343</f>
        <v>1651</v>
      </c>
      <c r="E339" s="8">
        <f t="shared" si="5"/>
        <v>1756</v>
      </c>
    </row>
    <row r="340" spans="1:5" x14ac:dyDescent="0.2">
      <c r="A340" s="26">
        <v>45352</v>
      </c>
      <c r="B340" s="5">
        <f>[1]עקיף!$B344</f>
        <v>5069</v>
      </c>
      <c r="C340" s="6">
        <f>[1]עקיף!$F344</f>
        <v>132</v>
      </c>
      <c r="D340" s="6">
        <f>[1]עקיף!$G344</f>
        <v>1697</v>
      </c>
      <c r="E340" s="8">
        <f t="shared" si="5"/>
        <v>1829</v>
      </c>
    </row>
    <row r="341" spans="1:5" x14ac:dyDescent="0.2">
      <c r="A341" s="26">
        <v>45383</v>
      </c>
      <c r="B341" s="5">
        <f>[1]עקיף!$B345</f>
        <v>4580</v>
      </c>
      <c r="C341" s="6">
        <f>[1]עקיף!$F345</f>
        <v>92</v>
      </c>
      <c r="D341" s="6">
        <f>[1]עקיף!$G345</f>
        <v>1720</v>
      </c>
      <c r="E341" s="8">
        <f t="shared" si="5"/>
        <v>1812</v>
      </c>
    </row>
    <row r="342" spans="1:5" x14ac:dyDescent="0.2">
      <c r="A342" s="26">
        <v>45413</v>
      </c>
      <c r="B342" s="5">
        <f>[1]עקיף!$B346</f>
        <v>5180</v>
      </c>
      <c r="C342" s="6">
        <f>[1]עקיף!$F346</f>
        <v>136</v>
      </c>
      <c r="D342" s="6">
        <f>[1]עקיף!$G346</f>
        <v>2127</v>
      </c>
      <c r="E342" s="8">
        <f t="shared" si="5"/>
        <v>2263</v>
      </c>
    </row>
    <row r="343" spans="1:5" x14ac:dyDescent="0.2">
      <c r="A343" s="26">
        <v>45444</v>
      </c>
      <c r="B343" s="5">
        <f>[1]עקיף!$B347</f>
        <v>4570</v>
      </c>
      <c r="C343" s="6">
        <f>[1]עקיף!$F347</f>
        <v>118</v>
      </c>
      <c r="D343" s="6">
        <f>[1]עקיף!$G347</f>
        <v>1929</v>
      </c>
      <c r="E343" s="8">
        <f t="shared" si="5"/>
        <v>2047</v>
      </c>
    </row>
    <row r="344" spans="1:5" x14ac:dyDescent="0.2">
      <c r="A344" s="26">
        <v>45474</v>
      </c>
      <c r="B344" s="5">
        <f>[1]עקיף!$B348</f>
        <v>5756</v>
      </c>
      <c r="C344" s="6">
        <f>[1]עקיף!$F348</f>
        <v>116</v>
      </c>
      <c r="D344" s="6">
        <f>[1]עקיף!$G348</f>
        <v>2212</v>
      </c>
      <c r="E344" s="8">
        <f t="shared" si="5"/>
        <v>2328</v>
      </c>
    </row>
    <row r="345" spans="1:5" x14ac:dyDescent="0.2">
      <c r="A345" s="26">
        <v>45505</v>
      </c>
      <c r="B345" s="5">
        <f>[1]עקיף!$B349</f>
        <v>5049</v>
      </c>
      <c r="C345" s="6">
        <f>[1]עקיף!$F349</f>
        <v>125</v>
      </c>
      <c r="D345" s="6">
        <f>[1]עקיף!$G349</f>
        <v>2153</v>
      </c>
      <c r="E345" s="8">
        <f t="shared" si="5"/>
        <v>2278</v>
      </c>
    </row>
    <row r="346" spans="1:5" x14ac:dyDescent="0.2">
      <c r="A346" s="26">
        <v>45536</v>
      </c>
      <c r="B346" s="5">
        <f>[1]עקיף!$B350</f>
        <v>5382</v>
      </c>
      <c r="C346" s="6">
        <f>[1]עקיף!$F350</f>
        <v>118</v>
      </c>
      <c r="D346" s="6">
        <f>[1]עקיף!$G350</f>
        <v>1997</v>
      </c>
      <c r="E346" s="8">
        <f t="shared" si="5"/>
        <v>2115</v>
      </c>
    </row>
    <row r="347" spans="1:5" x14ac:dyDescent="0.2">
      <c r="A347" s="26">
        <v>45566</v>
      </c>
      <c r="B347" s="5">
        <f>[1]עקיף!$B351</f>
        <v>5291</v>
      </c>
      <c r="C347" s="6">
        <f>[1]עקיף!$F351</f>
        <v>122</v>
      </c>
      <c r="D347" s="6">
        <f>[1]עקיף!$G351</f>
        <v>1792</v>
      </c>
      <c r="E347" s="8">
        <f t="shared" si="5"/>
        <v>1914</v>
      </c>
    </row>
    <row r="348" spans="1:5" x14ac:dyDescent="0.2">
      <c r="A348" s="26">
        <v>45597</v>
      </c>
      <c r="B348" s="5">
        <f>[1]עקיף!$B352</f>
        <v>5145</v>
      </c>
      <c r="C348" s="6">
        <f>[1]עקיף!$F352</f>
        <v>133</v>
      </c>
      <c r="D348" s="6">
        <f>[1]עקיף!$G352</f>
        <v>1988</v>
      </c>
      <c r="E348" s="8">
        <f t="shared" si="5"/>
        <v>2121</v>
      </c>
    </row>
    <row r="349" spans="1:5" x14ac:dyDescent="0.2">
      <c r="A349" s="26">
        <v>45627</v>
      </c>
      <c r="B349" s="5">
        <f>[1]עקיף!$B353</f>
        <v>7596</v>
      </c>
      <c r="C349" s="6">
        <f>[1]עקיף!$F353</f>
        <v>452</v>
      </c>
      <c r="D349" s="6">
        <f>[1]עקיף!$G353</f>
        <v>5423</v>
      </c>
      <c r="E349" s="7">
        <f t="shared" si="5"/>
        <v>5875</v>
      </c>
    </row>
    <row r="350" spans="1:5" x14ac:dyDescent="0.2">
      <c r="A350" s="26">
        <v>45658</v>
      </c>
      <c r="B350" s="5">
        <f>[1]עקיף!$B354</f>
        <v>5292</v>
      </c>
      <c r="C350" s="6">
        <f>[1]עקיף!$F354</f>
        <v>89</v>
      </c>
      <c r="D350" s="6">
        <f>[1]עקיף!$G354</f>
        <v>1300</v>
      </c>
      <c r="E350" s="7">
        <f t="shared" ref="E350:E365" si="6">SUM(C350:D350)</f>
        <v>1389</v>
      </c>
    </row>
    <row r="351" spans="1:5" x14ac:dyDescent="0.2">
      <c r="A351" s="26">
        <v>45689</v>
      </c>
      <c r="B351" s="5">
        <f>[1]עקיף!$B355</f>
        <v>4902</v>
      </c>
      <c r="C351" s="6">
        <f>[1]עקיף!$F355</f>
        <v>97</v>
      </c>
      <c r="D351" s="6">
        <f>[1]עקיף!$G355</f>
        <v>1611</v>
      </c>
      <c r="E351" s="7">
        <f t="shared" si="6"/>
        <v>1708</v>
      </c>
    </row>
    <row r="352" spans="1:5" x14ac:dyDescent="0.2">
      <c r="A352" s="26">
        <v>45717</v>
      </c>
      <c r="B352" s="5">
        <f>[1]עקיף!$B356</f>
        <v>5913</v>
      </c>
      <c r="C352" s="6">
        <f>[1]עקיף!$F356</f>
        <v>127</v>
      </c>
      <c r="D352" s="6">
        <f>[1]עקיף!$G356</f>
        <v>2294</v>
      </c>
      <c r="E352" s="7">
        <f t="shared" si="6"/>
        <v>2421</v>
      </c>
    </row>
    <row r="353" spans="1:5" x14ac:dyDescent="0.2">
      <c r="A353" s="26">
        <v>45748</v>
      </c>
      <c r="B353" s="5">
        <f>[1]עקיף!$B357</f>
        <v>5730</v>
      </c>
      <c r="C353" s="6">
        <f>[1]עקיף!$F357</f>
        <v>118</v>
      </c>
      <c r="D353" s="6">
        <f>[1]עקיף!$G357</f>
        <v>2194</v>
      </c>
      <c r="E353" s="7">
        <f t="shared" si="6"/>
        <v>2312</v>
      </c>
    </row>
    <row r="354" spans="1:5" x14ac:dyDescent="0.2">
      <c r="A354" s="26">
        <v>45778</v>
      </c>
      <c r="B354" s="5">
        <f>[1]עקיף!$B358</f>
        <v>5598</v>
      </c>
      <c r="C354" s="6">
        <f>[1]עקיף!$F358</f>
        <v>155</v>
      </c>
      <c r="D354" s="6">
        <f>[1]עקיף!$G358</f>
        <v>2445</v>
      </c>
      <c r="E354" s="7">
        <f t="shared" si="6"/>
        <v>2600</v>
      </c>
    </row>
    <row r="355" spans="1:5" x14ac:dyDescent="0.2">
      <c r="A355" s="26">
        <v>45809</v>
      </c>
      <c r="B355" s="5">
        <f>[1]עקיף!$B359</f>
        <v>4850</v>
      </c>
      <c r="C355" s="6">
        <f>[1]עקיף!$F359</f>
        <v>107</v>
      </c>
      <c r="D355" s="6">
        <f>[1]עקיף!$G359</f>
        <v>1725</v>
      </c>
      <c r="E355" s="7">
        <f t="shared" si="6"/>
        <v>1832</v>
      </c>
    </row>
    <row r="356" spans="1:5" x14ac:dyDescent="0.2">
      <c r="A356" s="26">
        <v>45839</v>
      </c>
      <c r="B356" s="5">
        <f>[1]עקיף!$B360</f>
        <v>6158</v>
      </c>
      <c r="C356" s="6">
        <f>[1]עקיף!$F360</f>
        <v>131</v>
      </c>
      <c r="D356" s="6">
        <f>[1]עקיף!$G360</f>
        <v>2251</v>
      </c>
      <c r="E356" s="7">
        <f t="shared" si="6"/>
        <v>2382</v>
      </c>
    </row>
    <row r="357" spans="1:5" x14ac:dyDescent="0.2">
      <c r="A357" s="26">
        <v>45870</v>
      </c>
      <c r="B357" s="5">
        <f>[1]עקיף!$B361</f>
        <v>5302</v>
      </c>
      <c r="C357" s="6">
        <f>[1]עקיף!$F361</f>
        <v>143</v>
      </c>
      <c r="D357" s="6">
        <f>[1]עקיף!$G361</f>
        <v>1920</v>
      </c>
      <c r="E357" s="7">
        <f t="shared" si="6"/>
        <v>2063</v>
      </c>
    </row>
    <row r="358" spans="1:5" x14ac:dyDescent="0.2">
      <c r="A358" s="26">
        <v>45901</v>
      </c>
      <c r="B358" s="5">
        <f>[1]עקיף!$B362</f>
        <v>5243</v>
      </c>
      <c r="C358" s="6">
        <f>[1]עקיף!$F362</f>
        <v>124</v>
      </c>
      <c r="D358" s="6">
        <f>[1]עקיף!$G362</f>
        <v>2092</v>
      </c>
      <c r="E358" s="7">
        <f t="shared" si="6"/>
        <v>2216</v>
      </c>
    </row>
    <row r="359" spans="1:5" x14ac:dyDescent="0.2">
      <c r="A359" s="26">
        <v>45931</v>
      </c>
      <c r="B359" s="5">
        <f>[1]עקיף!$B363</f>
        <v>5183</v>
      </c>
      <c r="C359" s="6">
        <f>[1]עקיף!$F363</f>
        <v>103</v>
      </c>
      <c r="D359" s="6">
        <f>[1]עקיף!$G363</f>
        <v>1853</v>
      </c>
      <c r="E359" s="7">
        <f t="shared" si="6"/>
        <v>1956</v>
      </c>
    </row>
    <row r="360" spans="1:5" x14ac:dyDescent="0.2">
      <c r="A360" s="26">
        <v>45962</v>
      </c>
      <c r="B360" s="5">
        <f>[1]עקיף!$B364</f>
        <v>5335</v>
      </c>
      <c r="C360" s="6">
        <f>[1]עקיף!$F364</f>
        <v>151</v>
      </c>
      <c r="D360" s="6">
        <f>[1]עקיף!$G364</f>
        <v>2238</v>
      </c>
      <c r="E360" s="7">
        <f t="shared" si="6"/>
        <v>2389</v>
      </c>
    </row>
    <row r="361" spans="1:5" x14ac:dyDescent="0.2">
      <c r="A361" s="26">
        <v>45992</v>
      </c>
      <c r="B361" s="5">
        <f>[1]עקיף!$B365</f>
        <v>6671</v>
      </c>
      <c r="C361" s="6">
        <f>[1]עקיף!$F365</f>
        <v>208</v>
      </c>
      <c r="D361" s="6">
        <f>[1]עקיף!$G365</f>
        <v>3075</v>
      </c>
      <c r="E361" s="7">
        <f t="shared" si="6"/>
        <v>3283</v>
      </c>
    </row>
    <row r="362" spans="1:5" x14ac:dyDescent="0.2">
      <c r="A362" s="26">
        <v>46023</v>
      </c>
      <c r="B362" s="5">
        <f>[1]עקיף!$B366</f>
        <v>5170</v>
      </c>
      <c r="C362" s="6">
        <f>[1]עקיף!$F366</f>
        <v>128</v>
      </c>
      <c r="D362" s="6">
        <f>[1]עקיף!$G366</f>
        <v>1826</v>
      </c>
      <c r="E362" s="7">
        <f t="shared" si="6"/>
        <v>1954</v>
      </c>
    </row>
    <row r="363" spans="1:5" x14ac:dyDescent="0.2">
      <c r="A363" s="26">
        <v>46054</v>
      </c>
      <c r="B363" s="5">
        <f>[1]עקיף!$B367</f>
        <v>5349</v>
      </c>
      <c r="C363" s="6">
        <f>[1]עקיף!$F367</f>
        <v>173</v>
      </c>
      <c r="D363" s="6">
        <f>[1]עקיף!$G367</f>
        <v>2441</v>
      </c>
      <c r="E363" s="7">
        <f t="shared" si="6"/>
        <v>2614</v>
      </c>
    </row>
    <row r="364" spans="1:5" x14ac:dyDescent="0.2">
      <c r="A364" s="26">
        <v>46082</v>
      </c>
      <c r="B364" s="5">
        <f>[1]עקיף!$B368</f>
        <v>5411</v>
      </c>
      <c r="C364" s="6">
        <f>[1]עקיף!$F368</f>
        <v>159</v>
      </c>
      <c r="D364" s="6">
        <f>[1]עקיף!$G368</f>
        <v>2417</v>
      </c>
      <c r="E364" s="7">
        <f t="shared" si="6"/>
        <v>2576</v>
      </c>
    </row>
    <row r="365" spans="1:5" x14ac:dyDescent="0.2">
      <c r="A365" s="26">
        <v>46113</v>
      </c>
      <c r="B365" s="5">
        <f>[1]עקיף!$B369</f>
        <v>5472.666666666667</v>
      </c>
      <c r="C365" s="6">
        <f>[1]עקיף!$F369</f>
        <v>121.99999999999999</v>
      </c>
      <c r="D365" s="6">
        <f>[1]עקיף!$G369</f>
        <v>1890.9999999999998</v>
      </c>
      <c r="E365" s="7">
        <f t="shared" si="6"/>
        <v>2012.9999999999998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8F64-E0D0-43A0-8698-3D6035D3C74F}">
  <dimension ref="A1:I377"/>
  <sheetViews>
    <sheetView topLeftCell="A357" workbookViewId="0">
      <selection activeCell="I374" sqref="I374"/>
    </sheetView>
  </sheetViews>
  <sheetFormatPr defaultRowHeight="14.25" x14ac:dyDescent="0.2"/>
  <cols>
    <col min="1" max="1" width="10.375" style="26" bestFit="1" customWidth="1"/>
    <col min="2" max="2" width="11.5" style="2" bestFit="1" customWidth="1"/>
    <col min="3" max="3" width="10" style="2" bestFit="1" customWidth="1"/>
    <col min="4" max="5" width="11.5" style="2" bestFit="1" customWidth="1"/>
    <col min="6" max="6" width="10.75" style="2" bestFit="1" customWidth="1"/>
    <col min="7" max="7" width="16.375" style="2" bestFit="1" customWidth="1"/>
    <col min="8" max="8" width="29" style="2" bestFit="1" customWidth="1"/>
    <col min="9" max="9" width="42.125" style="34" bestFit="1" customWidth="1"/>
  </cols>
  <sheetData>
    <row r="1" spans="1:9" ht="28.5" x14ac:dyDescent="0.2">
      <c r="A1" s="9" t="s">
        <v>42</v>
      </c>
      <c r="B1" s="28" t="s">
        <v>28</v>
      </c>
      <c r="C1" s="28" t="s">
        <v>25</v>
      </c>
      <c r="D1" s="28" t="s">
        <v>26</v>
      </c>
      <c r="E1" s="28" t="s">
        <v>27</v>
      </c>
      <c r="F1" s="28" t="s">
        <v>50</v>
      </c>
      <c r="G1" s="21" t="s">
        <v>51</v>
      </c>
      <c r="H1" s="2" t="s">
        <v>30</v>
      </c>
      <c r="I1" s="34" t="s">
        <v>29</v>
      </c>
    </row>
    <row r="2" spans="1:9" ht="15.75" x14ac:dyDescent="0.25">
      <c r="A2" s="26">
        <v>34700</v>
      </c>
      <c r="I2" s="35">
        <f>[2]monthly!$AC101</f>
        <v>140.30000000000001</v>
      </c>
    </row>
    <row r="3" spans="1:9" ht="15.75" x14ac:dyDescent="0.25">
      <c r="A3" s="26">
        <v>34731</v>
      </c>
      <c r="I3" s="35">
        <f>[2]monthly!$AC102</f>
        <v>140.69999999999999</v>
      </c>
    </row>
    <row r="4" spans="1:9" ht="15.75" x14ac:dyDescent="0.25">
      <c r="A4" s="26">
        <v>34759</v>
      </c>
      <c r="I4" s="35">
        <f>[2]monthly!$AC103</f>
        <v>141.5</v>
      </c>
    </row>
    <row r="5" spans="1:9" ht="15.75" x14ac:dyDescent="0.25">
      <c r="A5" s="26">
        <v>34790</v>
      </c>
      <c r="I5" s="35">
        <f>[2]monthly!$AC104</f>
        <v>142.69999999999999</v>
      </c>
    </row>
    <row r="6" spans="1:9" ht="15.75" x14ac:dyDescent="0.25">
      <c r="A6" s="26">
        <v>34820</v>
      </c>
      <c r="I6" s="35">
        <f>[2]monthly!$AC105</f>
        <v>144.4</v>
      </c>
    </row>
    <row r="7" spans="1:9" ht="15.75" x14ac:dyDescent="0.25">
      <c r="A7" s="26">
        <v>34851</v>
      </c>
      <c r="I7" s="35">
        <f>[2]monthly!$AC106</f>
        <v>145.5</v>
      </c>
    </row>
    <row r="8" spans="1:9" ht="15.75" x14ac:dyDescent="0.25">
      <c r="A8" s="26">
        <v>34881</v>
      </c>
      <c r="I8" s="35">
        <f>[2]monthly!$AC107</f>
        <v>148.69999999999999</v>
      </c>
    </row>
    <row r="9" spans="1:9" ht="15.75" x14ac:dyDescent="0.25">
      <c r="A9" s="26">
        <v>34912</v>
      </c>
      <c r="I9" s="35">
        <f>[2]monthly!$AC108</f>
        <v>151.80000000000001</v>
      </c>
    </row>
    <row r="10" spans="1:9" ht="15.75" x14ac:dyDescent="0.25">
      <c r="A10" s="26">
        <v>34943</v>
      </c>
      <c r="I10" s="35">
        <f>[2]monthly!$AC109</f>
        <v>151.9</v>
      </c>
    </row>
    <row r="11" spans="1:9" ht="15.75" x14ac:dyDescent="0.25">
      <c r="A11" s="26">
        <v>34973</v>
      </c>
      <c r="I11" s="35">
        <f>[2]monthly!$AC110</f>
        <v>153.5</v>
      </c>
    </row>
    <row r="12" spans="1:9" ht="15.75" x14ac:dyDescent="0.25">
      <c r="A12" s="26">
        <v>35004</v>
      </c>
      <c r="I12" s="35">
        <f>[2]monthly!$AC111</f>
        <v>157.9</v>
      </c>
    </row>
    <row r="13" spans="1:9" ht="15.75" x14ac:dyDescent="0.25">
      <c r="A13" s="26">
        <v>35034</v>
      </c>
      <c r="I13" s="35">
        <f>[2]monthly!$AC112</f>
        <v>162.69999999999999</v>
      </c>
    </row>
    <row r="14" spans="1:9" ht="15.75" x14ac:dyDescent="0.25">
      <c r="A14" s="26">
        <v>35065</v>
      </c>
      <c r="B14" s="2">
        <f>'[1]ישיר מתוקן'!$G6</f>
        <v>423290</v>
      </c>
      <c r="C14" s="2">
        <f>'[1]ישיר מתוקן'!$N6</f>
        <v>159430</v>
      </c>
      <c r="D14" s="2">
        <f>'[1]ישיר מתוקן'!$P6</f>
        <v>108675</v>
      </c>
      <c r="E14" s="2">
        <f>'[1]ישיר מתוקן'!$R6</f>
        <v>156272</v>
      </c>
      <c r="F14" s="21">
        <f>-1*'[1]ישיר מתוקן'!$AK6</f>
        <v>-16848</v>
      </c>
      <c r="G14" s="21">
        <f>-1*'[1]ישיר מתוקן'!$AL6</f>
        <v>-6000</v>
      </c>
      <c r="I14" s="35">
        <f>[2]monthly!$AC113</f>
        <v>164.7</v>
      </c>
    </row>
    <row r="15" spans="1:9" ht="15.75" x14ac:dyDescent="0.25">
      <c r="A15" s="26">
        <v>35096</v>
      </c>
      <c r="B15" s="2">
        <f>'[1]ישיר מתוקן'!$G7</f>
        <v>440678</v>
      </c>
      <c r="C15" s="2">
        <f>'[1]ישיר מתוקן'!$N7</f>
        <v>121792</v>
      </c>
      <c r="D15" s="2">
        <f>'[1]ישיר מתוקן'!$P7</f>
        <v>146495</v>
      </c>
      <c r="E15" s="2">
        <f>'[1]ישיר מתוקן'!$R7</f>
        <v>172882</v>
      </c>
      <c r="F15" s="21">
        <f>-1*'[1]ישיר מתוקן'!$AK7</f>
        <v>-5091</v>
      </c>
      <c r="G15" s="21">
        <f>-1*'[1]ישיר מתוקן'!$AL7</f>
        <v>-3606</v>
      </c>
      <c r="I15" s="35">
        <f>[2]monthly!$AC114</f>
        <v>164.7</v>
      </c>
    </row>
    <row r="16" spans="1:9" ht="15.75" x14ac:dyDescent="0.25">
      <c r="A16" s="26">
        <v>35125</v>
      </c>
      <c r="B16" s="2">
        <f>'[1]ישיר מתוקן'!$G8</f>
        <v>356479</v>
      </c>
      <c r="C16" s="2">
        <f>'[1]ישיר מתוקן'!$N8</f>
        <v>62541</v>
      </c>
      <c r="D16" s="2">
        <f>'[1]ישיר מתוקן'!$P8</f>
        <v>140702</v>
      </c>
      <c r="E16" s="2">
        <f>'[1]ישיר מתוקן'!$R8</f>
        <v>153513</v>
      </c>
      <c r="F16" s="21">
        <f>-1*'[1]ישיר מתוקן'!$AK8</f>
        <v>-11221</v>
      </c>
      <c r="G16" s="21">
        <f>-1*'[1]ישיר מתוקן'!$AL8</f>
        <v>-6684</v>
      </c>
      <c r="I16" s="35">
        <f>[2]monthly!$AC115</f>
        <v>167</v>
      </c>
    </row>
    <row r="17" spans="1:9" ht="15.75" x14ac:dyDescent="0.25">
      <c r="A17" s="26">
        <v>35156</v>
      </c>
      <c r="B17" s="2">
        <f>'[1]ישיר מתוקן'!$G9</f>
        <v>305373</v>
      </c>
      <c r="C17" s="2">
        <f>'[1]ישיר מתוקן'!$N9</f>
        <v>79702</v>
      </c>
      <c r="D17" s="2">
        <f>'[1]ישיר מתוקן'!$P9</f>
        <v>95487</v>
      </c>
      <c r="E17" s="2">
        <f>'[1]ישיר מתוקן'!$R9</f>
        <v>133888</v>
      </c>
      <c r="F17" s="21">
        <f>-1*'[1]ישיר מתוקן'!$AK9</f>
        <v>-7480</v>
      </c>
      <c r="G17" s="21">
        <f>-1*'[1]ישיר מתוקן'!$AL9</f>
        <v>-3768</v>
      </c>
      <c r="I17" s="35">
        <f>[2]monthly!$AC116</f>
        <v>171.8</v>
      </c>
    </row>
    <row r="18" spans="1:9" ht="15.75" x14ac:dyDescent="0.25">
      <c r="A18" s="26">
        <v>35186</v>
      </c>
      <c r="B18" s="2">
        <f>'[1]ישיר מתוקן'!$G10</f>
        <v>323794</v>
      </c>
      <c r="C18" s="2">
        <f>'[1]ישיר מתוקן'!$N10</f>
        <v>61818</v>
      </c>
      <c r="D18" s="2">
        <f>'[1]ישיר מתוקן'!$P10</f>
        <v>124786</v>
      </c>
      <c r="E18" s="2">
        <f>'[1]ישיר מתוקן'!$R10</f>
        <v>139256</v>
      </c>
      <c r="F18" s="21">
        <f>-1*'[1]ישיר מתוקן'!$AK10</f>
        <v>-4311</v>
      </c>
      <c r="G18" s="21">
        <f>-1*'[1]ישיר מתוקן'!$AL10</f>
        <v>-2868</v>
      </c>
      <c r="I18" s="35">
        <f>[2]monthly!$AC117</f>
        <v>175.3</v>
      </c>
    </row>
    <row r="19" spans="1:9" ht="15.75" x14ac:dyDescent="0.25">
      <c r="A19" s="26">
        <v>35217</v>
      </c>
      <c r="B19" s="2">
        <f>'[1]ישיר מתוקן'!$G11</f>
        <v>312892</v>
      </c>
      <c r="C19" s="2">
        <f>'[1]ישיר מתוקן'!$N11</f>
        <v>58135</v>
      </c>
      <c r="D19" s="2">
        <f>'[1]ישיר מתוקן'!$P11</f>
        <v>100641</v>
      </c>
      <c r="E19" s="2">
        <f>'[1]ישיר מתוקן'!$R11</f>
        <v>155001</v>
      </c>
      <c r="F19" s="21">
        <f>-1*'[1]ישיר מתוקן'!$AK11</f>
        <v>-10043</v>
      </c>
      <c r="G19" s="21">
        <f>-1*'[1]ישיר מתוקן'!$AL11</f>
        <v>-5532</v>
      </c>
      <c r="I19" s="35">
        <f>[2]monthly!$AC118</f>
        <v>174.6</v>
      </c>
    </row>
    <row r="20" spans="1:9" ht="15.75" x14ac:dyDescent="0.25">
      <c r="A20" s="26">
        <v>35247</v>
      </c>
      <c r="B20" s="2">
        <f>'[1]ישיר מתוקן'!$G12</f>
        <v>302668</v>
      </c>
      <c r="C20" s="2">
        <f>'[1]ישיר מתוקן'!$N12</f>
        <v>76484</v>
      </c>
      <c r="D20" s="2">
        <f>'[1]ישיר מתוקן'!$P12</f>
        <v>92346</v>
      </c>
      <c r="E20" s="2">
        <f>'[1]ישיר מתוקן'!$R12</f>
        <v>135372</v>
      </c>
      <c r="F20" s="21">
        <f>-1*'[1]ישיר מתוקן'!$AK12</f>
        <v>-3902</v>
      </c>
      <c r="G20" s="21">
        <f>-1*'[1]ישיר מתוקן'!$AL12</f>
        <v>-3644</v>
      </c>
      <c r="I20" s="35">
        <f>[2]monthly!$AC119</f>
        <v>171.6</v>
      </c>
    </row>
    <row r="21" spans="1:9" ht="15.75" x14ac:dyDescent="0.25">
      <c r="A21" s="26">
        <v>35278</v>
      </c>
      <c r="B21" s="2">
        <f>'[1]ישיר מתוקן'!$G13</f>
        <v>286209</v>
      </c>
      <c r="C21" s="2">
        <f>'[1]ישיר מתוקן'!$N13</f>
        <v>62130</v>
      </c>
      <c r="D21" s="2">
        <f>'[1]ישיר מתוקן'!$P13</f>
        <v>96239</v>
      </c>
      <c r="E21" s="2">
        <f>'[1]ישיר מתוקן'!$R13</f>
        <v>130065</v>
      </c>
      <c r="F21" s="21">
        <f>-1*'[1]ישיר מתוקן'!$AK13</f>
        <v>-4986</v>
      </c>
      <c r="G21" s="21">
        <f>-1*'[1]ישיר מתוקן'!$AL13</f>
        <v>-4643</v>
      </c>
      <c r="I21" s="35">
        <f>[2]monthly!$AC120</f>
        <v>170.8</v>
      </c>
    </row>
    <row r="22" spans="1:9" ht="15.75" x14ac:dyDescent="0.25">
      <c r="A22" s="26">
        <v>35309</v>
      </c>
      <c r="B22" s="2">
        <f>'[1]ישיר מתוקן'!$G14</f>
        <v>228648</v>
      </c>
      <c r="C22" s="2">
        <f>'[1]ישיר מתוקן'!$N14</f>
        <v>55398</v>
      </c>
      <c r="D22" s="2">
        <f>'[1]ישיר מתוקן'!$P14</f>
        <v>60223</v>
      </c>
      <c r="E22" s="2">
        <f>'[1]ישיר מתוקן'!$R14</f>
        <v>113446</v>
      </c>
      <c r="F22" s="21">
        <f>-1*'[1]ישיר מתוקן'!$AK14</f>
        <v>-8643</v>
      </c>
      <c r="G22" s="21">
        <f>-1*'[1]ישיר מתוקן'!$AL14</f>
        <v>-7721</v>
      </c>
      <c r="I22" s="35">
        <f>[2]monthly!$AC121</f>
        <v>173.5</v>
      </c>
    </row>
    <row r="23" spans="1:9" ht="15.75" x14ac:dyDescent="0.25">
      <c r="A23" s="26">
        <v>35339</v>
      </c>
      <c r="B23" s="2">
        <f>'[1]ישיר מתוקן'!$G15</f>
        <v>212560</v>
      </c>
      <c r="C23" s="2">
        <f>'[1]ישיר מתוקן'!$N15</f>
        <v>64511</v>
      </c>
      <c r="D23" s="2">
        <f>'[1]ישיר מתוקן'!$P15</f>
        <v>52455</v>
      </c>
      <c r="E23" s="2">
        <f>'[1]ישיר מתוקן'!$R15</f>
        <v>96763</v>
      </c>
      <c r="F23" s="21">
        <f>-1*'[1]ישיר מתוקן'!$AK15</f>
        <v>-4429</v>
      </c>
      <c r="G23" s="21">
        <f>-1*'[1]ישיר מתוקן'!$AL15</f>
        <v>-4215</v>
      </c>
      <c r="I23" s="35">
        <f>[2]monthly!$AC122</f>
        <v>176.4</v>
      </c>
    </row>
    <row r="24" spans="1:9" ht="15.75" x14ac:dyDescent="0.25">
      <c r="A24" s="26">
        <v>35370</v>
      </c>
      <c r="B24" s="2">
        <f>'[1]ישיר מתוקן'!$G16</f>
        <v>236927</v>
      </c>
      <c r="C24" s="2">
        <f>'[1]ישיר מתוקן'!$N16</f>
        <v>69713</v>
      </c>
      <c r="D24" s="2">
        <f>'[1]ישיר מתוקן'!$P16</f>
        <v>70964</v>
      </c>
      <c r="E24" s="2">
        <f>'[1]ישיר מתוקן'!$R16</f>
        <v>97544</v>
      </c>
      <c r="F24" s="21">
        <f>-1*'[1]ישיר מתוקן'!$AK16</f>
        <v>-3593</v>
      </c>
      <c r="G24" s="21">
        <f>-1*'[1]ישיר מתוקן'!$AL16</f>
        <v>-6813</v>
      </c>
      <c r="I24" s="35">
        <f>[2]monthly!$AC123</f>
        <v>177.1</v>
      </c>
    </row>
    <row r="25" spans="1:9" ht="15.75" x14ac:dyDescent="0.25">
      <c r="A25" s="26">
        <v>35400</v>
      </c>
      <c r="B25" s="2">
        <f>'[1]ישיר מתוקן'!$G17</f>
        <v>305954</v>
      </c>
      <c r="C25" s="2">
        <f>'[1]ישיר מתוקן'!$N17</f>
        <v>89978</v>
      </c>
      <c r="D25" s="2">
        <f>'[1]ישיר מתוקן'!$P17</f>
        <v>97409</v>
      </c>
      <c r="E25" s="2">
        <f>'[1]ישיר מתוקן'!$R17</f>
        <v>119858</v>
      </c>
      <c r="F25" s="21">
        <f>-1*'[1]ישיר מתוקן'!$AK17</f>
        <v>-6468</v>
      </c>
      <c r="G25" s="21">
        <f>-1*'[1]ישיר מתוקן'!$AL17</f>
        <v>-6333</v>
      </c>
      <c r="I25" s="35">
        <f>[2]monthly!$AC124</f>
        <v>178.4</v>
      </c>
    </row>
    <row r="26" spans="1:9" ht="15.75" x14ac:dyDescent="0.25">
      <c r="A26" s="26">
        <v>35431</v>
      </c>
      <c r="B26" s="2">
        <f>'[1]ישיר מתוקן'!$G18</f>
        <v>301048</v>
      </c>
      <c r="C26" s="2">
        <f>'[1]ישיר מתוקן'!$N18</f>
        <v>65528</v>
      </c>
      <c r="D26" s="2">
        <f>'[1]ישיר מתוקן'!$P18</f>
        <v>108021</v>
      </c>
      <c r="E26" s="2">
        <f>'[1]ישיר מתוקן'!$R18</f>
        <v>129289</v>
      </c>
      <c r="F26" s="21">
        <f>-1*'[1]ישיר מתוקן'!$AK18</f>
        <v>-9857</v>
      </c>
      <c r="G26" s="21">
        <f>-1*'[1]ישיר מתוקן'!$AL18</f>
        <v>-6129</v>
      </c>
      <c r="I26" s="35">
        <f>[2]monthly!$AC125</f>
        <v>181.8</v>
      </c>
    </row>
    <row r="27" spans="1:9" ht="15.75" x14ac:dyDescent="0.25">
      <c r="A27" s="26">
        <v>35462</v>
      </c>
      <c r="B27" s="2">
        <f>'[1]ישיר מתוקן'!$G19</f>
        <v>367644</v>
      </c>
      <c r="C27" s="2">
        <f>'[1]ישיר מתוקן'!$N19</f>
        <v>171169</v>
      </c>
      <c r="D27" s="2">
        <f>'[1]ישיר מתוקן'!$P19</f>
        <v>79507</v>
      </c>
      <c r="E27" s="2">
        <f>'[1]ישיר מתוקן'!$R19</f>
        <v>118219</v>
      </c>
      <c r="F27" s="21">
        <f>-1*'[1]ישיר מתוקן'!$AK19</f>
        <v>-10531</v>
      </c>
      <c r="G27" s="21">
        <f>-1*'[1]ישיר מתוקן'!$AL19</f>
        <v>-4328</v>
      </c>
      <c r="I27" s="35">
        <f>[2]monthly!$AC126</f>
        <v>183</v>
      </c>
    </row>
    <row r="28" spans="1:9" ht="15.75" x14ac:dyDescent="0.25">
      <c r="A28" s="26">
        <v>35490</v>
      </c>
      <c r="B28" s="2">
        <f>'[1]ישיר מתוקן'!$G20</f>
        <v>314155</v>
      </c>
      <c r="C28" s="2">
        <f>'[1]ישיר מתוקן'!$N20</f>
        <v>124013</v>
      </c>
      <c r="D28" s="2">
        <f>'[1]ישיר מתוקן'!$P20</f>
        <v>73021</v>
      </c>
      <c r="E28" s="2">
        <f>'[1]ישיר מתוקן'!$R20</f>
        <v>118011</v>
      </c>
      <c r="F28" s="21">
        <f>-1*'[1]ישיר מתוקן'!$AK20</f>
        <v>-8254</v>
      </c>
      <c r="G28" s="21">
        <f>-1*'[1]ישיר מתוקן'!$AL20</f>
        <v>-6035</v>
      </c>
      <c r="I28" s="35">
        <f>[2]monthly!$AC127</f>
        <v>183.2</v>
      </c>
    </row>
    <row r="29" spans="1:9" ht="15.75" x14ac:dyDescent="0.25">
      <c r="A29" s="26">
        <v>35521</v>
      </c>
      <c r="B29" s="2">
        <f>'[1]ישיר מתוקן'!$G21</f>
        <v>285531</v>
      </c>
      <c r="C29" s="2">
        <f>'[1]ישיר מתוקן'!$N21</f>
        <v>88596</v>
      </c>
      <c r="D29" s="2">
        <f>'[1]ישיר מתוקן'!$P21</f>
        <v>80366</v>
      </c>
      <c r="E29" s="2">
        <f>'[1]ישיר מתוקן'!$R21</f>
        <v>117589</v>
      </c>
      <c r="F29" s="21">
        <f>-1*'[1]ישיר מתוקן'!$AK21</f>
        <v>-5851</v>
      </c>
      <c r="G29" s="21">
        <f>-1*'[1]ישיר מתוקן'!$AL21</f>
        <v>-5506</v>
      </c>
      <c r="I29" s="35">
        <f>[2]monthly!$AC128</f>
        <v>185.1</v>
      </c>
    </row>
    <row r="30" spans="1:9" ht="15.75" x14ac:dyDescent="0.25">
      <c r="A30" s="26">
        <v>35551</v>
      </c>
      <c r="B30" s="2">
        <f>'[1]ישיר מתוקן'!$G22</f>
        <v>235435</v>
      </c>
      <c r="C30" s="2">
        <f>'[1]ישיר מתוקן'!$N22</f>
        <v>49923</v>
      </c>
      <c r="D30" s="2">
        <f>'[1]ישיר מתוקן'!$P22</f>
        <v>78187</v>
      </c>
      <c r="E30" s="2">
        <f>'[1]ישיר מתוקן'!$R22</f>
        <v>108888</v>
      </c>
      <c r="F30" s="21">
        <f>-1*'[1]ישיר מתוקן'!$AK22</f>
        <v>-9250</v>
      </c>
      <c r="G30" s="21">
        <f>-1*'[1]ישיר מתוקן'!$AL22</f>
        <v>-13025</v>
      </c>
      <c r="I30" s="35">
        <f>[2]monthly!$AC129</f>
        <v>187.4</v>
      </c>
    </row>
    <row r="31" spans="1:9" ht="15.75" x14ac:dyDescent="0.25">
      <c r="A31" s="26">
        <v>35582</v>
      </c>
      <c r="B31" s="2">
        <f>'[1]ישיר מתוקן'!$G23</f>
        <v>214380</v>
      </c>
      <c r="C31" s="2">
        <f>'[1]ישיר מתוקן'!$N23</f>
        <v>55104</v>
      </c>
      <c r="D31" s="2">
        <f>'[1]ישיר מתוקן'!$P23</f>
        <v>60454</v>
      </c>
      <c r="E31" s="2">
        <f>'[1]ישיר מתוקן'!$R23</f>
        <v>100841</v>
      </c>
      <c r="F31" s="21">
        <f>-1*'[1]ישיר מתוקן'!$AK23</f>
        <v>-6599</v>
      </c>
      <c r="G31" s="21">
        <f>-1*'[1]ישיר מתוקן'!$AL23</f>
        <v>-5740</v>
      </c>
      <c r="I31" s="35">
        <f>[2]monthly!$AC130</f>
        <v>190.8</v>
      </c>
    </row>
    <row r="32" spans="1:9" ht="15.75" x14ac:dyDescent="0.25">
      <c r="A32" s="26">
        <v>35612</v>
      </c>
      <c r="B32" s="2">
        <f>'[1]ישיר מתוקן'!$G24</f>
        <v>329214</v>
      </c>
      <c r="C32" s="2">
        <f>'[1]ישיר מתוקן'!$N24</f>
        <v>97788</v>
      </c>
      <c r="D32" s="2">
        <f>'[1]ישיר מתוקן'!$P24</f>
        <v>94744</v>
      </c>
      <c r="E32" s="2">
        <f>'[1]ישיר מתוקן'!$R24</f>
        <v>139271</v>
      </c>
      <c r="F32" s="21">
        <f>-1*'[1]ישיר מתוקן'!$AK24</f>
        <v>-10721</v>
      </c>
      <c r="G32" s="21">
        <f>-1*'[1]ישיר מתוקן'!$AL24</f>
        <v>-4792</v>
      </c>
      <c r="I32" s="35">
        <f>[2]monthly!$AC131</f>
        <v>192.4</v>
      </c>
    </row>
    <row r="33" spans="1:9" ht="15.75" x14ac:dyDescent="0.25">
      <c r="A33" s="26">
        <v>35643</v>
      </c>
      <c r="B33" s="2">
        <f>'[1]ישיר מתוקן'!$G25</f>
        <v>318218</v>
      </c>
      <c r="C33" s="2">
        <f>'[1]ישיר מתוקן'!$N25</f>
        <v>84291</v>
      </c>
      <c r="D33" s="2">
        <f>'[1]ישיר מתוקן'!$P25</f>
        <v>89083</v>
      </c>
      <c r="E33" s="2">
        <f>'[1]ישיר מתוקן'!$R25</f>
        <v>146123</v>
      </c>
      <c r="F33" s="21">
        <f>-1*'[1]ישיר מתוקן'!$AK25</f>
        <v>-8838</v>
      </c>
      <c r="G33" s="21">
        <f>-1*'[1]ישיר מתוקן'!$AL25</f>
        <v>-3712</v>
      </c>
      <c r="I33" s="35">
        <f>[2]monthly!$AC132</f>
        <v>191.5</v>
      </c>
    </row>
    <row r="34" spans="1:9" ht="15.75" x14ac:dyDescent="0.25">
      <c r="A34" s="26">
        <v>35674</v>
      </c>
      <c r="B34" s="2">
        <f>'[1]ישיר מתוקן'!$G26</f>
        <v>261719</v>
      </c>
      <c r="C34" s="2">
        <f>'[1]ישיר מתוקן'!$N26</f>
        <v>54884</v>
      </c>
      <c r="D34" s="2">
        <f>'[1]ישיר מתוקן'!$P26</f>
        <v>76842</v>
      </c>
      <c r="E34" s="2">
        <f>'[1]ישיר מתוקן'!$R26</f>
        <v>131456</v>
      </c>
      <c r="F34" s="21">
        <f>-1*'[1]ישיר מתוקן'!$AK26</f>
        <v>-6641</v>
      </c>
      <c r="G34" s="21">
        <f>-1*'[1]ישיר מתוקן'!$AL26</f>
        <v>-7250</v>
      </c>
      <c r="I34" s="35">
        <f>[2]monthly!$AC133</f>
        <v>190.3</v>
      </c>
    </row>
    <row r="35" spans="1:9" ht="15.75" x14ac:dyDescent="0.25">
      <c r="A35" s="26">
        <v>35704</v>
      </c>
      <c r="B35" s="2">
        <f>'[1]ישיר מתוקן'!$G27</f>
        <v>193472</v>
      </c>
      <c r="C35" s="2">
        <f>'[1]ישיר מתוקן'!$N27</f>
        <v>52502</v>
      </c>
      <c r="D35" s="2">
        <f>'[1]ישיר מתוקן'!$P27</f>
        <v>54841</v>
      </c>
      <c r="E35" s="2">
        <f>'[1]ישיר מתוקן'!$R27</f>
        <v>88121</v>
      </c>
      <c r="F35" s="21">
        <f>-1*'[1]ישיר מתוקן'!$AK27</f>
        <v>-3839</v>
      </c>
      <c r="G35" s="21">
        <f>-1*'[1]ישיר מתוקן'!$AL27</f>
        <v>-2095</v>
      </c>
      <c r="I35" s="35">
        <f>[2]monthly!$AC134</f>
        <v>189.5</v>
      </c>
    </row>
    <row r="36" spans="1:9" ht="15.75" x14ac:dyDescent="0.25">
      <c r="A36" s="26">
        <v>35735</v>
      </c>
      <c r="B36" s="2">
        <f>'[1]ישיר מתוקן'!$G28</f>
        <v>210012</v>
      </c>
      <c r="C36" s="2">
        <f>'[1]ישיר מתוקן'!$N28</f>
        <v>43746</v>
      </c>
      <c r="D36" s="2">
        <f>'[1]ישיר מתוקן'!$P28</f>
        <v>69497</v>
      </c>
      <c r="E36" s="2">
        <f>'[1]ישיר מתוקן'!$R28</f>
        <v>98088</v>
      </c>
      <c r="F36" s="21">
        <f>-1*'[1]ישיר מתוקן'!$AK28</f>
        <v>-9918</v>
      </c>
      <c r="G36" s="21">
        <f>-1*'[1]ישיר מתוקן'!$AL28</f>
        <v>-9976</v>
      </c>
      <c r="I36" s="35">
        <f>[2]monthly!$AC135</f>
        <v>189.7</v>
      </c>
    </row>
    <row r="37" spans="1:9" ht="15.75" x14ac:dyDescent="0.25">
      <c r="A37" s="26">
        <v>35765</v>
      </c>
      <c r="B37" s="2">
        <f>'[1]ישיר מתוקן'!$G29</f>
        <v>293938</v>
      </c>
      <c r="C37" s="2">
        <f>'[1]ישיר מתוקן'!$N29</f>
        <v>98325</v>
      </c>
      <c r="D37" s="2">
        <f>'[1]ישיר מתוקן'!$P29</f>
        <v>80080</v>
      </c>
      <c r="E37" s="2">
        <f>'[1]ישיר מתוקן'!$R29</f>
        <v>117335</v>
      </c>
      <c r="F37" s="21">
        <f>-1*'[1]ישיר מתוקן'!$AK29</f>
        <v>-4354</v>
      </c>
      <c r="G37" s="21">
        <f>-1*'[1]ישיר מתוקן'!$AL29</f>
        <v>-3439</v>
      </c>
      <c r="I37" s="35">
        <f>[2]monthly!$AC136</f>
        <v>190.9</v>
      </c>
    </row>
    <row r="38" spans="1:9" ht="15.75" x14ac:dyDescent="0.25">
      <c r="A38" s="26">
        <v>35796</v>
      </c>
      <c r="B38" s="2">
        <f>'[1]ישיר מתוקן'!$G30</f>
        <v>186943</v>
      </c>
      <c r="C38" s="2">
        <f>'[1]ישיר מתוקן'!$N30</f>
        <v>34619</v>
      </c>
      <c r="D38" s="2">
        <f>'[1]ישיר מתוקן'!$P30</f>
        <v>56313</v>
      </c>
      <c r="E38" s="2">
        <f>'[1]ישיר מתוקן'!$R30</f>
        <v>96872</v>
      </c>
      <c r="F38" s="21">
        <f>-1*'[1]ישיר מתוקן'!$AK30</f>
        <v>-83</v>
      </c>
      <c r="G38" s="21">
        <f>-1*'[1]ישיר מתוקן'!$AL30</f>
        <v>-168</v>
      </c>
      <c r="H38" s="22">
        <v>19212</v>
      </c>
      <c r="I38" s="35">
        <f>[2]monthly!$AC137</f>
        <v>191.1</v>
      </c>
    </row>
    <row r="39" spans="1:9" ht="15.75" x14ac:dyDescent="0.25">
      <c r="A39" s="26">
        <v>35827</v>
      </c>
      <c r="B39" s="2">
        <f>'[1]ישיר מתוקן'!$G31</f>
        <v>322828</v>
      </c>
      <c r="C39" s="2">
        <f>'[1]ישיר מתוקן'!$N31</f>
        <v>93066</v>
      </c>
      <c r="D39" s="2">
        <f>'[1]ישיר מתוקן'!$P31</f>
        <v>90182</v>
      </c>
      <c r="E39" s="2">
        <f>'[1]ישיר מתוקן'!$R31</f>
        <v>145186</v>
      </c>
      <c r="F39" s="21">
        <f>-1*'[1]ישיר מתוקן'!$AK31</f>
        <v>-12534</v>
      </c>
      <c r="G39" s="21">
        <f>-1*'[1]ישיר מתוקן'!$AL31</f>
        <v>-8106</v>
      </c>
      <c r="H39" s="22">
        <v>21600</v>
      </c>
      <c r="I39" s="35">
        <f>[2]monthly!$AC138</f>
        <v>190.1</v>
      </c>
    </row>
    <row r="40" spans="1:9" ht="15.75" x14ac:dyDescent="0.25">
      <c r="A40" s="26">
        <v>35855</v>
      </c>
      <c r="B40" s="2">
        <f>'[1]ישיר מתוקן'!$G32</f>
        <v>362049</v>
      </c>
      <c r="C40" s="2">
        <f>'[1]ישיר מתוקן'!$N32</f>
        <v>141846</v>
      </c>
      <c r="D40" s="2">
        <f>'[1]ישיר מתוקן'!$P32</f>
        <v>96269</v>
      </c>
      <c r="E40" s="2">
        <f>'[1]ישיר מתוקן'!$R32</f>
        <v>126314</v>
      </c>
      <c r="F40" s="21">
        <f>-1*'[1]ישיר מתוקן'!$AK32</f>
        <v>-11124</v>
      </c>
      <c r="G40" s="21">
        <f>-1*'[1]ישיר מתוקן'!$AL32</f>
        <v>-9762</v>
      </c>
      <c r="H40" s="22">
        <v>20196</v>
      </c>
      <c r="I40" s="35">
        <f>[2]monthly!$AC139</f>
        <v>191.6</v>
      </c>
    </row>
    <row r="41" spans="1:9" ht="15.75" x14ac:dyDescent="0.25">
      <c r="A41" s="26">
        <v>35886</v>
      </c>
      <c r="B41" s="2">
        <f>'[1]ישיר מתוקן'!$G33</f>
        <v>305373</v>
      </c>
      <c r="C41" s="2">
        <f>'[1]ישיר מתוקן'!$N33</f>
        <v>104061</v>
      </c>
      <c r="D41" s="2">
        <f>'[1]ישיר מתוקן'!$P33</f>
        <v>92562</v>
      </c>
      <c r="E41" s="2">
        <f>'[1]ישיר מתוקן'!$R33</f>
        <v>109538</v>
      </c>
      <c r="F41" s="21">
        <f>-1*'[1]ישיר מתוקן'!$AK33</f>
        <v>-5808</v>
      </c>
      <c r="G41" s="21">
        <f>-1*'[1]ישיר מתוקן'!$AL33</f>
        <v>-6413</v>
      </c>
      <c r="H41" s="22">
        <v>18012</v>
      </c>
      <c r="I41" s="35">
        <f>[2]monthly!$AC140</f>
        <v>193.5</v>
      </c>
    </row>
    <row r="42" spans="1:9" ht="15.75" x14ac:dyDescent="0.25">
      <c r="A42" s="26">
        <v>35916</v>
      </c>
      <c r="B42" s="2">
        <f>'[1]ישיר מתוקן'!$G34</f>
        <v>282235</v>
      </c>
      <c r="C42" s="2">
        <f>'[1]ישיר מתוקן'!$N34</f>
        <v>81495</v>
      </c>
      <c r="D42" s="2">
        <f>'[1]ישיר מתוקן'!$P34</f>
        <v>88438</v>
      </c>
      <c r="E42" s="2">
        <f>'[1]ישיר מתוקן'!$R34</f>
        <v>114555</v>
      </c>
      <c r="F42" s="21">
        <f>-1*'[1]ישיר מתוקן'!$AK34</f>
        <v>-8228</v>
      </c>
      <c r="G42" s="21">
        <f>-1*'[1]ישיר מתוקן'!$AL34</f>
        <v>-6347</v>
      </c>
      <c r="H42" s="22">
        <v>18888</v>
      </c>
      <c r="I42" s="35">
        <f>[2]monthly!$AC141</f>
        <v>193.4</v>
      </c>
    </row>
    <row r="43" spans="1:9" ht="15.75" x14ac:dyDescent="0.25">
      <c r="A43" s="26">
        <v>35947</v>
      </c>
      <c r="B43" s="2">
        <f>'[1]ישיר מתוקן'!$G35</f>
        <v>225182</v>
      </c>
      <c r="C43" s="2">
        <f>'[1]ישיר מתוקן'!$N35</f>
        <v>68133</v>
      </c>
      <c r="D43" s="2">
        <f>'[1]ישיר מתוקן'!$P35</f>
        <v>63358</v>
      </c>
      <c r="E43" s="2">
        <f>'[1]ישיר מתוקן'!$R35</f>
        <v>100093</v>
      </c>
      <c r="F43" s="21">
        <f>-1*'[1]ישיר מתוקן'!$AK35</f>
        <v>-9483</v>
      </c>
      <c r="G43" s="21">
        <f>-1*'[1]ישיר מתוקן'!$AL35</f>
        <v>-6124</v>
      </c>
      <c r="H43" s="22">
        <v>17256</v>
      </c>
      <c r="I43" s="35">
        <f>[2]monthly!$AC142</f>
        <v>190.1</v>
      </c>
    </row>
    <row r="44" spans="1:9" ht="15.75" x14ac:dyDescent="0.25">
      <c r="A44" s="26">
        <v>35977</v>
      </c>
      <c r="B44" s="2">
        <f>'[1]ישיר מתוקן'!$G36</f>
        <v>322205</v>
      </c>
      <c r="C44" s="2">
        <f>'[1]ישיר מתוקן'!$N36</f>
        <v>93910</v>
      </c>
      <c r="D44" s="2">
        <f>'[1]ישיר מתוקן'!$P36</f>
        <v>102383</v>
      </c>
      <c r="E44" s="2">
        <f>'[1]ישיר מתוקן'!$R36</f>
        <v>127552</v>
      </c>
      <c r="F44" s="21">
        <f>-1*'[1]ישיר מתוקן'!$AK36</f>
        <v>-9708</v>
      </c>
      <c r="G44" s="21">
        <f>-1*'[1]ישיר מתוקן'!$AL36</f>
        <v>-5906</v>
      </c>
      <c r="H44" s="22">
        <v>18168</v>
      </c>
      <c r="I44" s="35">
        <f>[2]monthly!$AC143</f>
        <v>188.1</v>
      </c>
    </row>
    <row r="45" spans="1:9" ht="15.75" x14ac:dyDescent="0.25">
      <c r="A45" s="26">
        <v>36008</v>
      </c>
      <c r="B45" s="2">
        <f>'[1]ישיר מתוקן'!$G37</f>
        <v>201727</v>
      </c>
      <c r="C45" s="2">
        <f>'[1]ישיר מתוקן'!$N37</f>
        <v>54079</v>
      </c>
      <c r="D45" s="2">
        <f>'[1]ישיר מתוקן'!$P37</f>
        <v>47955</v>
      </c>
      <c r="E45" s="2">
        <f>'[1]ישיר מתוקן'!$R37</f>
        <v>100293</v>
      </c>
      <c r="F45" s="21">
        <f>-1*'[1]ישיר מתוקן'!$AK37</f>
        <v>-6277</v>
      </c>
      <c r="G45" s="21">
        <f>-1*'[1]ישיר מתוקן'!$AL37</f>
        <v>-3936</v>
      </c>
      <c r="H45" s="22">
        <v>24612</v>
      </c>
      <c r="I45" s="35">
        <f>[2]monthly!$AC144</f>
        <v>191</v>
      </c>
    </row>
    <row r="46" spans="1:9" ht="15.75" x14ac:dyDescent="0.25">
      <c r="A46" s="26">
        <v>36039</v>
      </c>
      <c r="B46" s="2">
        <f>'[1]ישיר מתוקן'!$G38</f>
        <v>130425</v>
      </c>
      <c r="C46" s="2">
        <f>'[1]ישיר מתוקן'!$N38</f>
        <v>22473</v>
      </c>
      <c r="D46" s="2">
        <f>'[1]ישיר מתוקן'!$P38</f>
        <v>57619</v>
      </c>
      <c r="E46" s="2">
        <f>'[1]ישיר מתוקן'!$R38</f>
        <v>50341</v>
      </c>
      <c r="F46" s="21">
        <f>-1*'[1]ישיר מתוקן'!$AK38</f>
        <v>-49</v>
      </c>
      <c r="G46" s="21">
        <f>-1*'[1]ישיר מתוקן'!$AL38</f>
        <v>-134</v>
      </c>
      <c r="H46" s="22">
        <v>19260</v>
      </c>
      <c r="I46" s="35">
        <f>[2]monthly!$AC145</f>
        <v>198.3</v>
      </c>
    </row>
    <row r="47" spans="1:9" ht="15.75" x14ac:dyDescent="0.25">
      <c r="A47" s="26">
        <v>36069</v>
      </c>
      <c r="B47" s="2">
        <f>'[1]ישיר מתוקן'!$G39</f>
        <v>261436</v>
      </c>
      <c r="C47" s="2">
        <f>'[1]ישיר מתוקן'!$N39</f>
        <v>68734</v>
      </c>
      <c r="D47" s="2">
        <f>'[1]ישיר מתוקן'!$P39</f>
        <v>75964</v>
      </c>
      <c r="E47" s="2">
        <f>'[1]ישיר מתוקן'!$R39</f>
        <v>120141</v>
      </c>
      <c r="F47" s="21">
        <f>-1*'[1]ישיר מתוקן'!$AK39</f>
        <v>-8254</v>
      </c>
      <c r="G47" s="21">
        <f>-1*'[1]ישיר מתוקן'!$AL39</f>
        <v>-4844</v>
      </c>
      <c r="H47" s="22">
        <v>21420</v>
      </c>
      <c r="I47" s="35">
        <f>[2]monthly!$AC146</f>
        <v>204.4</v>
      </c>
    </row>
    <row r="48" spans="1:9" ht="15.75" x14ac:dyDescent="0.25">
      <c r="A48" s="26">
        <v>36100</v>
      </c>
      <c r="B48" s="2">
        <f>'[1]ישיר מתוקן'!$G40</f>
        <v>405679</v>
      </c>
      <c r="C48" s="2">
        <f>'[1]ישיר מתוקן'!$N40</f>
        <v>149000</v>
      </c>
      <c r="D48" s="2">
        <f>'[1]ישיר מתוקן'!$P40</f>
        <v>101090</v>
      </c>
      <c r="E48" s="2">
        <f>'[1]ישיר מתוקן'!$R40</f>
        <v>159719</v>
      </c>
      <c r="F48" s="21">
        <f>-1*'[1]ישיר מתוקן'!$AK40</f>
        <v>-6269</v>
      </c>
      <c r="G48" s="21">
        <f>-1*'[1]ישיר מתוקן'!$AL40</f>
        <v>-5306</v>
      </c>
      <c r="H48" s="22">
        <v>19356</v>
      </c>
      <c r="I48" s="35">
        <f>[2]monthly!$AC147</f>
        <v>204.4</v>
      </c>
    </row>
    <row r="49" spans="1:9" ht="15.75" x14ac:dyDescent="0.25">
      <c r="A49" s="26">
        <v>36130</v>
      </c>
      <c r="B49" s="2">
        <f>'[1]ישיר מתוקן'!$G41</f>
        <v>332107</v>
      </c>
      <c r="C49" s="2">
        <f>'[1]ישיר מתוקן'!$N41</f>
        <v>92851</v>
      </c>
      <c r="D49" s="2">
        <f>'[1]ישיר מתוקן'!$P41</f>
        <v>87415</v>
      </c>
      <c r="E49" s="2">
        <f>'[1]ישיר מתוקן'!$R41</f>
        <v>153624</v>
      </c>
      <c r="F49" s="21">
        <f>-1*'[1]ישיר מתוקן'!$AK41</f>
        <v>-14035</v>
      </c>
      <c r="G49" s="21">
        <f>-1*'[1]ישיר מתוקן'!$AL41</f>
        <v>-8231</v>
      </c>
      <c r="H49" s="22">
        <v>19692</v>
      </c>
      <c r="I49" s="35">
        <f>[2]monthly!$AC148</f>
        <v>204.3</v>
      </c>
    </row>
    <row r="50" spans="1:9" ht="15.75" x14ac:dyDescent="0.25">
      <c r="A50" s="26">
        <v>36161</v>
      </c>
      <c r="B50" s="2">
        <f>'[1]ישיר מתוקן'!$G42</f>
        <v>325013</v>
      </c>
      <c r="C50" s="2">
        <f>'[1]ישיר מתוקן'!$N42</f>
        <v>111502</v>
      </c>
      <c r="D50" s="2">
        <f>'[1]ישיר מתוקן'!$P42</f>
        <v>85167</v>
      </c>
      <c r="E50" s="2">
        <f>'[1]ישיר מתוקן'!$R42</f>
        <v>129729</v>
      </c>
      <c r="F50" s="21">
        <f>-1*'[1]ישיר מתוקן'!$AK42</f>
        <v>-7098</v>
      </c>
      <c r="G50" s="21">
        <f>-1*'[1]ישיר מתוקן'!$AL42</f>
        <v>-10028</v>
      </c>
      <c r="H50" s="22">
        <v>16068</v>
      </c>
      <c r="I50" s="35">
        <f>[2]monthly!$AC149</f>
        <v>204.6</v>
      </c>
    </row>
    <row r="51" spans="1:9" ht="15.75" x14ac:dyDescent="0.25">
      <c r="A51" s="26">
        <v>36192</v>
      </c>
      <c r="B51" s="2">
        <f>'[1]ישיר מתוקן'!$G43</f>
        <v>367223</v>
      </c>
      <c r="C51" s="2">
        <f>'[1]ישיר מתוקן'!$N43</f>
        <v>119378</v>
      </c>
      <c r="D51" s="2">
        <f>'[1]ישיר מתוקן'!$P43</f>
        <v>106763</v>
      </c>
      <c r="E51" s="2">
        <f>'[1]ישיר מתוקן'!$R43</f>
        <v>143323</v>
      </c>
      <c r="F51" s="21">
        <f>-1*'[1]ישיר מתוקן'!$AK43</f>
        <v>-4657</v>
      </c>
      <c r="G51" s="21">
        <f>-1*'[1]ישיר מתוקן'!$AL43</f>
        <v>-3338</v>
      </c>
      <c r="H51" s="22">
        <v>15936</v>
      </c>
      <c r="I51" s="35">
        <f>[2]monthly!$AC150</f>
        <v>203.3</v>
      </c>
    </row>
    <row r="52" spans="1:9" ht="15.75" x14ac:dyDescent="0.25">
      <c r="A52" s="26">
        <v>36220</v>
      </c>
      <c r="B52" s="2">
        <f>'[1]ישיר מתוקן'!$G44</f>
        <v>281214</v>
      </c>
      <c r="C52" s="2">
        <f>'[1]ישיר מתוקן'!$N44</f>
        <v>64215</v>
      </c>
      <c r="D52" s="2">
        <f>'[1]ישיר מתוקן'!$P44</f>
        <v>77145</v>
      </c>
      <c r="E52" s="2">
        <f>'[1]ישיר מתוקן'!$R44</f>
        <v>140673</v>
      </c>
      <c r="F52" s="21">
        <f>-1*'[1]ישיר מתוקן'!$AK44</f>
        <v>-5937</v>
      </c>
      <c r="G52" s="21">
        <f>-1*'[1]ישיר מתוקן'!$AL44</f>
        <v>-2301</v>
      </c>
      <c r="H52" s="22">
        <v>15132</v>
      </c>
      <c r="I52" s="35">
        <f>[2]monthly!$AC151</f>
        <v>201.7</v>
      </c>
    </row>
    <row r="53" spans="1:9" ht="15.75" x14ac:dyDescent="0.25">
      <c r="A53" s="26">
        <v>36251</v>
      </c>
      <c r="B53" s="2">
        <f>'[1]ישיר מתוקן'!$G45</f>
        <v>231364</v>
      </c>
      <c r="C53" s="2">
        <f>'[1]ישיר מתוקן'!$N45</f>
        <v>79164</v>
      </c>
      <c r="D53" s="2">
        <f>'[1]ישיר מתוקן'!$P45</f>
        <v>58360</v>
      </c>
      <c r="E53" s="2">
        <f>'[1]ישיר מתוקן'!$R45</f>
        <v>96110</v>
      </c>
      <c r="F53" s="21">
        <f>-1*'[1]ישיר מתוקן'!$AK45</f>
        <v>-8938</v>
      </c>
      <c r="G53" s="21">
        <f>-1*'[1]ישיר מתוקן'!$AL45</f>
        <v>-5983</v>
      </c>
      <c r="H53" s="22">
        <v>16356</v>
      </c>
      <c r="I53" s="35">
        <f>[2]monthly!$AC152</f>
        <v>203</v>
      </c>
    </row>
    <row r="54" spans="1:9" ht="15.75" x14ac:dyDescent="0.25">
      <c r="A54" s="26">
        <v>36281</v>
      </c>
      <c r="B54" s="2">
        <f>'[1]ישיר מתוקן'!$G46</f>
        <v>258861</v>
      </c>
      <c r="C54" s="2">
        <f>'[1]ישיר מתוקן'!$N46</f>
        <v>57305</v>
      </c>
      <c r="D54" s="2">
        <f>'[1]ישיר מתוקן'!$P46</f>
        <v>84995</v>
      </c>
      <c r="E54" s="2">
        <f>'[1]ישיר מתוקן'!$R46</f>
        <v>118978</v>
      </c>
      <c r="F54" s="21">
        <f>-1*'[1]ישיר מתוקן'!$AK46</f>
        <v>-11809</v>
      </c>
      <c r="G54" s="21">
        <f>-1*'[1]ישיר מתוקן'!$AL46</f>
        <v>-5313</v>
      </c>
      <c r="H54" s="22">
        <v>15276</v>
      </c>
      <c r="I54" s="35">
        <f>[2]monthly!$AC153</f>
        <v>202.4</v>
      </c>
    </row>
    <row r="55" spans="1:9" ht="15.75" x14ac:dyDescent="0.25">
      <c r="A55" s="26">
        <v>36312</v>
      </c>
      <c r="B55" s="2">
        <f>'[1]ישיר מתוקן'!$G47</f>
        <v>296162</v>
      </c>
      <c r="C55" s="2">
        <f>'[1]ישיר מתוקן'!$N47</f>
        <v>53308</v>
      </c>
      <c r="D55" s="2">
        <f>'[1]ישיר מתוקן'!$P47</f>
        <v>90316</v>
      </c>
      <c r="E55" s="2">
        <f>'[1]ישיר מתוקן'!$R47</f>
        <v>154056</v>
      </c>
      <c r="F55" s="21">
        <f>-1*'[1]ישיר מתוקן'!$AK47</f>
        <v>-5261</v>
      </c>
      <c r="G55" s="21">
        <f>-1*'[1]ישיר מתוקן'!$AL47</f>
        <v>-4296</v>
      </c>
      <c r="H55" s="22">
        <v>16368</v>
      </c>
      <c r="I55" s="35">
        <f>[2]monthly!$AC154</f>
        <v>200.1</v>
      </c>
    </row>
    <row r="56" spans="1:9" ht="15.75" x14ac:dyDescent="0.25">
      <c r="A56" s="26">
        <v>36342</v>
      </c>
      <c r="B56" s="2">
        <f>'[1]ישיר מתוקן'!$G48</f>
        <v>323314</v>
      </c>
      <c r="C56" s="2">
        <f>'[1]ישיר מתוקן'!$N48</f>
        <v>75401</v>
      </c>
      <c r="D56" s="2">
        <f>'[1]ישיר מתוקן'!$P48</f>
        <v>102925</v>
      </c>
      <c r="E56" s="2">
        <f>'[1]ישיר מתוקן'!$R48</f>
        <v>147039</v>
      </c>
      <c r="F56" s="21">
        <f>-1*'[1]ישיר מתוקן'!$AK48</f>
        <v>-5804</v>
      </c>
      <c r="G56" s="21">
        <f>-1*'[1]ישיר מתוקן'!$AL48</f>
        <v>-6515</v>
      </c>
      <c r="H56" s="22">
        <v>16368</v>
      </c>
      <c r="I56" s="35">
        <f>[2]monthly!$AC155</f>
        <v>202.7</v>
      </c>
    </row>
    <row r="57" spans="1:9" ht="15.75" x14ac:dyDescent="0.25">
      <c r="A57" s="26">
        <v>36373</v>
      </c>
      <c r="B57" s="2">
        <f>'[1]ישיר מתוקן'!$G49</f>
        <v>410682</v>
      </c>
      <c r="C57" s="2">
        <f>'[1]ישיר מתוקן'!$N49</f>
        <v>157035</v>
      </c>
      <c r="D57" s="2">
        <f>'[1]ישיר מתוקן'!$P49</f>
        <v>86733</v>
      </c>
      <c r="E57" s="2">
        <f>'[1]ישיר מתוקן'!$R49</f>
        <v>168547</v>
      </c>
      <c r="F57" s="21">
        <f>-1*'[1]ישיר מתוקן'!$AK49</f>
        <v>-7169</v>
      </c>
      <c r="G57" s="21">
        <f>-1*'[1]ישיר מתוקן'!$AL49</f>
        <v>-4349</v>
      </c>
      <c r="H57" s="22">
        <v>14808</v>
      </c>
      <c r="I57" s="35">
        <f>[2]monthly!$AC156</f>
        <v>206.1</v>
      </c>
    </row>
    <row r="58" spans="1:9" ht="15.75" x14ac:dyDescent="0.25">
      <c r="A58" s="26">
        <v>36404</v>
      </c>
      <c r="B58" s="2">
        <f>'[1]ישיר מתוקן'!$G50</f>
        <v>330032</v>
      </c>
      <c r="C58" s="2">
        <f>'[1]ישיר מתוקן'!$N50</f>
        <v>105856</v>
      </c>
      <c r="D58" s="2">
        <f>'[1]ישיר מתוקן'!$P50</f>
        <v>78068</v>
      </c>
      <c r="E58" s="2">
        <f>'[1]ישיר מתוקן'!$R50</f>
        <v>147726</v>
      </c>
      <c r="F58" s="21">
        <f>-1*'[1]ישיר מתוקן'!$AK50</f>
        <v>-6048</v>
      </c>
      <c r="G58" s="21">
        <f>-1*'[1]ישיר מתוקן'!$AL50</f>
        <v>-4167</v>
      </c>
      <c r="H58" s="22">
        <v>13596</v>
      </c>
      <c r="I58" s="35">
        <f>[2]monthly!$AC157</f>
        <v>204</v>
      </c>
    </row>
    <row r="59" spans="1:9" ht="15.75" x14ac:dyDescent="0.25">
      <c r="A59" s="26">
        <v>36434</v>
      </c>
      <c r="B59" s="2">
        <f>'[1]ישיר מתוקן'!$G51</f>
        <v>325693</v>
      </c>
      <c r="C59" s="2">
        <f>'[1]ישיר מתוקן'!$N51</f>
        <v>76299</v>
      </c>
      <c r="D59" s="2">
        <f>'[1]ישיר מתוקן'!$P51</f>
        <v>90776</v>
      </c>
      <c r="E59" s="2">
        <f>'[1]ישיר מתוקן'!$R51</f>
        <v>160979</v>
      </c>
      <c r="F59" s="21">
        <f>-1*'[1]ישיר מתוקן'!$AK51</f>
        <v>-4998</v>
      </c>
      <c r="G59" s="21">
        <f>-1*'[1]ישיר מתוקן'!$AL51</f>
        <v>-4827</v>
      </c>
      <c r="H59" s="22">
        <v>13272</v>
      </c>
      <c r="I59" s="35">
        <f>[2]monthly!$AC158</f>
        <v>204.2</v>
      </c>
    </row>
    <row r="60" spans="1:9" ht="15.75" x14ac:dyDescent="0.25">
      <c r="A60" s="26">
        <v>36465</v>
      </c>
      <c r="B60" s="2">
        <f>'[1]ישיר מתוקן'!$G52</f>
        <v>310397</v>
      </c>
      <c r="C60" s="2">
        <f>'[1]ישיר מתוקן'!$N52</f>
        <v>63685</v>
      </c>
      <c r="D60" s="2">
        <f>'[1]ישיר מתוקן'!$P52</f>
        <v>105405</v>
      </c>
      <c r="E60" s="2">
        <f>'[1]ישיר מתוקן'!$R52</f>
        <v>149626</v>
      </c>
      <c r="F60" s="21">
        <f>-1*'[1]ישיר מתוקן'!$AK52</f>
        <v>-5165</v>
      </c>
      <c r="G60" s="21">
        <f>-1*'[1]ישיר מתוקן'!$AL52</f>
        <v>-2550</v>
      </c>
      <c r="H60" s="22">
        <v>12924</v>
      </c>
      <c r="I60" s="35">
        <f>[2]monthly!$AC159</f>
        <v>205.6</v>
      </c>
    </row>
    <row r="61" spans="1:9" ht="15.75" x14ac:dyDescent="0.25">
      <c r="A61" s="26">
        <v>36495</v>
      </c>
      <c r="B61" s="2">
        <f>'[1]ישיר מתוקן'!$G53</f>
        <v>510971</v>
      </c>
      <c r="C61" s="2">
        <f>'[1]ישיר מתוקן'!$N53</f>
        <v>226845</v>
      </c>
      <c r="D61" s="2">
        <f>'[1]ישיר מתוקן'!$P53</f>
        <v>126921</v>
      </c>
      <c r="E61" s="2">
        <f>'[1]ישיר מתוקן'!$R53</f>
        <v>161567</v>
      </c>
      <c r="F61" s="21">
        <f>-1*'[1]ישיר מתוקן'!$AK53</f>
        <v>-7845</v>
      </c>
      <c r="G61" s="21">
        <f>-1*'[1]ישיר מתוקן'!$AL53</f>
        <v>-5134</v>
      </c>
      <c r="H61" s="22">
        <v>15228</v>
      </c>
      <c r="I61" s="35">
        <f>[2]monthly!$AC160</f>
        <v>200.5</v>
      </c>
    </row>
    <row r="62" spans="1:9" ht="15.75" x14ac:dyDescent="0.25">
      <c r="A62" s="26">
        <v>36526</v>
      </c>
      <c r="B62" s="2">
        <f>'[1]ישיר מתוקן'!$G54</f>
        <v>334523</v>
      </c>
      <c r="C62" s="2">
        <f>'[1]ישיר מתוקן'!$N54</f>
        <v>74796</v>
      </c>
      <c r="D62" s="2">
        <f>'[1]ישיר מתוקן'!$P54</f>
        <v>92769</v>
      </c>
      <c r="E62" s="2">
        <f>'[1]ישיר מתוקן'!$R54</f>
        <v>171464</v>
      </c>
      <c r="F62" s="21">
        <f>-1*'[1]ישיר מתוקן'!$AK54</f>
        <v>-13469</v>
      </c>
      <c r="G62" s="21">
        <f>-1*'[1]ישיר מתוקן'!$AL54</f>
        <v>-6879</v>
      </c>
      <c r="H62" s="22">
        <v>17856</v>
      </c>
      <c r="I62" s="35">
        <f>[2]monthly!$AC161</f>
        <v>195.8</v>
      </c>
    </row>
    <row r="63" spans="1:9" ht="15.75" x14ac:dyDescent="0.25">
      <c r="A63" s="26">
        <v>36557</v>
      </c>
      <c r="B63" s="2">
        <f>'[1]ישיר מתוקן'!$G55</f>
        <v>606225</v>
      </c>
      <c r="C63" s="2">
        <f>'[1]ישיר מתוקן'!$N55</f>
        <v>45228</v>
      </c>
      <c r="D63" s="2">
        <f>'[1]ישיר מתוקן'!$P55</f>
        <v>243838</v>
      </c>
      <c r="E63" s="2">
        <f>'[1]ישיר מתוקן'!$R55</f>
        <v>319653</v>
      </c>
      <c r="F63" s="21">
        <f>-1*'[1]ישיר מתוקן'!$AK55</f>
        <v>-6773</v>
      </c>
      <c r="G63" s="21">
        <f>-1*'[1]ישיר מתוקן'!$AL55</f>
        <v>-3394</v>
      </c>
      <c r="H63" s="22">
        <v>14532</v>
      </c>
      <c r="I63" s="35">
        <f>[2]monthly!$AC162</f>
        <v>193.8</v>
      </c>
    </row>
    <row r="64" spans="1:9" ht="15.75" x14ac:dyDescent="0.25">
      <c r="A64" s="26">
        <v>36586</v>
      </c>
      <c r="B64" s="2">
        <f>'[1]ישיר מתוקן'!$G56</f>
        <v>250178</v>
      </c>
      <c r="C64" s="2">
        <f>'[1]ישיר מתוקן'!$N56</f>
        <v>42922</v>
      </c>
      <c r="D64" s="2">
        <f>'[1]ישיר מתוקן'!$P56</f>
        <v>88180</v>
      </c>
      <c r="E64" s="2">
        <f>'[1]ישיר מתוקן'!$R56</f>
        <v>115756</v>
      </c>
      <c r="F64" s="21">
        <f>-1*'[1]ישיר מתוקן'!$AK56</f>
        <v>-8075</v>
      </c>
      <c r="G64" s="21">
        <f>-1*'[1]ישיר מתוקן'!$AL56</f>
        <v>-4803</v>
      </c>
      <c r="H64" s="22">
        <v>15048</v>
      </c>
      <c r="I64" s="35">
        <f>[2]monthly!$AC163</f>
        <v>194.2</v>
      </c>
    </row>
    <row r="65" spans="1:9" ht="15.75" x14ac:dyDescent="0.25">
      <c r="A65" s="26">
        <v>36617</v>
      </c>
      <c r="B65" s="2">
        <f>'[1]ישיר מתוקן'!$G57</f>
        <v>285764</v>
      </c>
      <c r="C65" s="2">
        <f>'[1]ישיר מתוקן'!$N57</f>
        <v>46368</v>
      </c>
      <c r="D65" s="2">
        <f>'[1]ישיר מתוקן'!$P57</f>
        <v>92182</v>
      </c>
      <c r="E65" s="2">
        <f>'[1]ישיר מתוקן'!$R57</f>
        <v>132817</v>
      </c>
      <c r="F65" s="21">
        <f>-1*'[1]ישיר מתוקן'!$AK57</f>
        <v>-5105</v>
      </c>
      <c r="G65" s="21">
        <f>-1*'[1]ישיר מתוקן'!$AL57</f>
        <v>-3725</v>
      </c>
      <c r="H65" s="22">
        <v>14640</v>
      </c>
      <c r="I65" s="35">
        <f>[2]monthly!$AC164</f>
        <v>197.3</v>
      </c>
    </row>
    <row r="66" spans="1:9" ht="15.75" x14ac:dyDescent="0.25">
      <c r="A66" s="26">
        <v>36647</v>
      </c>
      <c r="B66" s="2">
        <f>'[1]ישיר מתוקן'!$G58</f>
        <v>306186</v>
      </c>
      <c r="C66" s="2">
        <f>'[1]ישיר מתוקן'!$N58</f>
        <v>44110</v>
      </c>
      <c r="D66" s="2">
        <f>'[1]ישיר מתוקן'!$P58</f>
        <v>89419</v>
      </c>
      <c r="E66" s="2">
        <f>'[1]ישיר מתוקן'!$R58</f>
        <v>159410</v>
      </c>
      <c r="F66" s="21">
        <f>-1*'[1]ישיר מתוקן'!$AK58</f>
        <v>-9303</v>
      </c>
      <c r="G66" s="21">
        <f>-1*'[1]ישיר מתוקן'!$AL58</f>
        <v>-5313</v>
      </c>
      <c r="H66" s="22">
        <v>13128</v>
      </c>
      <c r="I66" s="35">
        <f>[2]monthly!$AC165</f>
        <v>197.9</v>
      </c>
    </row>
    <row r="67" spans="1:9" ht="15.75" x14ac:dyDescent="0.25">
      <c r="A67" s="26">
        <v>36678</v>
      </c>
      <c r="B67" s="2">
        <f>'[1]ישיר מתוקן'!$G59</f>
        <v>356117</v>
      </c>
      <c r="C67" s="2">
        <f>'[1]ישיר מתוקן'!$N59</f>
        <v>60762</v>
      </c>
      <c r="D67" s="2">
        <f>'[1]ישיר מתוקן'!$P59</f>
        <v>92742</v>
      </c>
      <c r="E67" s="2">
        <f>'[1]ישיר מתוקן'!$R59</f>
        <v>188881</v>
      </c>
      <c r="F67" s="21">
        <f>-1*'[1]ישיר מתוקן'!$AK59</f>
        <v>-20656</v>
      </c>
      <c r="G67" s="21">
        <f>-1*'[1]ישיר מתוקן'!$AL59</f>
        <v>-4681</v>
      </c>
      <c r="H67" s="22">
        <v>15300</v>
      </c>
      <c r="I67" s="35">
        <f>[2]monthly!$AC166</f>
        <v>195.2</v>
      </c>
    </row>
    <row r="68" spans="1:9" ht="15.75" x14ac:dyDescent="0.25">
      <c r="A68" s="26">
        <v>36708</v>
      </c>
      <c r="B68" s="2">
        <f>'[1]ישיר מתוקן'!$G60</f>
        <v>324852</v>
      </c>
      <c r="C68" s="2">
        <f>'[1]ישיר מתוקן'!$N60</f>
        <v>38592</v>
      </c>
      <c r="D68" s="2">
        <f>'[1]ישיר מתוקן'!$P60</f>
        <v>102179</v>
      </c>
      <c r="E68" s="2">
        <f>'[1]ישיר מתוקן'!$R60</f>
        <v>167835</v>
      </c>
      <c r="F68" s="21">
        <f>-1*'[1]ישיר מתוקן'!$AK60</f>
        <v>-11722</v>
      </c>
      <c r="G68" s="21">
        <f>-1*'[1]ישיר מתוקן'!$AL60</f>
        <v>-5349</v>
      </c>
      <c r="H68" s="22">
        <v>13512</v>
      </c>
      <c r="I68" s="35">
        <f>[2]monthly!$AC167</f>
        <v>194.1</v>
      </c>
    </row>
    <row r="69" spans="1:9" ht="15.75" x14ac:dyDescent="0.25">
      <c r="A69" s="26">
        <v>36739</v>
      </c>
      <c r="B69" s="2">
        <f>'[1]ישיר מתוקן'!$G61</f>
        <v>359180</v>
      </c>
      <c r="C69" s="2">
        <f>'[1]ישיר מתוקן'!$N61</f>
        <v>34828</v>
      </c>
      <c r="D69" s="2">
        <f>'[1]ישיר מתוקן'!$P61</f>
        <v>105432</v>
      </c>
      <c r="E69" s="2">
        <f>'[1]ישיר מתוקן'!$R61</f>
        <v>194028</v>
      </c>
      <c r="F69" s="21">
        <f>-1*'[1]ישיר מתוקן'!$AK61</f>
        <v>-9456</v>
      </c>
      <c r="G69" s="21">
        <f>-1*'[1]ישיר מתוקן'!$AL61</f>
        <v>-5791</v>
      </c>
      <c r="H69" s="22">
        <v>14124</v>
      </c>
      <c r="I69" s="35">
        <f>[2]monthly!$AC168</f>
        <v>192.6</v>
      </c>
    </row>
    <row r="70" spans="1:9" ht="15.75" x14ac:dyDescent="0.25">
      <c r="A70" s="26">
        <v>36770</v>
      </c>
      <c r="B70" s="2">
        <f>'[1]ישיר מתוקן'!$G62</f>
        <v>308739</v>
      </c>
      <c r="C70" s="2">
        <f>'[1]ישיר מתוקן'!$N62</f>
        <v>37448</v>
      </c>
      <c r="D70" s="2">
        <f>'[1]ישיר מתוקן'!$P62</f>
        <v>98947</v>
      </c>
      <c r="E70" s="2">
        <f>'[1]ישיר מתוקן'!$R62</f>
        <v>153090</v>
      </c>
      <c r="F70" s="21">
        <f>-1*'[1]ישיר מתוקן'!$AK62</f>
        <v>-9694</v>
      </c>
      <c r="G70" s="21">
        <f>-1*'[1]ישיר מתוקן'!$AL62</f>
        <v>-4076</v>
      </c>
      <c r="H70" s="22">
        <v>16404</v>
      </c>
      <c r="I70" s="35">
        <f>[2]monthly!$AC169</f>
        <v>191.2</v>
      </c>
    </row>
    <row r="71" spans="1:9" ht="15.75" x14ac:dyDescent="0.25">
      <c r="A71" s="26">
        <v>36800</v>
      </c>
      <c r="B71" s="2">
        <f>'[1]ישיר מתוקן'!$G63</f>
        <v>290798</v>
      </c>
      <c r="C71" s="2">
        <f>'[1]ישיר מתוקן'!$N63</f>
        <v>23964</v>
      </c>
      <c r="D71" s="2">
        <f>'[1]ישיר מתוקן'!$P63</f>
        <v>92684</v>
      </c>
      <c r="E71" s="2">
        <f>'[1]ישיר מתוקן'!$R63</f>
        <v>148770</v>
      </c>
      <c r="F71" s="21">
        <f>-1*'[1]ישיר מתוקן'!$AK63</f>
        <v>-12375</v>
      </c>
      <c r="G71" s="21">
        <f>-1*'[1]ישיר מתוקן'!$AL63</f>
        <v>-3573</v>
      </c>
      <c r="H71" s="22">
        <v>15600</v>
      </c>
      <c r="I71" s="35">
        <f>[2]monthly!$AC170</f>
        <v>192.1</v>
      </c>
    </row>
    <row r="72" spans="1:9" ht="15.75" x14ac:dyDescent="0.25">
      <c r="A72" s="26">
        <v>36831</v>
      </c>
      <c r="B72" s="2">
        <f>'[1]ישיר מתוקן'!$G64</f>
        <v>343131</v>
      </c>
      <c r="C72" s="2">
        <f>'[1]ישיר מתוקן'!$N64</f>
        <v>30854</v>
      </c>
      <c r="D72" s="2">
        <f>'[1]ישיר מתוקן'!$P64</f>
        <v>134089</v>
      </c>
      <c r="E72" s="2">
        <f>'[1]ישיר מתוקן'!$R64</f>
        <v>148444</v>
      </c>
      <c r="F72" s="21">
        <f>-1*'[1]ישיר מתוקן'!$AK64</f>
        <v>-9982</v>
      </c>
      <c r="G72" s="21">
        <f>-1*'[1]ישיר מתוקן'!$AL64</f>
        <v>-6960</v>
      </c>
      <c r="H72" s="22">
        <v>14676</v>
      </c>
      <c r="I72" s="35">
        <f>[2]monthly!$AC171</f>
        <v>188.8</v>
      </c>
    </row>
    <row r="73" spans="1:9" ht="15.75" x14ac:dyDescent="0.25">
      <c r="A73" s="26">
        <v>36861</v>
      </c>
      <c r="B73" s="2">
        <f>'[1]ישיר מתוקן'!$G65</f>
        <v>307170</v>
      </c>
      <c r="C73" s="2">
        <f>'[1]ישיר מתוקן'!$N65</f>
        <v>34109</v>
      </c>
      <c r="D73" s="2">
        <f>'[1]ישיר מתוקן'!$P65</f>
        <v>113154</v>
      </c>
      <c r="E73" s="2">
        <f>'[1]ישיר מתוקן'!$R65</f>
        <v>139773</v>
      </c>
      <c r="F73" s="21">
        <f>-1*'[1]ישיר מתוקן'!$AK65</f>
        <v>-13050</v>
      </c>
      <c r="G73" s="21">
        <f>-1*'[1]ישיר מתוקן'!$AL65</f>
        <v>-4285</v>
      </c>
      <c r="H73" s="22">
        <v>12144</v>
      </c>
      <c r="I73" s="35">
        <f>[2]monthly!$AC172</f>
        <v>188</v>
      </c>
    </row>
    <row r="74" spans="1:9" ht="15.75" x14ac:dyDescent="0.25">
      <c r="A74" s="26">
        <v>36892</v>
      </c>
      <c r="B74" s="2">
        <f>'[1]ישיר מתוקן'!$G66</f>
        <v>274678</v>
      </c>
      <c r="C74" s="2">
        <f>'[1]ישיר מתוקן'!$N66</f>
        <v>21278</v>
      </c>
      <c r="D74" s="2">
        <f>'[1]ישיר מתוקן'!$P66</f>
        <v>94162</v>
      </c>
      <c r="E74" s="2">
        <f>'[1]ישיר מתוקן'!$R66</f>
        <v>136545</v>
      </c>
      <c r="F74" s="21">
        <f>-1*'[1]ישיר מתוקן'!$AK66</f>
        <v>-6609</v>
      </c>
      <c r="G74" s="21">
        <f>-1*'[1]ישיר מתוקן'!$AL66</f>
        <v>-3752</v>
      </c>
      <c r="H74" s="22">
        <v>15804</v>
      </c>
      <c r="I74" s="35">
        <f>[2]monthly!$AC173</f>
        <v>188.6</v>
      </c>
    </row>
    <row r="75" spans="1:9" ht="15.75" x14ac:dyDescent="0.25">
      <c r="A75" s="26">
        <v>36923</v>
      </c>
      <c r="B75" s="2">
        <f>'[1]ישיר מתוקן'!$G67</f>
        <v>270205</v>
      </c>
      <c r="C75" s="2">
        <f>'[1]ישיר מתוקן'!$N67</f>
        <v>17055</v>
      </c>
      <c r="D75" s="2">
        <f>'[1]ישיר מתוקן'!$P67</f>
        <v>89281</v>
      </c>
      <c r="E75" s="2">
        <f>'[1]ישיר מתוקן'!$R67</f>
        <v>141309</v>
      </c>
      <c r="F75" s="21">
        <f>-1*'[1]ישיר מתוקן'!$AK67</f>
        <v>-7939</v>
      </c>
      <c r="G75" s="21">
        <f>-1*'[1]ישיר מתוקן'!$AL67</f>
        <v>-4896</v>
      </c>
      <c r="H75" s="22">
        <v>13476</v>
      </c>
      <c r="I75" s="35">
        <f>[2]monthly!$AC174</f>
        <v>188.4</v>
      </c>
    </row>
    <row r="76" spans="1:9" ht="15.75" x14ac:dyDescent="0.25">
      <c r="A76" s="26">
        <v>36951</v>
      </c>
      <c r="B76" s="2">
        <f>'[1]ישיר מתוקן'!$G68</f>
        <v>303763</v>
      </c>
      <c r="C76" s="2">
        <f>'[1]ישיר מתוקן'!$N68</f>
        <v>19368</v>
      </c>
      <c r="D76" s="2">
        <f>'[1]ישיר מתוקן'!$P68</f>
        <v>115943</v>
      </c>
      <c r="E76" s="2">
        <f>'[1]ישיר מתוקן'!$R68</f>
        <v>146385</v>
      </c>
      <c r="F76" s="21">
        <f>-1*'[1]ישיר מתוקן'!$AK68</f>
        <v>-9469</v>
      </c>
      <c r="G76" s="21">
        <f>-1*'[1]ישיר מתוקן'!$AL68</f>
        <v>-6580</v>
      </c>
      <c r="H76" s="22">
        <v>16728</v>
      </c>
      <c r="I76" s="35">
        <f>[2]monthly!$AC175</f>
        <v>187.2</v>
      </c>
    </row>
    <row r="77" spans="1:9" ht="15.75" x14ac:dyDescent="0.25">
      <c r="A77" s="26">
        <v>36982</v>
      </c>
      <c r="B77" s="2">
        <f>'[1]ישיר מתוקן'!$G69</f>
        <v>243701</v>
      </c>
      <c r="C77" s="2">
        <f>'[1]ישיר מתוקן'!$N69</f>
        <v>20982</v>
      </c>
      <c r="D77" s="2">
        <f>'[1]ישיר מתוקן'!$P69</f>
        <v>84628</v>
      </c>
      <c r="E77" s="2">
        <f>'[1]ישיר מתוקן'!$R69</f>
        <v>119899</v>
      </c>
      <c r="F77" s="21">
        <f>-1*'[1]ישיר מתוקן'!$AK69</f>
        <v>-3842</v>
      </c>
      <c r="G77" s="21">
        <f>-1*'[1]ישיר מתוקן'!$AL69</f>
        <v>-4226</v>
      </c>
      <c r="H77" s="22">
        <v>14208</v>
      </c>
      <c r="I77" s="35">
        <f>[2]monthly!$AC176</f>
        <v>185.6</v>
      </c>
    </row>
    <row r="78" spans="1:9" ht="15.75" x14ac:dyDescent="0.25">
      <c r="A78" s="26">
        <v>37012</v>
      </c>
      <c r="B78" s="2">
        <f>'[1]ישיר מתוקן'!$G70</f>
        <v>292195</v>
      </c>
      <c r="C78" s="2">
        <f>'[1]ישיר מתוקן'!$N70</f>
        <v>17651</v>
      </c>
      <c r="D78" s="2">
        <f>'[1]ישיר מתוקן'!$P70</f>
        <v>90959</v>
      </c>
      <c r="E78" s="2">
        <f>'[1]ישיר מתוקן'!$R70</f>
        <v>160360</v>
      </c>
      <c r="F78" s="21">
        <f>-1*'[1]ישיר מתוקן'!$AK70</f>
        <v>-7509</v>
      </c>
      <c r="G78" s="21">
        <f>-1*'[1]ישיר מתוקן'!$AL70</f>
        <v>-6311</v>
      </c>
      <c r="H78" s="22">
        <v>15132</v>
      </c>
      <c r="I78" s="35">
        <f>[2]monthly!$AC177</f>
        <v>185.7</v>
      </c>
    </row>
    <row r="79" spans="1:9" ht="15.75" x14ac:dyDescent="0.25">
      <c r="A79" s="26">
        <v>37043</v>
      </c>
      <c r="B79" s="2">
        <f>'[1]ישיר מתוקן'!$G71</f>
        <v>279911</v>
      </c>
      <c r="C79" s="2">
        <f>'[1]ישיר מתוקן'!$N71</f>
        <v>22368</v>
      </c>
      <c r="D79" s="2">
        <f>'[1]ישיר מתוקן'!$P71</f>
        <v>99138</v>
      </c>
      <c r="E79" s="2">
        <f>'[1]ישיר מתוקן'!$R71</f>
        <v>136001</v>
      </c>
      <c r="F79" s="21">
        <f>-1*'[1]ישיר מתוקן'!$AK71</f>
        <v>-9497</v>
      </c>
      <c r="G79" s="21">
        <f>-1*'[1]ישיר מתוקן'!$AL71</f>
        <v>-6253</v>
      </c>
      <c r="H79" s="22">
        <v>12420</v>
      </c>
      <c r="I79" s="35">
        <f>[2]monthly!$AC178</f>
        <v>185.7</v>
      </c>
    </row>
    <row r="80" spans="1:9" ht="15.75" x14ac:dyDescent="0.25">
      <c r="A80" s="26">
        <v>37073</v>
      </c>
      <c r="B80" s="2">
        <f>'[1]ישיר מתוקן'!$G72</f>
        <v>271363</v>
      </c>
      <c r="C80" s="2">
        <f>'[1]ישיר מתוקן'!$N72</f>
        <v>20323</v>
      </c>
      <c r="D80" s="2">
        <f>'[1]ישיר מתוקן'!$P72</f>
        <v>90265</v>
      </c>
      <c r="E80" s="2">
        <f>'[1]ישיר מתוקן'!$R72</f>
        <v>138000</v>
      </c>
      <c r="F80" s="21">
        <f>-1*'[1]ישיר מתוקן'!$AK72</f>
        <v>-14670</v>
      </c>
      <c r="G80" s="21">
        <f>-1*'[1]ישיר מתוקן'!$AL72</f>
        <v>-6229</v>
      </c>
      <c r="H80" s="22">
        <v>12552</v>
      </c>
      <c r="I80" s="35">
        <f>[2]monthly!$AC179</f>
        <v>186</v>
      </c>
    </row>
    <row r="81" spans="1:9" ht="15.75" x14ac:dyDescent="0.25">
      <c r="A81" s="26">
        <v>37104</v>
      </c>
      <c r="B81" s="2">
        <f>'[1]ישיר מתוקן'!$G73</f>
        <v>268409</v>
      </c>
      <c r="C81" s="2">
        <f>'[1]ישיר מתוקן'!$N73</f>
        <v>17112</v>
      </c>
      <c r="D81" s="2">
        <f>'[1]ישיר מתוקן'!$P73</f>
        <v>86979</v>
      </c>
      <c r="E81" s="2">
        <f>'[1]ישיר מתוקן'!$R73</f>
        <v>144234</v>
      </c>
      <c r="F81" s="21">
        <f>-1*'[1]ישיר מתוקן'!$AK73</f>
        <v>-4824</v>
      </c>
      <c r="G81" s="21">
        <f>-1*'[1]ישיר מתוקן'!$AL73</f>
        <v>-5218</v>
      </c>
      <c r="H81" s="22">
        <v>14304</v>
      </c>
      <c r="I81" s="35">
        <f>[2]monthly!$AC180</f>
        <v>187.2</v>
      </c>
    </row>
    <row r="82" spans="1:9" ht="15.75" x14ac:dyDescent="0.25">
      <c r="A82" s="26">
        <v>37135</v>
      </c>
      <c r="B82" s="2">
        <f>'[1]ישיר מתוקן'!$G74</f>
        <v>248690</v>
      </c>
      <c r="C82" s="2">
        <f>'[1]ישיר מתוקן'!$N74</f>
        <v>13893</v>
      </c>
      <c r="D82" s="2">
        <f>'[1]ישיר מתוקן'!$P74</f>
        <v>81003</v>
      </c>
      <c r="E82" s="2">
        <f>'[1]ישיר מתוקן'!$R74</f>
        <v>128746</v>
      </c>
      <c r="F82" s="21">
        <f>-1*'[1]ישיר מתוקן'!$AK74</f>
        <v>-9923</v>
      </c>
      <c r="G82" s="21">
        <f>-1*'[1]ישיר מתוקן'!$AL74</f>
        <v>-7635</v>
      </c>
      <c r="H82" s="22">
        <v>13152</v>
      </c>
      <c r="I82" s="35">
        <f>[2]monthly!$AC181</f>
        <v>187.3</v>
      </c>
    </row>
    <row r="83" spans="1:9" ht="15.75" x14ac:dyDescent="0.25">
      <c r="A83" s="26">
        <v>37165</v>
      </c>
      <c r="B83" s="2">
        <f>'[1]ישיר מתוקן'!$G75</f>
        <v>206549</v>
      </c>
      <c r="C83" s="2">
        <f>'[1]ישיר מתוקן'!$N75</f>
        <v>11717</v>
      </c>
      <c r="D83" s="2">
        <f>'[1]ישיר מתוקן'!$P75</f>
        <v>62511</v>
      </c>
      <c r="E83" s="2">
        <f>'[1]ישיר מתוקן'!$R75</f>
        <v>116687</v>
      </c>
      <c r="F83" s="21">
        <f>-1*'[1]ישיר מתוקן'!$AK75</f>
        <v>-4129</v>
      </c>
      <c r="G83" s="21">
        <f>-1*'[1]ישיר מתוקן'!$AL75</f>
        <v>-5504</v>
      </c>
      <c r="H83" s="22">
        <v>14580</v>
      </c>
      <c r="I83" s="35">
        <f>[2]monthly!$AC182</f>
        <v>185.6</v>
      </c>
    </row>
    <row r="84" spans="1:9" ht="15.75" x14ac:dyDescent="0.25">
      <c r="A84" s="26">
        <v>37196</v>
      </c>
      <c r="B84" s="2">
        <f>'[1]ישיר מתוקן'!$G76</f>
        <v>240682</v>
      </c>
      <c r="C84" s="2">
        <f>'[1]ישיר מתוקן'!$N76</f>
        <v>16600</v>
      </c>
      <c r="D84" s="2">
        <f>'[1]ישיר מתוקן'!$P76</f>
        <v>86098</v>
      </c>
      <c r="E84" s="2">
        <f>'[1]ישיר מתוקן'!$R76</f>
        <v>116170</v>
      </c>
      <c r="F84" s="21">
        <f>-1*'[1]ישיר מתוקן'!$AK76</f>
        <v>-16048</v>
      </c>
      <c r="G84" s="21">
        <f>-1*'[1]ישיר מתוקן'!$AL76</f>
        <v>-7256</v>
      </c>
      <c r="H84" s="22">
        <v>15852</v>
      </c>
      <c r="I84" s="35">
        <f>[2]monthly!$AC183</f>
        <v>184.5</v>
      </c>
    </row>
    <row r="85" spans="1:9" ht="15.75" x14ac:dyDescent="0.25">
      <c r="A85" s="26">
        <v>37226</v>
      </c>
      <c r="B85" s="2">
        <f>'[1]ישיר מתוקן'!$G77</f>
        <v>290102</v>
      </c>
      <c r="C85" s="2">
        <f>'[1]ישיר מתוקן'!$N77</f>
        <v>17635</v>
      </c>
      <c r="D85" s="2">
        <f>'[1]ישיר מתוקן'!$P77</f>
        <v>112164</v>
      </c>
      <c r="E85" s="2">
        <f>'[1]ישיר מתוקן'!$R77</f>
        <v>136550</v>
      </c>
      <c r="F85" s="21">
        <f>-1*'[1]ישיר מתוקן'!$AK77</f>
        <v>-8489</v>
      </c>
      <c r="G85" s="21">
        <f>-1*'[1]ישיר מתוקן'!$AL77</f>
        <v>-6682</v>
      </c>
      <c r="H85" s="22">
        <v>14064</v>
      </c>
      <c r="I85" s="35">
        <f>[2]monthly!$AC184</f>
        <v>188.3</v>
      </c>
    </row>
    <row r="86" spans="1:9" ht="15.75" x14ac:dyDescent="0.25">
      <c r="A86" s="26">
        <v>37257</v>
      </c>
      <c r="B86" s="2">
        <f>'[1]ישיר מתוקן'!$G78</f>
        <v>237252</v>
      </c>
      <c r="C86" s="2">
        <f>'[1]ישיר מתוקן'!$N78</f>
        <v>14536</v>
      </c>
      <c r="D86" s="2">
        <f>'[1]ישיר מתוקן'!$P78</f>
        <v>75263</v>
      </c>
      <c r="E86" s="2">
        <f>'[1]ישיר מתוקן'!$R78</f>
        <v>133841</v>
      </c>
      <c r="F86" s="21">
        <f>-1*'[1]ישיר מתוקן'!$AK78</f>
        <v>-8743</v>
      </c>
      <c r="G86" s="21">
        <f>-1*'[1]ישיר מתוקן'!$AL78</f>
        <v>-4974</v>
      </c>
      <c r="H86" s="22">
        <v>16704</v>
      </c>
      <c r="I86" s="35">
        <f>[2]monthly!$AC185</f>
        <v>194.1</v>
      </c>
    </row>
    <row r="87" spans="1:9" ht="15.75" x14ac:dyDescent="0.25">
      <c r="A87" s="26">
        <v>37288</v>
      </c>
      <c r="B87" s="2">
        <f>'[1]ישיר מתוקן'!$G79</f>
        <v>268671</v>
      </c>
      <c r="C87" s="2">
        <f>'[1]ישיר מתוקן'!$N79</f>
        <v>11887</v>
      </c>
      <c r="D87" s="2">
        <f>'[1]ישיר מתוקן'!$P79</f>
        <v>87548</v>
      </c>
      <c r="E87" s="2">
        <f>'[1]ישיר מתוקן'!$R79</f>
        <v>148843</v>
      </c>
      <c r="F87" s="21">
        <f>-1*'[1]ישיר מתוקן'!$AK79</f>
        <v>-8414</v>
      </c>
      <c r="G87" s="21">
        <f>-1*'[1]ישיר מתוקן'!$AL79</f>
        <v>-5343</v>
      </c>
      <c r="H87" s="22">
        <v>16284</v>
      </c>
      <c r="I87" s="35">
        <f>[2]monthly!$AC186</f>
        <v>196.6</v>
      </c>
    </row>
    <row r="88" spans="1:9" ht="15.75" x14ac:dyDescent="0.25">
      <c r="A88" s="26">
        <v>37316</v>
      </c>
      <c r="B88" s="2">
        <f>'[1]ישיר מתוקן'!$G80</f>
        <v>284133</v>
      </c>
      <c r="C88" s="2">
        <f>'[1]ישיר מתוקן'!$N80</f>
        <v>13624</v>
      </c>
      <c r="D88" s="2">
        <f>'[1]ישיר מתוקן'!$P80</f>
        <v>102958</v>
      </c>
      <c r="E88" s="2">
        <f>'[1]ישיר מתוקן'!$R80</f>
        <v>151580</v>
      </c>
      <c r="F88" s="21">
        <f>-1*'[1]ישיר מתוקן'!$AK80</f>
        <v>-4165</v>
      </c>
      <c r="G88" s="21">
        <f>-1*'[1]ישיר מתוקן'!$AL80</f>
        <v>-5032</v>
      </c>
      <c r="H88" s="22">
        <v>15240</v>
      </c>
      <c r="I88" s="35">
        <f>[2]monthly!$AC187</f>
        <v>197.6</v>
      </c>
    </row>
    <row r="89" spans="1:9" ht="15.75" x14ac:dyDescent="0.25">
      <c r="A89" s="26">
        <v>37347</v>
      </c>
      <c r="B89" s="2">
        <f>'[1]ישיר מתוקן'!$G81</f>
        <v>258739</v>
      </c>
      <c r="C89" s="2">
        <f>'[1]ישיר מתוקן'!$N81</f>
        <v>11341</v>
      </c>
      <c r="D89" s="2">
        <f>'[1]ישיר מתוקן'!$P81</f>
        <v>75028</v>
      </c>
      <c r="E89" s="2">
        <f>'[1]ישיר מתוקן'!$R81</f>
        <v>157374</v>
      </c>
      <c r="F89" s="21">
        <f>-1*'[1]ישיר מתוקן'!$AK81</f>
        <v>-4202</v>
      </c>
      <c r="G89" s="21">
        <f>-1*'[1]ישיר מתוקן'!$AL81</f>
        <v>-6727</v>
      </c>
      <c r="H89" s="22">
        <v>15996</v>
      </c>
      <c r="I89" s="35">
        <f>[2]monthly!$AC188</f>
        <v>199.8</v>
      </c>
    </row>
    <row r="90" spans="1:9" ht="15.75" x14ac:dyDescent="0.25">
      <c r="A90" s="26">
        <v>37377</v>
      </c>
      <c r="B90" s="2">
        <f>'[1]ישיר מתוקן'!$G82</f>
        <v>313130</v>
      </c>
      <c r="C90" s="2">
        <f>'[1]ישיר מתוקן'!$N82</f>
        <v>13551</v>
      </c>
      <c r="D90" s="2">
        <f>'[1]ישיר מתוקן'!$P82</f>
        <v>134187</v>
      </c>
      <c r="E90" s="2">
        <f>'[1]ישיר מתוקן'!$R82</f>
        <v>148649</v>
      </c>
      <c r="F90" s="21">
        <f>-1*'[1]ישיר מתוקן'!$AK82</f>
        <v>-7370</v>
      </c>
      <c r="G90" s="21">
        <f>-1*'[1]ישיר מתוקן'!$AL82</f>
        <v>-3146</v>
      </c>
      <c r="H90" s="22">
        <v>16128</v>
      </c>
      <c r="I90" s="35">
        <f>[2]monthly!$AC189</f>
        <v>201.6</v>
      </c>
    </row>
    <row r="91" spans="1:9" ht="15.75" x14ac:dyDescent="0.25">
      <c r="A91" s="26">
        <v>37408</v>
      </c>
      <c r="B91" s="2">
        <f>'[1]ישיר מתוקן'!$G83</f>
        <v>269310</v>
      </c>
      <c r="C91" s="2">
        <f>'[1]ישיר מתוקן'!$N83</f>
        <v>20007</v>
      </c>
      <c r="D91" s="2">
        <f>'[1]ישיר מתוקן'!$P83</f>
        <v>90923</v>
      </c>
      <c r="E91" s="2">
        <f>'[1]ישיר מתוקן'!$R83</f>
        <v>146866</v>
      </c>
      <c r="F91" s="21">
        <f>-1*'[1]ישיר מתוקן'!$AK83</f>
        <v>-11050</v>
      </c>
      <c r="G91" s="21">
        <f>-1*'[1]ישיר מתוקן'!$AL83</f>
        <v>-6943</v>
      </c>
      <c r="H91" s="22">
        <v>16200</v>
      </c>
      <c r="I91" s="35">
        <f>[2]monthly!$AC190</f>
        <v>198.8</v>
      </c>
    </row>
    <row r="92" spans="1:9" ht="15.75" x14ac:dyDescent="0.25">
      <c r="A92" s="26">
        <v>37438</v>
      </c>
      <c r="B92" s="2">
        <f>'[1]ישיר מתוקן'!$G84</f>
        <v>288258</v>
      </c>
      <c r="C92" s="2">
        <f>'[1]ישיר מתוקן'!$N84</f>
        <v>16075</v>
      </c>
      <c r="D92" s="2">
        <f>'[1]ישיר מתוקן'!$P84</f>
        <v>96967</v>
      </c>
      <c r="E92" s="2">
        <f>'[1]ישיר מתוקן'!$R84</f>
        <v>168400</v>
      </c>
      <c r="F92" s="21">
        <f>-1*'[1]ישיר מתוקן'!$AK84</f>
        <v>-4274</v>
      </c>
      <c r="G92" s="21">
        <f>-1*'[1]ישיר מתוקן'!$AL84</f>
        <v>-6739</v>
      </c>
      <c r="H92" s="22">
        <v>16260</v>
      </c>
      <c r="I92" s="35">
        <f>[2]monthly!$AC191</f>
        <v>196.4</v>
      </c>
    </row>
    <row r="93" spans="1:9" ht="15.75" x14ac:dyDescent="0.25">
      <c r="A93" s="26">
        <v>37469</v>
      </c>
      <c r="B93" s="2">
        <f>'[1]ישיר מתוקן'!$G85</f>
        <v>262955</v>
      </c>
      <c r="C93" s="2">
        <f>'[1]ישיר מתוקן'!$N85</f>
        <v>14027</v>
      </c>
      <c r="D93" s="2">
        <f>'[1]ישיר מתוקן'!$P85</f>
        <v>79570</v>
      </c>
      <c r="E93" s="2">
        <f>'[1]ישיר מתוקן'!$R85</f>
        <v>152276</v>
      </c>
      <c r="F93" s="21">
        <f>-1*'[1]ישיר מתוקן'!$AK85</f>
        <v>-7236</v>
      </c>
      <c r="G93" s="21">
        <f>-1*'[1]ישיר מתוקן'!$AL85</f>
        <v>-7399</v>
      </c>
      <c r="H93" s="22">
        <v>12948</v>
      </c>
      <c r="I93" s="35">
        <f>[2]monthly!$AC192</f>
        <v>196.6</v>
      </c>
    </row>
    <row r="94" spans="1:9" ht="15.75" x14ac:dyDescent="0.25">
      <c r="A94" s="26">
        <v>37500</v>
      </c>
      <c r="B94" s="2">
        <f>'[1]ישיר מתוקן'!$G86</f>
        <v>160948</v>
      </c>
      <c r="C94" s="2">
        <f>'[1]ישיר מתוקן'!$N86</f>
        <v>9445</v>
      </c>
      <c r="D94" s="2">
        <f>'[1]ישיר מתוקן'!$P86</f>
        <v>46649</v>
      </c>
      <c r="E94" s="2">
        <f>'[1]ישיר מתוקן'!$R86</f>
        <v>99099</v>
      </c>
      <c r="F94" s="21">
        <f>-1*'[1]ישיר מתוקן'!$AK86</f>
        <v>-5153</v>
      </c>
      <c r="G94" s="21">
        <f>-1*'[1]ישיר מתוקן'!$AL86</f>
        <v>-5160</v>
      </c>
      <c r="H94" s="22">
        <v>14556</v>
      </c>
      <c r="I94" s="35">
        <f>[2]monthly!$AC193</f>
        <v>196.3</v>
      </c>
    </row>
    <row r="95" spans="1:9" ht="15.75" x14ac:dyDescent="0.25">
      <c r="A95" s="26">
        <v>37530</v>
      </c>
      <c r="B95" s="2">
        <f>'[1]ישיר מתוקן'!$G87</f>
        <v>91463</v>
      </c>
      <c r="C95" s="2">
        <f>'[1]ישיר מתוקן'!$N87</f>
        <v>6020</v>
      </c>
      <c r="D95" s="2">
        <f>'[1]ישיר מתוקן'!$P87</f>
        <v>30530</v>
      </c>
      <c r="E95" s="2">
        <f>'[1]ישיר מתוקן'!$R87</f>
        <v>51384</v>
      </c>
      <c r="F95" s="21">
        <f>-1*'[1]ישיר מתוקן'!$AK87</f>
        <v>-604</v>
      </c>
      <c r="G95" s="21">
        <f>-1*'[1]ישיר מתוקן'!$AL87</f>
        <v>-290</v>
      </c>
      <c r="H95" s="22">
        <v>11328</v>
      </c>
      <c r="I95" s="35">
        <f>[2]monthly!$AC194</f>
        <v>194.6</v>
      </c>
    </row>
    <row r="96" spans="1:9" ht="15.75" x14ac:dyDescent="0.25">
      <c r="A96" s="26">
        <v>37561</v>
      </c>
      <c r="B96" s="2">
        <f>'[1]ישיר מתוקן'!$G88</f>
        <v>137435</v>
      </c>
      <c r="C96" s="2">
        <f>'[1]ישיר מתוקן'!$N88</f>
        <v>6588</v>
      </c>
      <c r="D96" s="2">
        <f>'[1]ישיר מתוקן'!$P88</f>
        <v>47573</v>
      </c>
      <c r="E96" s="2">
        <f>'[1]ישיר מתוקן'!$R88</f>
        <v>77067</v>
      </c>
      <c r="F96" s="21">
        <f>-1*'[1]ישיר מתוקן'!$AK88</f>
        <v>-7</v>
      </c>
      <c r="G96" s="21">
        <f>-1*'[1]ישיר מתוקן'!$AL88</f>
        <v>-5</v>
      </c>
      <c r="H96" s="22">
        <v>11724</v>
      </c>
      <c r="I96" s="35">
        <f>[2]monthly!$AC195</f>
        <v>192.7</v>
      </c>
    </row>
    <row r="97" spans="1:9" ht="15.75" x14ac:dyDescent="0.25">
      <c r="A97" s="26">
        <v>37591</v>
      </c>
      <c r="B97" s="2">
        <f>'[1]ישיר מתוקן'!$G89</f>
        <v>377572</v>
      </c>
      <c r="C97" s="2">
        <f>'[1]ישיר מתוקן'!$N89</f>
        <v>48769</v>
      </c>
      <c r="D97" s="2">
        <f>'[1]ישיר מתוקן'!$P89</f>
        <v>112531</v>
      </c>
      <c r="E97" s="2">
        <f>'[1]ישיר מתוקן'!$R89</f>
        <v>195647</v>
      </c>
      <c r="F97" s="21">
        <f>-1*'[1]ישיר מתוקן'!$AK89</f>
        <v>-8258</v>
      </c>
      <c r="G97" s="21">
        <f>-1*'[1]ישיר מתוקן'!$AL89</f>
        <v>-21146</v>
      </c>
      <c r="H97" s="22">
        <v>14280</v>
      </c>
      <c r="I97" s="35">
        <f>[2]monthly!$AC196</f>
        <v>193</v>
      </c>
    </row>
    <row r="98" spans="1:9" ht="15.75" x14ac:dyDescent="0.25">
      <c r="A98" s="26">
        <v>37622</v>
      </c>
      <c r="B98" s="2">
        <f>'[1]ישיר מתוקן'!$G90</f>
        <v>278966</v>
      </c>
      <c r="C98" s="2">
        <f>'[1]ישיר מתוקן'!$N90</f>
        <v>29196</v>
      </c>
      <c r="D98" s="2">
        <f>'[1]ישיר מתוקן'!$P90</f>
        <v>100322</v>
      </c>
      <c r="E98" s="2">
        <f>'[1]ישיר מתוקן'!$R90</f>
        <v>141096</v>
      </c>
      <c r="F98" s="21">
        <f>-1*'[1]ישיר מתוקן'!$AK90</f>
        <v>-12073</v>
      </c>
      <c r="G98" s="21">
        <f>-1*'[1]ישיר מתוקן'!$AL90</f>
        <v>-14989</v>
      </c>
      <c r="H98" s="22">
        <v>10956</v>
      </c>
      <c r="I98" s="35">
        <f>[2]monthly!$AC197</f>
        <v>193.6</v>
      </c>
    </row>
    <row r="99" spans="1:9" ht="15.75" x14ac:dyDescent="0.25">
      <c r="A99" s="26">
        <v>37653</v>
      </c>
      <c r="B99" s="2">
        <f>'[1]ישיר מתוקן'!$G91</f>
        <v>395355</v>
      </c>
      <c r="C99" s="2">
        <f>'[1]ישיר מתוקן'!$N91</f>
        <v>18119</v>
      </c>
      <c r="D99" s="2">
        <f>'[1]ישיר מתוקן'!$P91</f>
        <v>172788</v>
      </c>
      <c r="E99" s="2">
        <f>'[1]ישיר מתוקן'!$R91</f>
        <v>176605</v>
      </c>
      <c r="F99" s="21">
        <f>-1*'[1]ישיר מתוקן'!$AK91</f>
        <v>-9989</v>
      </c>
      <c r="G99" s="21">
        <f>-1*'[1]ישיר מתוקן'!$AL91</f>
        <v>-16580</v>
      </c>
      <c r="H99" s="22">
        <v>12000</v>
      </c>
      <c r="I99" s="35">
        <f>[2]monthly!$AC198</f>
        <v>192.7</v>
      </c>
    </row>
    <row r="100" spans="1:9" ht="15.75" x14ac:dyDescent="0.25">
      <c r="A100" s="26">
        <v>37681</v>
      </c>
      <c r="B100" s="2">
        <f>'[1]ישיר מתוקן'!$G92</f>
        <v>223036</v>
      </c>
      <c r="C100" s="2">
        <f>'[1]ישיר מתוקן'!$N92</f>
        <v>15704</v>
      </c>
      <c r="D100" s="2">
        <f>'[1]ישיר מתוקן'!$P92</f>
        <v>94271</v>
      </c>
      <c r="E100" s="2">
        <f>'[1]ישיר מתוקן'!$R92</f>
        <v>121359</v>
      </c>
      <c r="F100" s="21">
        <f>-1*'[1]ישיר מתוקן'!$AK92</f>
        <v>-6272</v>
      </c>
      <c r="G100" s="21">
        <f>-1*'[1]ישיר מתוקן'!$AL92</f>
        <v>-6215</v>
      </c>
      <c r="H100" s="22">
        <v>10776</v>
      </c>
      <c r="I100" s="35">
        <f>[2]monthly!$AC199</f>
        <v>188.2</v>
      </c>
    </row>
    <row r="101" spans="1:9" ht="15.75" x14ac:dyDescent="0.25">
      <c r="A101" s="26">
        <v>37712</v>
      </c>
      <c r="B101" s="2">
        <f>'[1]ישיר מתוקן'!$G93</f>
        <v>164341</v>
      </c>
      <c r="C101" s="2">
        <f>'[1]ישיר מתוקן'!$N93</f>
        <v>10614</v>
      </c>
      <c r="D101" s="2">
        <f>'[1]ישיר מתוקן'!$P93</f>
        <v>50931</v>
      </c>
      <c r="E101" s="2">
        <f>'[1]ישיר מתוקן'!$R93</f>
        <v>97446</v>
      </c>
      <c r="F101" s="21">
        <f>-1*'[1]ישיר מתוקן'!$AK93</f>
        <v>-6034</v>
      </c>
      <c r="G101" s="21">
        <f>-1*'[1]ישיר מתוקן'!$AL93</f>
        <v>-3574</v>
      </c>
      <c r="H101" s="22">
        <v>11532</v>
      </c>
      <c r="I101" s="35">
        <f>[2]monthly!$AC200</f>
        <v>184.8</v>
      </c>
    </row>
    <row r="102" spans="1:9" ht="15.75" x14ac:dyDescent="0.25">
      <c r="A102" s="26">
        <v>37742</v>
      </c>
      <c r="B102" s="2">
        <f>'[1]ישיר מתוקן'!$G94</f>
        <v>166725</v>
      </c>
      <c r="C102" s="2">
        <f>'[1]ישיר מתוקן'!$N94</f>
        <v>15781</v>
      </c>
      <c r="D102" s="2">
        <f>'[1]ישיר מתוקן'!$P94</f>
        <v>49833</v>
      </c>
      <c r="E102" s="2">
        <f>'[1]ישיר מתוקן'!$R94</f>
        <v>95001</v>
      </c>
      <c r="F102" s="21">
        <f>-1*'[1]ישיר מתוקן'!$AK94</f>
        <v>-11547</v>
      </c>
      <c r="G102" s="21">
        <f>-1*'[1]ישיר מתוקן'!$AL94</f>
        <v>-7197</v>
      </c>
      <c r="H102" s="22">
        <v>10704</v>
      </c>
      <c r="I102" s="35">
        <f>[2]monthly!$AC201</f>
        <v>183.8</v>
      </c>
    </row>
    <row r="103" spans="1:9" ht="15.75" x14ac:dyDescent="0.25">
      <c r="A103" s="26">
        <v>37773</v>
      </c>
      <c r="B103" s="2">
        <f>'[1]ישיר מתוקן'!$G95</f>
        <v>222758</v>
      </c>
      <c r="C103" s="2">
        <f>'[1]ישיר מתוקן'!$N95</f>
        <v>17598</v>
      </c>
      <c r="D103" s="2">
        <f>'[1]ישיר מתוקן'!$P95</f>
        <v>70439</v>
      </c>
      <c r="E103" s="2">
        <f>'[1]ישיר מתוקן'!$R95</f>
        <v>127061</v>
      </c>
      <c r="F103" s="21">
        <f>-1*'[1]ישיר מתוקן'!$AK95</f>
        <v>-12030</v>
      </c>
      <c r="G103" s="21">
        <f>-1*'[1]ישיר מתוקן'!$AL95</f>
        <v>-7210</v>
      </c>
      <c r="H103" s="22">
        <v>10068</v>
      </c>
      <c r="I103" s="35">
        <f>[2]monthly!$AC202</f>
        <v>181.8</v>
      </c>
    </row>
    <row r="104" spans="1:9" ht="15.75" x14ac:dyDescent="0.25">
      <c r="A104" s="26">
        <v>37803</v>
      </c>
      <c r="B104" s="2">
        <f>'[1]ישיר מתוקן'!$G96</f>
        <v>268218</v>
      </c>
      <c r="C104" s="2">
        <f>'[1]ישיר מתוקן'!$N96</f>
        <v>14061</v>
      </c>
      <c r="D104" s="2">
        <f>'[1]ישיר מתוקן'!$P96</f>
        <v>87551</v>
      </c>
      <c r="E104" s="2">
        <f>'[1]ישיר מתוקן'!$R96</f>
        <v>154779</v>
      </c>
      <c r="F104" s="21">
        <f>-1*'[1]ישיר מתוקן'!$AK96</f>
        <v>-13715</v>
      </c>
      <c r="G104" s="21">
        <f>-1*'[1]ישיר מתוקן'!$AL96</f>
        <v>-7344</v>
      </c>
      <c r="H104" s="22">
        <v>12576</v>
      </c>
      <c r="I104" s="35">
        <f>[2]monthly!$AC203</f>
        <v>183.4</v>
      </c>
    </row>
    <row r="105" spans="1:9" ht="15.75" x14ac:dyDescent="0.25">
      <c r="A105" s="26">
        <v>37834</v>
      </c>
      <c r="B105" s="2">
        <f>'[1]ישיר מתוקן'!$G97</f>
        <v>256170</v>
      </c>
      <c r="C105" s="2">
        <f>'[1]ישיר מתוקן'!$N97</f>
        <v>10019</v>
      </c>
      <c r="D105" s="2">
        <f>'[1]ישיר מתוקן'!$P97</f>
        <v>88346</v>
      </c>
      <c r="E105" s="2">
        <f>'[1]ישיר מתוקן'!$R97</f>
        <v>155553</v>
      </c>
      <c r="F105" s="21">
        <f>-1*'[1]ישיר מתוקן'!$AK97</f>
        <v>-8108</v>
      </c>
      <c r="G105" s="21">
        <f>-1*'[1]ישיר מתוקן'!$AL97</f>
        <v>-5770</v>
      </c>
      <c r="H105" s="22">
        <v>11808</v>
      </c>
      <c r="I105" s="35">
        <f>[2]monthly!$AC204</f>
        <v>185.9</v>
      </c>
    </row>
    <row r="106" spans="1:9" ht="15.75" x14ac:dyDescent="0.25">
      <c r="A106" s="26">
        <v>37865</v>
      </c>
      <c r="B106" s="2">
        <f>'[1]ישיר מתוקן'!$G98</f>
        <v>250985</v>
      </c>
      <c r="C106" s="2">
        <f>'[1]ישיר מתוקן'!$N98</f>
        <v>14013</v>
      </c>
      <c r="D106" s="2">
        <f>'[1]ישיר מתוקן'!$P98</f>
        <v>78475</v>
      </c>
      <c r="E106" s="2">
        <f>'[1]ישיר מתוקן'!$R98</f>
        <v>151473</v>
      </c>
      <c r="F106" s="21">
        <f>-1*'[1]ישיר מתוקן'!$AK98</f>
        <v>-13512</v>
      </c>
      <c r="G106" s="21">
        <f>-1*'[1]ישיר מתוקן'!$AL98</f>
        <v>-4803</v>
      </c>
      <c r="H106" s="22">
        <v>12348</v>
      </c>
      <c r="I106" s="35">
        <f>[2]monthly!$AC205</f>
        <v>183.7</v>
      </c>
    </row>
    <row r="107" spans="1:9" ht="15.75" x14ac:dyDescent="0.25">
      <c r="A107" s="26">
        <v>37895</v>
      </c>
      <c r="B107" s="2">
        <f>'[1]ישיר מתוקן'!$G99</f>
        <v>163541</v>
      </c>
      <c r="C107" s="2">
        <f>'[1]ישיר מתוקן'!$N99</f>
        <v>6504</v>
      </c>
      <c r="D107" s="2">
        <f>'[1]ישיר מתוקן'!$P99</f>
        <v>43105</v>
      </c>
      <c r="E107" s="2">
        <f>'[1]ישיר מתוקן'!$R99</f>
        <v>110462</v>
      </c>
      <c r="F107" s="21">
        <f>-1*'[1]ישיר מתוקן'!$AK99</f>
        <v>-12749</v>
      </c>
      <c r="G107" s="21">
        <f>-1*'[1]ישיר מתוקן'!$AL99</f>
        <v>-4482</v>
      </c>
      <c r="H107" s="22">
        <v>13272</v>
      </c>
      <c r="I107" s="35">
        <f>[2]monthly!$AC206</f>
        <v>182.8</v>
      </c>
    </row>
    <row r="108" spans="1:9" ht="15.75" x14ac:dyDescent="0.25">
      <c r="A108" s="26">
        <v>37926</v>
      </c>
      <c r="B108" s="2">
        <f>'[1]ישיר מתוקן'!$G100</f>
        <v>172242</v>
      </c>
      <c r="C108" s="2">
        <f>'[1]ישיר מתוקן'!$N100</f>
        <v>5587</v>
      </c>
      <c r="D108" s="2">
        <f>'[1]ישיר מתוקן'!$P100</f>
        <v>46962</v>
      </c>
      <c r="E108" s="2">
        <f>'[1]ישיר מתוקן'!$R100</f>
        <v>112688</v>
      </c>
      <c r="F108" s="21">
        <f>-1*'[1]ישיר מתוקן'!$AK100</f>
        <v>-8676</v>
      </c>
      <c r="G108" s="21">
        <f>-1*'[1]ישיר מתוקן'!$AL100</f>
        <v>-4377</v>
      </c>
      <c r="H108" s="22">
        <v>12960</v>
      </c>
      <c r="I108" s="35">
        <f>[2]monthly!$AC207</f>
        <v>182.6</v>
      </c>
    </row>
    <row r="109" spans="1:9" ht="15.75" x14ac:dyDescent="0.25">
      <c r="A109" s="26">
        <v>37956</v>
      </c>
      <c r="B109" s="2">
        <f>'[1]ישיר מתוקן'!$G101</f>
        <v>197859</v>
      </c>
      <c r="C109" s="2">
        <f>'[1]ישיר מתוקן'!$N101</f>
        <v>12147</v>
      </c>
      <c r="D109" s="2">
        <f>'[1]ישיר מתוקן'!$P101</f>
        <v>55135</v>
      </c>
      <c r="E109" s="2">
        <f>'[1]ישיר מתוקן'!$R101</f>
        <v>119042</v>
      </c>
      <c r="F109" s="21">
        <f>-1*'[1]ישיר מתוקן'!$AK101</f>
        <v>-4688</v>
      </c>
      <c r="G109" s="21">
        <f>-1*'[1]ישיר מתוקן'!$AL101</f>
        <v>-4201</v>
      </c>
      <c r="H109" s="22">
        <v>12792</v>
      </c>
      <c r="I109" s="35">
        <f>[2]monthly!$AC208</f>
        <v>181.2</v>
      </c>
    </row>
    <row r="110" spans="1:9" ht="15.75" x14ac:dyDescent="0.25">
      <c r="A110" s="26">
        <v>37987</v>
      </c>
      <c r="B110" s="2">
        <f>'[1]ישיר מתוקן'!$G102</f>
        <v>261283</v>
      </c>
      <c r="C110" s="2">
        <f>'[1]ישיר מתוקן'!$N102</f>
        <v>7721</v>
      </c>
      <c r="D110" s="2">
        <f>'[1]ישיר מתוקן'!$P102</f>
        <v>74181</v>
      </c>
      <c r="E110" s="2">
        <f>'[1]ישיר מתוקן'!$R102</f>
        <v>154506</v>
      </c>
      <c r="F110" s="21">
        <f>-1*'[1]ישיר מתוקן'!$AK102</f>
        <v>-5293</v>
      </c>
      <c r="G110" s="21">
        <f>-1*'[1]ישיר מתוקן'!$AL102</f>
        <v>-4112</v>
      </c>
      <c r="H110" s="22">
        <v>22872</v>
      </c>
      <c r="I110" s="35">
        <f>[2]monthly!$AC209</f>
        <v>182</v>
      </c>
    </row>
    <row r="111" spans="1:9" ht="15.75" x14ac:dyDescent="0.25">
      <c r="A111" s="26">
        <v>38018</v>
      </c>
      <c r="B111" s="2">
        <f>'[1]ישיר מתוקן'!$G103</f>
        <v>410381</v>
      </c>
      <c r="C111" s="2">
        <f>'[1]ישיר מתוקן'!$N103</f>
        <v>10487</v>
      </c>
      <c r="D111" s="2">
        <f>'[1]ישיר מתוקן'!$P103</f>
        <v>148844</v>
      </c>
      <c r="E111" s="2">
        <f>'[1]ישיר מתוקן'!$R103</f>
        <v>213561</v>
      </c>
      <c r="F111" s="21">
        <f>-1*'[1]ישיר מתוקן'!$AK103</f>
        <v>-5949</v>
      </c>
      <c r="G111" s="21">
        <f>-1*'[1]ישיר מתוקן'!$AL103</f>
        <v>-3743</v>
      </c>
      <c r="H111" s="22">
        <v>17148</v>
      </c>
      <c r="I111" s="35">
        <f>[2]monthly!$AC210</f>
        <v>183.7</v>
      </c>
    </row>
    <row r="112" spans="1:9" ht="15.75" x14ac:dyDescent="0.25">
      <c r="A112" s="26">
        <v>38047</v>
      </c>
      <c r="B112" s="2">
        <f>'[1]ישיר מתוקן'!$G104</f>
        <v>317361</v>
      </c>
      <c r="C112" s="2">
        <f>'[1]ישיר מתוקן'!$N104</f>
        <v>10718</v>
      </c>
      <c r="D112" s="2">
        <f>'[1]ישיר מתוקן'!$P104</f>
        <v>105603</v>
      </c>
      <c r="E112" s="2">
        <f>'[1]ישיר מתוקן'!$R104</f>
        <v>186851</v>
      </c>
      <c r="F112" s="21">
        <f>-1*'[1]ישיר מתוקן'!$AK104</f>
        <v>-10094</v>
      </c>
      <c r="G112" s="21">
        <f>-1*'[1]ישיר מתוקן'!$AL104</f>
        <v>-4615</v>
      </c>
      <c r="H112" s="22">
        <v>20004</v>
      </c>
      <c r="I112" s="35">
        <f>[2]monthly!$AC211</f>
        <v>184.9</v>
      </c>
    </row>
    <row r="113" spans="1:9" ht="15.75" x14ac:dyDescent="0.25">
      <c r="A113" s="26">
        <v>38078</v>
      </c>
      <c r="B113" s="2">
        <f>'[1]ישיר מתוקן'!$G105</f>
        <v>261539</v>
      </c>
      <c r="C113" s="2">
        <f>'[1]ישיר מתוקן'!$N105</f>
        <v>11214</v>
      </c>
      <c r="D113" s="2">
        <f>'[1]ישיר מתוקן'!$P105</f>
        <v>77726</v>
      </c>
      <c r="E113" s="2">
        <f>'[1]ישיר מתוקן'!$R105</f>
        <v>161313</v>
      </c>
      <c r="F113" s="21">
        <f>-1*'[1]ישיר מתוקן'!$AK105</f>
        <v>-5132</v>
      </c>
      <c r="G113" s="21">
        <f>-1*'[1]ישיר מתוקן'!$AL105</f>
        <v>-3767</v>
      </c>
      <c r="H113" s="22">
        <v>22212</v>
      </c>
      <c r="I113" s="35">
        <f>[2]monthly!$AC212</f>
        <v>186.6</v>
      </c>
    </row>
    <row r="114" spans="1:9" ht="15.75" x14ac:dyDescent="0.25">
      <c r="A114" s="26">
        <v>38108</v>
      </c>
      <c r="B114" s="2">
        <f>'[1]ישיר מתוקן'!$G106</f>
        <v>301911</v>
      </c>
      <c r="C114" s="2">
        <f>'[1]ישיר מתוקן'!$N106</f>
        <v>11694</v>
      </c>
      <c r="D114" s="2">
        <f>'[1]ישיר מתוקן'!$P106</f>
        <v>89937</v>
      </c>
      <c r="E114" s="2">
        <f>'[1]ישיר מתוקן'!$R106</f>
        <v>185880</v>
      </c>
      <c r="F114" s="21">
        <f>-1*'[1]ישיר מתוקן'!$AK106</f>
        <v>-12567</v>
      </c>
      <c r="G114" s="21">
        <f>-1*'[1]ישיר מתוקן'!$AL106</f>
        <v>-4100</v>
      </c>
      <c r="H114" s="22">
        <v>22740</v>
      </c>
      <c r="I114" s="35">
        <f>[2]monthly!$AC213</f>
        <v>187.6</v>
      </c>
    </row>
    <row r="115" spans="1:9" ht="15.75" x14ac:dyDescent="0.25">
      <c r="A115" s="26">
        <v>38139</v>
      </c>
      <c r="B115" s="2">
        <f>'[1]ישיר מתוקן'!$G107</f>
        <v>335138</v>
      </c>
      <c r="C115" s="2">
        <f>'[1]ישיר מתוקן'!$N107</f>
        <v>14431</v>
      </c>
      <c r="D115" s="2">
        <f>'[1]ישיר מתוקן'!$P107</f>
        <v>106512</v>
      </c>
      <c r="E115" s="2">
        <f>'[1]ישיר מתוקן'!$R107</f>
        <v>199997</v>
      </c>
      <c r="F115" s="21">
        <f>-1*'[1]ישיר מתוקן'!$AK107</f>
        <v>-11072</v>
      </c>
      <c r="G115" s="21">
        <f>-1*'[1]ישיר מתוקן'!$AL107</f>
        <v>-12772</v>
      </c>
      <c r="H115" s="22">
        <v>20628</v>
      </c>
      <c r="I115" s="35">
        <f>[2]monthly!$AC214</f>
        <v>186.6</v>
      </c>
    </row>
    <row r="116" spans="1:9" ht="15.75" x14ac:dyDescent="0.25">
      <c r="A116" s="26">
        <v>38169</v>
      </c>
      <c r="B116" s="2">
        <f>'[1]ישיר מתוקן'!$G108</f>
        <v>395828</v>
      </c>
      <c r="C116" s="2">
        <f>'[1]ישיר מתוקן'!$N108</f>
        <v>27838</v>
      </c>
      <c r="D116" s="2">
        <f>'[1]ישיר מתוקן'!$P108</f>
        <v>118338</v>
      </c>
      <c r="E116" s="2">
        <f>'[1]ישיר מתוקן'!$R108</f>
        <v>225703</v>
      </c>
      <c r="F116" s="21">
        <f>-1*'[1]ישיר מתוקן'!$AK108</f>
        <v>-9566</v>
      </c>
      <c r="G116" s="21">
        <f>-1*'[1]ישיר מתוקן'!$AL108</f>
        <v>-6451</v>
      </c>
      <c r="H116" s="22">
        <v>17232</v>
      </c>
      <c r="I116" s="35">
        <f>[2]monthly!$AC215</f>
        <v>187.2</v>
      </c>
    </row>
    <row r="117" spans="1:9" ht="15.75" x14ac:dyDescent="0.25">
      <c r="A117" s="26">
        <v>38200</v>
      </c>
      <c r="B117" s="2">
        <f>'[1]ישיר מתוקן'!$G109</f>
        <v>381091</v>
      </c>
      <c r="C117" s="2">
        <f>'[1]ישיר מתוקן'!$N109</f>
        <v>22579</v>
      </c>
      <c r="D117" s="2">
        <f>'[1]ישיר מתוקן'!$P109</f>
        <v>116510</v>
      </c>
      <c r="E117" s="2">
        <f>'[1]ישיר מתוקן'!$R109</f>
        <v>219174</v>
      </c>
      <c r="F117" s="21">
        <f>-1*'[1]ישיר מתוקן'!$AK109</f>
        <v>-8320</v>
      </c>
      <c r="G117" s="21">
        <f>-1*'[1]ישיר מתוקן'!$AL109</f>
        <v>-5025</v>
      </c>
      <c r="H117" s="22">
        <v>19680</v>
      </c>
      <c r="I117" s="35">
        <f>[2]monthly!$AC216</f>
        <v>185.7</v>
      </c>
    </row>
    <row r="118" spans="1:9" ht="15.75" x14ac:dyDescent="0.25">
      <c r="A118" s="26">
        <v>38231</v>
      </c>
      <c r="B118" s="2">
        <f>'[1]ישיר מתוקן'!$G110</f>
        <v>297740</v>
      </c>
      <c r="C118" s="2">
        <f>'[1]ישיר מתוקן'!$N110</f>
        <v>12976</v>
      </c>
      <c r="D118" s="2">
        <f>'[1]ישיר מתוקן'!$P110</f>
        <v>87886</v>
      </c>
      <c r="E118" s="2">
        <f>'[1]ישיר מתוקן'!$R110</f>
        <v>178256</v>
      </c>
      <c r="F118" s="21">
        <f>-1*'[1]ישיר מתוקן'!$AK110</f>
        <v>-7435</v>
      </c>
      <c r="G118" s="21">
        <f>-1*'[1]ישיר מתוקן'!$AL110</f>
        <v>-2879</v>
      </c>
      <c r="H118" s="22">
        <v>20892</v>
      </c>
      <c r="I118" s="35">
        <f>[2]monthly!$AC217</f>
        <v>182.4</v>
      </c>
    </row>
    <row r="119" spans="1:9" ht="15.75" x14ac:dyDescent="0.25">
      <c r="A119" s="26">
        <v>38261</v>
      </c>
      <c r="B119" s="2">
        <f>'[1]ישיר מתוקן'!$G111</f>
        <v>348604</v>
      </c>
      <c r="C119" s="2">
        <f>'[1]ישיר מתוקן'!$N111</f>
        <v>12682</v>
      </c>
      <c r="D119" s="2">
        <f>'[1]ישיר מתוקן'!$P111</f>
        <v>153985</v>
      </c>
      <c r="E119" s="2">
        <f>'[1]ישיר מתוקן'!$R111</f>
        <v>159734</v>
      </c>
      <c r="F119" s="21">
        <f>-1*'[1]ישיר מתוקן'!$AK111</f>
        <v>-7693</v>
      </c>
      <c r="G119" s="21">
        <f>-1*'[1]ישיר מתוקן'!$AL111</f>
        <v>-6001</v>
      </c>
      <c r="H119" s="22">
        <v>18324</v>
      </c>
      <c r="I119" s="35">
        <f>[2]monthly!$AC218</f>
        <v>182</v>
      </c>
    </row>
    <row r="120" spans="1:9" ht="15.75" x14ac:dyDescent="0.25">
      <c r="A120" s="26">
        <v>38292</v>
      </c>
      <c r="B120" s="2">
        <f>'[1]ישיר מתוקן'!$G112</f>
        <v>304738</v>
      </c>
      <c r="C120" s="2">
        <f>'[1]ישיר מתוקן'!$N112</f>
        <v>14622</v>
      </c>
      <c r="D120" s="2">
        <f>'[1]ישיר מתוקן'!$P112</f>
        <v>106545</v>
      </c>
      <c r="E120" s="2">
        <f>'[1]ישיר מתוקן'!$R112</f>
        <v>163213</v>
      </c>
      <c r="F120" s="21">
        <f>-1*'[1]ישיר מתוקן'!$AK112</f>
        <v>-6458</v>
      </c>
      <c r="G120" s="21">
        <f>-1*'[1]ישיר מתוקן'!$AL112</f>
        <v>-6467</v>
      </c>
      <c r="H120" s="22">
        <v>17136</v>
      </c>
      <c r="I120" s="35">
        <f>[2]monthly!$AC219</f>
        <v>180.4</v>
      </c>
    </row>
    <row r="121" spans="1:9" ht="15.75" x14ac:dyDescent="0.25">
      <c r="A121" s="26">
        <v>38322</v>
      </c>
      <c r="B121" s="2">
        <f>'[1]ישיר מתוקן'!$G113</f>
        <v>353184</v>
      </c>
      <c r="C121" s="2">
        <f>'[1]ישיר מתוקן'!$N113</f>
        <v>15514</v>
      </c>
      <c r="D121" s="2">
        <f>'[1]ישיר מתוקן'!$P113</f>
        <v>121554</v>
      </c>
      <c r="E121" s="2">
        <f>'[1]ישיר מתוקן'!$R113</f>
        <v>194622</v>
      </c>
      <c r="F121" s="21">
        <f>-1*'[1]ישיר מתוקן'!$AK113</f>
        <v>-9007</v>
      </c>
      <c r="G121" s="21">
        <f>-1*'[1]ישיר מתוקן'!$AL113</f>
        <v>-9261</v>
      </c>
      <c r="H121" s="22">
        <v>17328</v>
      </c>
      <c r="I121" s="35">
        <f>[2]monthly!$AC220</f>
        <v>178.8</v>
      </c>
    </row>
    <row r="122" spans="1:9" ht="15.75" x14ac:dyDescent="0.25">
      <c r="A122" s="26">
        <v>38353</v>
      </c>
      <c r="B122" s="2">
        <f>'[1]ישיר מתוקן'!$G114</f>
        <v>378872</v>
      </c>
      <c r="C122" s="2">
        <f>'[1]ישיר מתוקן'!$N114</f>
        <v>18039</v>
      </c>
      <c r="D122" s="2">
        <f>'[1]ישיר מתוקן'!$P114</f>
        <v>127797</v>
      </c>
      <c r="E122" s="2">
        <f>'[1]ישיר מתוקן'!$R114</f>
        <v>209898</v>
      </c>
      <c r="F122" s="21">
        <f>-1*'[1]ישיר מתוקן'!$AK114</f>
        <v>-11271</v>
      </c>
      <c r="G122" s="21">
        <f>-1*'[1]ישיר מתוקן'!$AL114</f>
        <v>-6687</v>
      </c>
      <c r="H122" s="22">
        <v>18684</v>
      </c>
      <c r="I122" s="35">
        <f>[2]monthly!$AC221</f>
        <v>178.6</v>
      </c>
    </row>
    <row r="123" spans="1:9" ht="15.75" x14ac:dyDescent="0.25">
      <c r="A123" s="26">
        <v>38384</v>
      </c>
      <c r="B123" s="2">
        <f>'[1]ישיר מתוקן'!$G115</f>
        <v>383719</v>
      </c>
      <c r="C123" s="2">
        <f>'[1]ישיר מתוקן'!$N115</f>
        <v>11433</v>
      </c>
      <c r="D123" s="2">
        <f>'[1]ישיר מתוקן'!$P115</f>
        <v>132337</v>
      </c>
      <c r="E123" s="2">
        <f>'[1]ישיר מתוקן'!$R115</f>
        <v>207771</v>
      </c>
      <c r="F123" s="21">
        <f>-1*'[1]ישיר מתוקן'!$AK115</f>
        <v>-7771</v>
      </c>
      <c r="G123" s="21">
        <f>-1*'[1]ישיר מתוקן'!$AL115</f>
        <v>-5951</v>
      </c>
      <c r="H123" s="22">
        <v>17196</v>
      </c>
      <c r="I123" s="35">
        <f>[2]monthly!$AC222</f>
        <v>179.5</v>
      </c>
    </row>
    <row r="124" spans="1:9" ht="15.75" x14ac:dyDescent="0.25">
      <c r="A124" s="26">
        <v>38412</v>
      </c>
      <c r="B124" s="2">
        <f>'[1]ישיר מתוקן'!$G116</f>
        <v>369427</v>
      </c>
      <c r="C124" s="2">
        <f>'[1]ישיר מתוקן'!$N116</f>
        <v>27229</v>
      </c>
      <c r="D124" s="2">
        <f>'[1]ישיר מתוקן'!$P116</f>
        <v>115544</v>
      </c>
      <c r="E124" s="2">
        <f>'[1]ישיר מתוקן'!$R116</f>
        <v>203281</v>
      </c>
      <c r="F124" s="21">
        <f>-1*'[1]ישיר מתוקן'!$AK116</f>
        <v>-12188</v>
      </c>
      <c r="G124" s="21">
        <f>-1*'[1]ישיר מתוקן'!$AL116</f>
        <v>-9395</v>
      </c>
      <c r="H124" s="22">
        <v>18108</v>
      </c>
      <c r="I124" s="35">
        <f>[2]monthly!$AC223</f>
        <v>182.2</v>
      </c>
    </row>
    <row r="125" spans="1:9" ht="15.75" x14ac:dyDescent="0.25">
      <c r="A125" s="26">
        <v>38443</v>
      </c>
      <c r="B125" s="2">
        <f>'[1]ישיר מתוקן'!$G117</f>
        <v>482741</v>
      </c>
      <c r="C125" s="2">
        <f>'[1]ישיר מתוקן'!$N117</f>
        <v>48890</v>
      </c>
      <c r="D125" s="2">
        <f>'[1]ישיר מתוקן'!$P117</f>
        <v>171867</v>
      </c>
      <c r="E125" s="2">
        <f>'[1]ישיר מתוקן'!$R117</f>
        <v>220755</v>
      </c>
      <c r="F125" s="21">
        <f>-1*'[1]ישיר מתוקן'!$AK117</f>
        <v>-3519</v>
      </c>
      <c r="G125" s="21">
        <f>-1*'[1]ישיר מתוקן'!$AL117</f>
        <v>-5668</v>
      </c>
      <c r="H125" s="22">
        <v>18468</v>
      </c>
      <c r="I125" s="35">
        <f>[2]monthly!$AC224</f>
        <v>182.5</v>
      </c>
    </row>
    <row r="126" spans="1:9" ht="15.75" x14ac:dyDescent="0.25">
      <c r="A126" s="26">
        <v>38473</v>
      </c>
      <c r="B126" s="2">
        <f>'[1]ישיר מתוקן'!$G118</f>
        <v>664086</v>
      </c>
      <c r="C126" s="2">
        <f>'[1]ישיר מתוקן'!$N118</f>
        <v>81135</v>
      </c>
      <c r="D126" s="2">
        <f>'[1]ישיר מתוקן'!$P118</f>
        <v>279700</v>
      </c>
      <c r="E126" s="2">
        <f>'[1]ישיר מתוקן'!$R118</f>
        <v>261037</v>
      </c>
      <c r="F126" s="21">
        <f>-1*'[1]ישיר מתוקן'!$AK118</f>
        <v>-3814</v>
      </c>
      <c r="G126" s="21">
        <f>-1*'[1]ישיר מתוקן'!$AL118</f>
        <v>-2926</v>
      </c>
      <c r="H126" s="22">
        <v>18972</v>
      </c>
      <c r="I126" s="35">
        <f>[2]monthly!$AC225</f>
        <v>183.1</v>
      </c>
    </row>
    <row r="127" spans="1:9" ht="15.75" x14ac:dyDescent="0.25">
      <c r="A127" s="26">
        <v>38504</v>
      </c>
      <c r="B127" s="2">
        <f>'[1]ישיר מתוקן'!$G119</f>
        <v>473153</v>
      </c>
      <c r="C127" s="2">
        <f>'[1]ישיר מתוקן'!$N119</f>
        <v>36742</v>
      </c>
      <c r="D127" s="2">
        <f>'[1]ישיר מתוקן'!$P119</f>
        <v>203611</v>
      </c>
      <c r="E127" s="2">
        <f>'[1]ישיר מתוקן'!$R119</f>
        <v>217259</v>
      </c>
      <c r="F127" s="21">
        <f>-1*'[1]ישיר מתוקן'!$AK119</f>
        <v>-23554</v>
      </c>
      <c r="G127" s="21">
        <f>-1*'[1]ישיר מתוקן'!$AL119</f>
        <v>-11590</v>
      </c>
      <c r="H127" s="22">
        <v>20184</v>
      </c>
      <c r="I127" s="35">
        <f>[2]monthly!$AC226</f>
        <v>185.6</v>
      </c>
    </row>
    <row r="128" spans="1:9" ht="15.75" x14ac:dyDescent="0.25">
      <c r="A128" s="26">
        <v>38534</v>
      </c>
      <c r="B128" s="2">
        <f>'[1]ישיר מתוקן'!$G120</f>
        <v>368391</v>
      </c>
      <c r="C128" s="2">
        <f>'[1]ישיר מתוקן'!$N120</f>
        <v>18502</v>
      </c>
      <c r="D128" s="2">
        <f>'[1]ישיר מתוקן'!$P120</f>
        <v>117109</v>
      </c>
      <c r="E128" s="2">
        <f>'[1]ישיר מתוקן'!$R120</f>
        <v>222593</v>
      </c>
      <c r="F128" s="21">
        <f>-1*'[1]ישיר מתוקן'!$AK120</f>
        <v>-8439</v>
      </c>
      <c r="G128" s="21">
        <f>-1*'[1]ישיר מתוקן'!$AL120</f>
        <v>-7460</v>
      </c>
      <c r="H128" s="22">
        <v>22872</v>
      </c>
      <c r="I128" s="35">
        <f>[2]monthly!$AC227</f>
        <v>185.7</v>
      </c>
    </row>
    <row r="129" spans="1:9" ht="15.75" x14ac:dyDescent="0.25">
      <c r="A129" s="26">
        <v>38565</v>
      </c>
      <c r="B129" s="2">
        <f>'[1]ישיר מתוקן'!$G121</f>
        <v>427853</v>
      </c>
      <c r="C129" s="2">
        <f>'[1]ישיר מתוקן'!$N121</f>
        <v>17339</v>
      </c>
      <c r="D129" s="2">
        <f>'[1]ישיר מתוקן'!$P121</f>
        <v>139904</v>
      </c>
      <c r="E129" s="2">
        <f>'[1]ישיר מתוקן'!$R121</f>
        <v>247508</v>
      </c>
      <c r="F129" s="21">
        <f>-1*'[1]ישיר מתוקן'!$AK121</f>
        <v>-10394</v>
      </c>
      <c r="G129" s="21">
        <f>-1*'[1]ישיר מתוקן'!$AL121</f>
        <v>-13714</v>
      </c>
      <c r="H129" s="22">
        <v>20712</v>
      </c>
      <c r="I129" s="35">
        <f>[2]monthly!$AC228</f>
        <v>185.4</v>
      </c>
    </row>
    <row r="130" spans="1:9" ht="15.75" x14ac:dyDescent="0.25">
      <c r="A130" s="26">
        <v>38596</v>
      </c>
      <c r="B130" s="2">
        <f>'[1]ישיר מתוקן'!$G122</f>
        <v>410037</v>
      </c>
      <c r="C130" s="2">
        <f>'[1]ישיר מתוקן'!$N122</f>
        <v>15112</v>
      </c>
      <c r="D130" s="2">
        <f>'[1]ישיר מתוקן'!$P122</f>
        <v>137196</v>
      </c>
      <c r="E130" s="2">
        <f>'[1]ישיר מתוקן'!$R122</f>
        <v>238811</v>
      </c>
      <c r="F130" s="21">
        <f>-1*'[1]ישיר מתוקן'!$AK122</f>
        <v>-7826</v>
      </c>
      <c r="G130" s="21">
        <f>-1*'[1]ישיר מתוקן'!$AL122</f>
        <v>-5600</v>
      </c>
      <c r="H130" s="22">
        <v>20580</v>
      </c>
      <c r="I130" s="35">
        <f>[2]monthly!$AC229</f>
        <v>187.1</v>
      </c>
    </row>
    <row r="131" spans="1:9" ht="15.75" x14ac:dyDescent="0.25">
      <c r="A131" s="26">
        <v>38626</v>
      </c>
      <c r="B131" s="2">
        <f>'[1]ישיר מתוקן'!$G123</f>
        <v>303252</v>
      </c>
      <c r="C131" s="2">
        <f>'[1]ישיר מתוקן'!$N123</f>
        <v>26451</v>
      </c>
      <c r="D131" s="2">
        <f>'[1]ישיר מתוקן'!$P123</f>
        <v>94789</v>
      </c>
      <c r="E131" s="2">
        <f>'[1]ישיר מתוקן'!$R123</f>
        <v>163917</v>
      </c>
      <c r="F131" s="21">
        <f>-1*'[1]ישיר מתוקן'!$AK123</f>
        <v>-4108</v>
      </c>
      <c r="G131" s="21">
        <f>-1*'[1]ישיר מתוקן'!$AL123</f>
        <v>-3237</v>
      </c>
      <c r="H131" s="22">
        <v>22104</v>
      </c>
      <c r="I131" s="35">
        <f>[2]monthly!$AC230</f>
        <v>189</v>
      </c>
    </row>
    <row r="132" spans="1:9" ht="15.75" x14ac:dyDescent="0.25">
      <c r="A132" s="26">
        <v>38657</v>
      </c>
      <c r="B132" s="2">
        <f>'[1]ישיר מתוקן'!$G124</f>
        <v>427061</v>
      </c>
      <c r="C132" s="2">
        <f>'[1]ישיר מתוקן'!$N124</f>
        <v>43595</v>
      </c>
      <c r="D132" s="2">
        <f>'[1]ישיר מתוקן'!$P124</f>
        <v>135125</v>
      </c>
      <c r="E132" s="2">
        <f>'[1]ישיר מתוקן'!$R124</f>
        <v>226228</v>
      </c>
      <c r="F132" s="21">
        <f>-1*'[1]ישיר מתוקן'!$AK124</f>
        <v>-15471</v>
      </c>
      <c r="G132" s="21">
        <f>-1*'[1]ישיר מתוקן'!$AL124</f>
        <v>-8881</v>
      </c>
      <c r="H132" s="22">
        <v>23088</v>
      </c>
      <c r="I132" s="35">
        <f>[2]monthly!$AC231</f>
        <v>187.3</v>
      </c>
    </row>
    <row r="133" spans="1:9" ht="15.75" x14ac:dyDescent="0.25">
      <c r="A133" s="26">
        <v>38687</v>
      </c>
      <c r="B133" s="2">
        <f>'[1]ישיר מתוקן'!$G125</f>
        <v>376209</v>
      </c>
      <c r="C133" s="2">
        <f>'[1]ישיר מתוקן'!$N125</f>
        <v>16103</v>
      </c>
      <c r="D133" s="2">
        <f>'[1]ישיר מתוקן'!$P125</f>
        <v>178265</v>
      </c>
      <c r="E133" s="2">
        <f>'[1]ישיר מתוקן'!$R125</f>
        <v>193006</v>
      </c>
      <c r="F133" s="21">
        <f>-1*'[1]ישיר מתוקן'!$AK125</f>
        <v>-8948</v>
      </c>
      <c r="G133" s="21">
        <f>-1*'[1]ישיר מתוקן'!$AL125</f>
        <v>-7742</v>
      </c>
      <c r="H133" s="22">
        <v>19512</v>
      </c>
      <c r="I133" s="35">
        <f>[2]monthly!$AC232</f>
        <v>186.7</v>
      </c>
    </row>
    <row r="134" spans="1:9" ht="15.75" x14ac:dyDescent="0.25">
      <c r="A134" s="26">
        <v>38718</v>
      </c>
      <c r="B134" s="2">
        <f>'[1]ישיר מתוקן'!$G126</f>
        <v>420028</v>
      </c>
      <c r="C134" s="2">
        <f>'[1]ישיר מתוקן'!$N126</f>
        <v>16905</v>
      </c>
      <c r="D134" s="2">
        <f>'[1]ישיר מתוקן'!$P126</f>
        <v>141358</v>
      </c>
      <c r="E134" s="2">
        <f>'[1]ישיר מתוקן'!$R126</f>
        <v>235880</v>
      </c>
      <c r="F134" s="21">
        <f>-1*'[1]ישיר מתוקן'!$AK126</f>
        <v>-9945</v>
      </c>
      <c r="G134" s="21">
        <f>-1*'[1]ישיר מתוקן'!$AL126</f>
        <v>-5689</v>
      </c>
      <c r="H134" s="22">
        <v>19872</v>
      </c>
      <c r="I134" s="35">
        <f>[2]monthly!$AC233</f>
        <v>188.2</v>
      </c>
    </row>
    <row r="135" spans="1:9" ht="15.75" x14ac:dyDescent="0.25">
      <c r="A135" s="26">
        <v>38749</v>
      </c>
      <c r="B135" s="2">
        <f>'[1]ישיר מתוקן'!$G127</f>
        <v>477900</v>
      </c>
      <c r="C135" s="2">
        <f>'[1]ישיר מתוקן'!$N127</f>
        <v>13996</v>
      </c>
      <c r="D135" s="2">
        <f>'[1]ישיר מתוקן'!$P127</f>
        <v>187858</v>
      </c>
      <c r="E135" s="2">
        <f>'[1]ישיר מתוקן'!$R127</f>
        <v>240034</v>
      </c>
      <c r="F135" s="21">
        <f>-1*'[1]ישיר מתוקן'!$AK127</f>
        <v>-11096</v>
      </c>
      <c r="G135" s="21">
        <f>-1*'[1]ישיר מתוקן'!$AL127</f>
        <v>-5628</v>
      </c>
      <c r="H135" s="22">
        <v>22704</v>
      </c>
      <c r="I135" s="35">
        <f>[2]monthly!$AC234</f>
        <v>189.2</v>
      </c>
    </row>
    <row r="136" spans="1:9" ht="15.75" x14ac:dyDescent="0.25">
      <c r="A136" s="26">
        <v>38777</v>
      </c>
      <c r="B136" s="2">
        <f>'[1]ישיר מתוקן'!$G128</f>
        <v>491704</v>
      </c>
      <c r="C136" s="2">
        <f>'[1]ישיר מתוקן'!$N128</f>
        <v>20326</v>
      </c>
      <c r="D136" s="2">
        <f>'[1]ישיר מתוקן'!$P128</f>
        <v>172349</v>
      </c>
      <c r="E136" s="2">
        <f>'[1]ישיר מתוקן'!$R128</f>
        <v>272786</v>
      </c>
      <c r="F136" s="21">
        <f>-1*'[1]ישיר מתוקן'!$AK128</f>
        <v>-10142</v>
      </c>
      <c r="G136" s="21">
        <f>-1*'[1]ישיר מתוקן'!$AL128</f>
        <v>-10413</v>
      </c>
      <c r="H136" s="22">
        <v>21720</v>
      </c>
      <c r="I136" s="35">
        <f>[2]monthly!$AC235</f>
        <v>190.1</v>
      </c>
    </row>
    <row r="137" spans="1:9" ht="15.75" x14ac:dyDescent="0.25">
      <c r="A137" s="26">
        <v>38808</v>
      </c>
      <c r="B137" s="2">
        <f>'[1]ישיר מתוקן'!$G129</f>
        <v>402727</v>
      </c>
      <c r="C137" s="2">
        <f>'[1]ישיר מתוקן'!$N129</f>
        <v>10179</v>
      </c>
      <c r="D137" s="2">
        <f>'[1]ישיר מתוקן'!$P129</f>
        <v>145693</v>
      </c>
      <c r="E137" s="2">
        <f>'[1]ישיר מתוקן'!$R129</f>
        <v>219780</v>
      </c>
      <c r="F137" s="21">
        <f>-1*'[1]ישיר מתוקן'!$AK129</f>
        <v>-4585</v>
      </c>
      <c r="G137" s="21">
        <f>-1*'[1]ישיר מתוקן'!$AL129</f>
        <v>-3063</v>
      </c>
      <c r="H137" s="22">
        <v>21708</v>
      </c>
      <c r="I137" s="35">
        <f>[2]monthly!$AC236</f>
        <v>187.2</v>
      </c>
    </row>
    <row r="138" spans="1:9" ht="15.75" x14ac:dyDescent="0.25">
      <c r="A138" s="26">
        <v>38838</v>
      </c>
      <c r="B138" s="2">
        <f>'[1]ישיר מתוקן'!$G130</f>
        <v>487213</v>
      </c>
      <c r="C138" s="2">
        <f>'[1]ישיר מתוקן'!$N130</f>
        <v>8698</v>
      </c>
      <c r="D138" s="2">
        <f>'[1]ישיר מתוקן'!$P130</f>
        <v>150161</v>
      </c>
      <c r="E138" s="2">
        <f>'[1]ישיר מתוקן'!$R130</f>
        <v>287254</v>
      </c>
      <c r="F138" s="21">
        <f>-1*'[1]ישיר מתוקן'!$AK130</f>
        <v>-9841</v>
      </c>
      <c r="G138" s="21">
        <f>-1*'[1]ישיר מתוקן'!$AL130</f>
        <v>-7531</v>
      </c>
      <c r="H138" s="22">
        <v>17640</v>
      </c>
      <c r="I138" s="35">
        <f>[2]monthly!$AC237</f>
        <v>185.4</v>
      </c>
    </row>
    <row r="139" spans="1:9" ht="15.75" x14ac:dyDescent="0.25">
      <c r="A139" s="26">
        <v>38869</v>
      </c>
      <c r="B139" s="2">
        <f>'[1]ישיר מתוקן'!$G131</f>
        <v>364448</v>
      </c>
      <c r="C139" s="2">
        <f>'[1]ישיר מתוקן'!$N131</f>
        <v>11469</v>
      </c>
      <c r="D139" s="2">
        <f>'[1]ישיר מתוקן'!$P131</f>
        <v>114921</v>
      </c>
      <c r="E139" s="2">
        <f>'[1]ישיר מתוקן'!$R131</f>
        <v>206718</v>
      </c>
      <c r="F139" s="21">
        <f>-1*'[1]ישיר מתוקן'!$AK131</f>
        <v>-9655</v>
      </c>
      <c r="G139" s="21">
        <f>-1*'[1]ישיר מתוקן'!$AL131</f>
        <v>-5781</v>
      </c>
      <c r="H139" s="22">
        <v>18120</v>
      </c>
      <c r="I139" s="35">
        <f>[2]monthly!$AC238</f>
        <v>185.4</v>
      </c>
    </row>
    <row r="140" spans="1:9" ht="15.75" x14ac:dyDescent="0.25">
      <c r="A140" s="26">
        <v>38899</v>
      </c>
      <c r="B140" s="2">
        <f>'[1]ישיר מתוקן'!$G132</f>
        <v>548050</v>
      </c>
      <c r="C140" s="2">
        <f>'[1]ישיר מתוקן'!$N132</f>
        <v>7665</v>
      </c>
      <c r="D140" s="2">
        <f>'[1]ישיר מתוקן'!$P132</f>
        <v>196123</v>
      </c>
      <c r="E140" s="2">
        <f>'[1]ישיר מתוקן'!$R132</f>
        <v>297392</v>
      </c>
      <c r="F140" s="21">
        <f>-1*'[1]ישיר מתוקן'!$AK132</f>
        <v>-14170</v>
      </c>
      <c r="G140" s="21">
        <f>-1*'[1]ישיר מתוקן'!$AL132</f>
        <v>-9586</v>
      </c>
      <c r="H140" s="22">
        <v>16068</v>
      </c>
      <c r="I140" s="35">
        <f>[2]monthly!$AC239</f>
        <v>186.2</v>
      </c>
    </row>
    <row r="141" spans="1:9" ht="15.75" x14ac:dyDescent="0.25">
      <c r="A141" s="26">
        <v>38930</v>
      </c>
      <c r="B141" s="2">
        <f>'[1]ישיר מתוקן'!$G133</f>
        <v>518786</v>
      </c>
      <c r="C141" s="2">
        <f>'[1]ישיר מתוקן'!$N133</f>
        <v>5993</v>
      </c>
      <c r="D141" s="2">
        <f>'[1]ישיר מתוקן'!$P133</f>
        <v>174820</v>
      </c>
      <c r="E141" s="2">
        <f>'[1]ישיר מתוקן'!$R133</f>
        <v>293960</v>
      </c>
      <c r="F141" s="21">
        <f>-1*'[1]ישיר מתוקן'!$AK133</f>
        <v>-9573</v>
      </c>
      <c r="G141" s="21">
        <f>-1*'[1]ישיר מתוקן'!$AL133</f>
        <v>-10693</v>
      </c>
      <c r="H141" s="22">
        <v>16392</v>
      </c>
      <c r="I141" s="35">
        <f>[2]monthly!$AC240</f>
        <v>186.5</v>
      </c>
    </row>
    <row r="142" spans="1:9" ht="15.75" x14ac:dyDescent="0.25">
      <c r="A142" s="26">
        <v>38961</v>
      </c>
      <c r="B142" s="2">
        <f>'[1]ישיר מתוקן'!$G134</f>
        <v>324501</v>
      </c>
      <c r="C142" s="2">
        <f>'[1]ישיר מתוקן'!$N134</f>
        <v>4043</v>
      </c>
      <c r="D142" s="2">
        <f>'[1]ישיר מתוקן'!$P134</f>
        <v>107521</v>
      </c>
      <c r="E142" s="2">
        <f>'[1]ישיר מתוקן'!$R134</f>
        <v>191481</v>
      </c>
      <c r="F142" s="21">
        <f>-1*'[1]ישיר מתוקן'!$AK134</f>
        <v>-10742</v>
      </c>
      <c r="G142" s="21">
        <f>-1*'[1]ישיר מתוקן'!$AL134</f>
        <v>-3897</v>
      </c>
      <c r="H142" s="22">
        <v>18720</v>
      </c>
      <c r="I142" s="35">
        <f>[2]monthly!$AC241</f>
        <v>183.4</v>
      </c>
    </row>
    <row r="143" spans="1:9" ht="15.75" x14ac:dyDescent="0.25">
      <c r="A143" s="26">
        <v>38991</v>
      </c>
      <c r="B143" s="2">
        <f>'[1]ישיר מתוקן'!$G135</f>
        <v>319218</v>
      </c>
      <c r="C143" s="2">
        <f>'[1]ישיר מתוקן'!$N135</f>
        <v>6356</v>
      </c>
      <c r="D143" s="2">
        <f>'[1]ישיר מתוקן'!$P135</f>
        <v>109744</v>
      </c>
      <c r="E143" s="2">
        <f>'[1]ישיר מתוקן'!$R135</f>
        <v>185787</v>
      </c>
      <c r="F143" s="21">
        <f>-1*'[1]ישיר מתוקן'!$AK135</f>
        <v>-4399</v>
      </c>
      <c r="G143" s="21">
        <f>-1*'[1]ישיר מתוקן'!$AL135</f>
        <v>-2369</v>
      </c>
      <c r="H143" s="22">
        <v>21744</v>
      </c>
      <c r="I143" s="35">
        <f>[2]monthly!$AC242</f>
        <v>182.4</v>
      </c>
    </row>
    <row r="144" spans="1:9" ht="15.75" x14ac:dyDescent="0.25">
      <c r="A144" s="26">
        <v>39022</v>
      </c>
      <c r="B144" s="2">
        <f>'[1]ישיר מתוקן'!$G136</f>
        <v>411421</v>
      </c>
      <c r="C144" s="2">
        <f>'[1]ישיר מתוקן'!$N136</f>
        <v>6691</v>
      </c>
      <c r="D144" s="2">
        <f>'[1]ישיר מתוקן'!$P136</f>
        <v>170223</v>
      </c>
      <c r="E144" s="2">
        <f>'[1]ישיר מתוקן'!$R136</f>
        <v>206836</v>
      </c>
      <c r="F144" s="21">
        <f>-1*'[1]ישיר מתוקן'!$AK136</f>
        <v>-38385</v>
      </c>
      <c r="G144" s="21">
        <f>-1*'[1]ישיר מתוקן'!$AL136</f>
        <v>-18376</v>
      </c>
      <c r="H144" s="22">
        <v>19680</v>
      </c>
      <c r="I144" s="35">
        <f>[2]monthly!$AC243</f>
        <v>180.2</v>
      </c>
    </row>
    <row r="145" spans="1:9" ht="15.75" x14ac:dyDescent="0.25">
      <c r="A145" s="26">
        <v>39052</v>
      </c>
      <c r="B145" s="2">
        <f>'[1]ישיר מתוקן'!$G137</f>
        <v>434839</v>
      </c>
      <c r="C145" s="2">
        <f>'[1]ישיר מתוקן'!$N137</f>
        <v>6948</v>
      </c>
      <c r="D145" s="2">
        <f>'[1]ישיר מתוקן'!$P137</f>
        <v>163984</v>
      </c>
      <c r="E145" s="2">
        <f>'[1]ישיר מתוקן'!$R137</f>
        <v>234924</v>
      </c>
      <c r="F145" s="21">
        <f>-1*'[1]ישיר מתוקן'!$AK137</f>
        <v>-20271</v>
      </c>
      <c r="G145" s="21">
        <f>-1*'[1]ישיר מתוקן'!$AL137</f>
        <v>-7807</v>
      </c>
      <c r="H145" s="22">
        <v>20280</v>
      </c>
      <c r="I145" s="35">
        <f>[2]monthly!$AC244</f>
        <v>178.6</v>
      </c>
    </row>
    <row r="146" spans="1:9" ht="15.75" x14ac:dyDescent="0.25">
      <c r="A146" s="26">
        <v>39083</v>
      </c>
      <c r="B146" s="2">
        <f>'[1]ישיר מתוקן'!$G138</f>
        <v>578291</v>
      </c>
      <c r="C146" s="2">
        <f>'[1]ישיר מתוקן'!$N138</f>
        <v>7541</v>
      </c>
      <c r="D146" s="2">
        <f>'[1]ישיר מתוקן'!$P138</f>
        <v>253847</v>
      </c>
      <c r="E146" s="2">
        <f>'[1]ישיר מתוקן'!$R138</f>
        <v>273294</v>
      </c>
      <c r="F146" s="21">
        <f>-1*'[1]ישיר מתוקן'!$AK138</f>
        <v>-26896</v>
      </c>
      <c r="G146" s="21">
        <f>-1*'[1]ישיר מתוקן'!$AL138</f>
        <v>-12567</v>
      </c>
      <c r="H146" s="22">
        <v>18684</v>
      </c>
      <c r="I146" s="35">
        <f>[2]monthly!$AC245</f>
        <v>179.7</v>
      </c>
    </row>
    <row r="147" spans="1:9" ht="15.75" x14ac:dyDescent="0.25">
      <c r="A147" s="26">
        <v>39114</v>
      </c>
      <c r="B147" s="2">
        <f>'[1]ישיר מתוקן'!$G139</f>
        <v>494577</v>
      </c>
      <c r="C147" s="2">
        <f>'[1]ישיר מתוקן'!$N139</f>
        <v>8398</v>
      </c>
      <c r="D147" s="2">
        <f>'[1]ישיר מתוקן'!$P139</f>
        <v>205401</v>
      </c>
      <c r="E147" s="2">
        <f>'[1]ישיר מתוקן'!$R139</f>
        <v>243270</v>
      </c>
      <c r="F147" s="21">
        <f>-1*'[1]ישיר מתוקן'!$AK139</f>
        <v>-22109</v>
      </c>
      <c r="G147" s="21">
        <f>-1*'[1]ישיר מתוקן'!$AL139</f>
        <v>-7063</v>
      </c>
      <c r="H147" s="22">
        <v>19764</v>
      </c>
      <c r="I147" s="35">
        <f>[2]monthly!$AC246</f>
        <v>179.7</v>
      </c>
    </row>
    <row r="148" spans="1:9" ht="15.75" x14ac:dyDescent="0.25">
      <c r="A148" s="26">
        <v>39142</v>
      </c>
      <c r="B148" s="2">
        <f>'[1]ישיר מתוקן'!$G140</f>
        <v>501423</v>
      </c>
      <c r="C148" s="2">
        <f>'[1]ישיר מתוקן'!$N140</f>
        <v>4391</v>
      </c>
      <c r="D148" s="2">
        <f>'[1]ישיר מתוקן'!$P140</f>
        <v>185425</v>
      </c>
      <c r="E148" s="2">
        <f>'[1]ישיר מתוקן'!$R140</f>
        <v>277645</v>
      </c>
      <c r="F148" s="21">
        <f>-1*'[1]ישיר מתוקן'!$AK140</f>
        <v>-15959</v>
      </c>
      <c r="G148" s="21">
        <f>-1*'[1]ישיר מתוקן'!$AL140</f>
        <v>-10020</v>
      </c>
      <c r="H148" s="22">
        <v>20016</v>
      </c>
      <c r="I148" s="35">
        <f>[2]monthly!$AC247</f>
        <v>178.5</v>
      </c>
    </row>
    <row r="149" spans="1:9" ht="15.75" x14ac:dyDescent="0.25">
      <c r="A149" s="26">
        <v>39173</v>
      </c>
      <c r="B149" s="2">
        <f>'[1]ישיר מתוקן'!$G141</f>
        <v>360502</v>
      </c>
      <c r="C149" s="2">
        <f>'[1]ישיר מתוקן'!$N141</f>
        <v>5678</v>
      </c>
      <c r="D149" s="2">
        <f>'[1]ישיר מתוקן'!$P141</f>
        <v>127469</v>
      </c>
      <c r="E149" s="2">
        <f>'[1]ישיר מתוקן'!$R141</f>
        <v>200893</v>
      </c>
      <c r="F149" s="21">
        <f>-1*'[1]ישיר מתוקן'!$AK141</f>
        <v>-15670</v>
      </c>
      <c r="G149" s="21">
        <f>-1*'[1]ישיר מתוקן'!$AL141</f>
        <v>-19566</v>
      </c>
      <c r="H149" s="22">
        <v>18180</v>
      </c>
      <c r="I149" s="35">
        <f>[2]monthly!$AC248</f>
        <v>177.3</v>
      </c>
    </row>
    <row r="150" spans="1:9" ht="15.75" x14ac:dyDescent="0.25">
      <c r="A150" s="26">
        <v>39203</v>
      </c>
      <c r="B150" s="2">
        <f>'[1]ישיר מתוקן'!$G142</f>
        <v>594975</v>
      </c>
      <c r="C150" s="2">
        <f>'[1]ישיר מתוקן'!$N142</f>
        <v>8122</v>
      </c>
      <c r="D150" s="2">
        <f>'[1]ישיר מתוקן'!$P142</f>
        <v>243999</v>
      </c>
      <c r="E150" s="2">
        <f>'[1]ישיר מתוקן'!$R142</f>
        <v>293432</v>
      </c>
      <c r="F150" s="21">
        <f>-1*'[1]ישיר מתוקן'!$AK142</f>
        <v>-13534</v>
      </c>
      <c r="G150" s="21">
        <f>-1*'[1]ישיר מתוקן'!$AL142</f>
        <v>-9767</v>
      </c>
      <c r="H150" s="22">
        <v>19440</v>
      </c>
      <c r="I150" s="35">
        <f>[2]monthly!$AC249</f>
        <v>180.1</v>
      </c>
    </row>
    <row r="151" spans="1:9" ht="15.75" x14ac:dyDescent="0.25">
      <c r="A151" s="26">
        <v>39234</v>
      </c>
      <c r="B151" s="2">
        <f>'[1]ישיר מתוקן'!$G143</f>
        <v>443316</v>
      </c>
      <c r="C151" s="2">
        <f>'[1]ישיר מתוקן'!$N143</f>
        <v>7810</v>
      </c>
      <c r="D151" s="2">
        <f>'[1]ישיר מתוקן'!$P143</f>
        <v>152501</v>
      </c>
      <c r="E151" s="2">
        <f>'[1]ישיר מתוקן'!$R143</f>
        <v>245167</v>
      </c>
      <c r="F151" s="21">
        <f>-1*'[1]ישיר מתוקן'!$AK143</f>
        <v>-25311</v>
      </c>
      <c r="G151" s="21">
        <f>-1*'[1]ישיר מתוקן'!$AL143</f>
        <v>-14503</v>
      </c>
      <c r="H151" s="22">
        <v>20868</v>
      </c>
      <c r="I151" s="35">
        <f>[2]monthly!$AC250</f>
        <v>184.5</v>
      </c>
    </row>
    <row r="152" spans="1:9" ht="15.75" x14ac:dyDescent="0.25">
      <c r="A152" s="26">
        <v>39264</v>
      </c>
      <c r="B152" s="2">
        <f>'[1]ישיר מתוקן'!$G144</f>
        <v>549396</v>
      </c>
      <c r="C152" s="2">
        <f>'[1]ישיר מתוקן'!$N144</f>
        <v>7329</v>
      </c>
      <c r="D152" s="2">
        <f>'[1]ישיר מתוקן'!$P144</f>
        <v>204936</v>
      </c>
      <c r="E152" s="2">
        <f>'[1]ישיר מתוקן'!$R144</f>
        <v>299869</v>
      </c>
      <c r="F152" s="21">
        <f>-1*'[1]ישיר מתוקן'!$AK144</f>
        <v>-28193</v>
      </c>
      <c r="G152" s="21">
        <f>-1*'[1]ישיר מתוקן'!$AL144</f>
        <v>-19392</v>
      </c>
      <c r="H152" s="22">
        <v>20940</v>
      </c>
      <c r="I152" s="35">
        <f>[2]monthly!$AC251</f>
        <v>187.4</v>
      </c>
    </row>
    <row r="153" spans="1:9" ht="15.75" x14ac:dyDescent="0.25">
      <c r="A153" s="26">
        <v>39295</v>
      </c>
      <c r="B153" s="2">
        <f>'[1]ישיר מתוקן'!$G145</f>
        <v>586274</v>
      </c>
      <c r="C153" s="2">
        <f>'[1]ישיר מתוקן'!$N145</f>
        <v>5067</v>
      </c>
      <c r="D153" s="2">
        <f>'[1]ישיר מתוקן'!$P145</f>
        <v>220386</v>
      </c>
      <c r="E153" s="2">
        <f>'[1]ישיר מתוקן'!$R145</f>
        <v>307119</v>
      </c>
      <c r="F153" s="21">
        <f>-1*'[1]ישיר מתוקן'!$AK145</f>
        <v>-11511</v>
      </c>
      <c r="G153" s="21">
        <f>-1*'[1]ישיר מתוקן'!$AL145</f>
        <v>-11243</v>
      </c>
      <c r="H153" s="22">
        <v>22836</v>
      </c>
      <c r="I153" s="35">
        <f>[2]monthly!$AC252</f>
        <v>186.3</v>
      </c>
    </row>
    <row r="154" spans="1:9" ht="15.75" x14ac:dyDescent="0.25">
      <c r="A154" s="26">
        <v>39326</v>
      </c>
      <c r="B154" s="2">
        <f>'[1]ישיר מתוקן'!$G146</f>
        <v>518059</v>
      </c>
      <c r="C154" s="2">
        <f>'[1]ישיר מתוקן'!$N146</f>
        <v>6160</v>
      </c>
      <c r="D154" s="2">
        <f>'[1]ישיר מתוקן'!$P146</f>
        <v>168528</v>
      </c>
      <c r="E154" s="2">
        <f>'[1]ישיר מתוקן'!$R146</f>
        <v>316223</v>
      </c>
      <c r="F154" s="21">
        <f>-1*'[1]ישיר מתוקן'!$AK146</f>
        <v>-7407</v>
      </c>
      <c r="G154" s="21">
        <f>-1*'[1]ישיר מתוקן'!$AL146</f>
        <v>-6124</v>
      </c>
      <c r="H154" s="22">
        <v>21408</v>
      </c>
      <c r="I154" s="35">
        <f>[2]monthly!$AC253</f>
        <v>184.1</v>
      </c>
    </row>
    <row r="155" spans="1:9" ht="15.75" x14ac:dyDescent="0.25">
      <c r="A155" s="26">
        <v>39356</v>
      </c>
      <c r="B155" s="2">
        <f>'[1]ישיר מתוקן'!$G147</f>
        <v>468273</v>
      </c>
      <c r="C155" s="2">
        <f>'[1]ישיר מתוקן'!$N147</f>
        <v>4795</v>
      </c>
      <c r="D155" s="2">
        <f>'[1]ישיר מתוקן'!$P147</f>
        <v>206438</v>
      </c>
      <c r="E155" s="2">
        <f>'[1]ישיר מתוקן'!$R147</f>
        <v>242058</v>
      </c>
      <c r="F155" s="21">
        <f>-1*'[1]ישיר מתוקן'!$AK147</f>
        <v>-10740</v>
      </c>
      <c r="G155" s="21">
        <f>-1*'[1]ישיר מתוקן'!$AL147</f>
        <v>-5707</v>
      </c>
      <c r="H155" s="22">
        <v>20724</v>
      </c>
      <c r="I155" s="35">
        <f>[2]monthly!$AC254</f>
        <v>183.1</v>
      </c>
    </row>
    <row r="156" spans="1:9" ht="15.75" x14ac:dyDescent="0.25">
      <c r="A156" s="26">
        <v>39387</v>
      </c>
      <c r="B156" s="2">
        <f>'[1]ישיר מתוקן'!$G148</f>
        <v>452524</v>
      </c>
      <c r="C156" s="2">
        <f>'[1]ישיר מתוקן'!$N148</f>
        <v>3182</v>
      </c>
      <c r="D156" s="2">
        <f>'[1]ישיר מתוקן'!$P148</f>
        <v>199312</v>
      </c>
      <c r="E156" s="2">
        <f>'[1]ישיר מתוקן'!$R148</f>
        <v>230229</v>
      </c>
      <c r="F156" s="21">
        <f>-1*'[1]ישיר מתוקן'!$AK148</f>
        <v>-8125</v>
      </c>
      <c r="G156" s="21">
        <f>-1*'[1]ישיר מתוקן'!$AL148</f>
        <v>-3444</v>
      </c>
      <c r="H156" s="22">
        <v>23328</v>
      </c>
      <c r="I156" s="35">
        <f>[2]monthly!$AC255</f>
        <v>183.3</v>
      </c>
    </row>
    <row r="157" spans="1:9" ht="15.75" x14ac:dyDescent="0.25">
      <c r="A157" s="26">
        <v>39417</v>
      </c>
      <c r="B157" s="2">
        <f>'[1]ישיר מתוקן'!$G149</f>
        <v>558904</v>
      </c>
      <c r="C157" s="2">
        <f>'[1]ישיר מתוקן'!$N149</f>
        <v>3744</v>
      </c>
      <c r="D157" s="2">
        <f>'[1]ישיר מתוקן'!$P149</f>
        <v>239294</v>
      </c>
      <c r="E157" s="2">
        <f>'[1]ישיר מתוקן'!$R149</f>
        <v>301800</v>
      </c>
      <c r="F157" s="21">
        <f>-1*'[1]ישיר מתוקן'!$AK149</f>
        <v>-9494</v>
      </c>
      <c r="G157" s="21">
        <f>-1*'[1]ישיר מתוקן'!$AL149</f>
        <v>-17113</v>
      </c>
      <c r="H157" s="22">
        <v>23808</v>
      </c>
      <c r="I157" s="35">
        <f>[2]monthly!$AC256</f>
        <v>184.3</v>
      </c>
    </row>
    <row r="158" spans="1:9" ht="15.75" x14ac:dyDescent="0.25">
      <c r="A158" s="26">
        <v>39448</v>
      </c>
      <c r="B158" s="2">
        <f>'[1]ישיר מתוקן'!$G150</f>
        <v>611741</v>
      </c>
      <c r="C158" s="2">
        <f>'[1]ישיר מתוקן'!$N150</f>
        <v>3252</v>
      </c>
      <c r="D158" s="2">
        <f>'[1]ישיר מתוקן'!$P150</f>
        <v>253141</v>
      </c>
      <c r="E158" s="2">
        <f>'[1]ישיר מתוקן'!$R150</f>
        <v>335510</v>
      </c>
      <c r="F158" s="21">
        <f>-1*'[1]ישיר מתוקן'!$AK150</f>
        <v>-11669</v>
      </c>
      <c r="G158" s="21">
        <f>-1*'[1]ישיר מתוקן'!$AL150</f>
        <v>-8360</v>
      </c>
      <c r="H158" s="22">
        <v>24984</v>
      </c>
      <c r="I158" s="35">
        <f>[2]monthly!$AC257</f>
        <v>185.3</v>
      </c>
    </row>
    <row r="159" spans="1:9" ht="15.75" x14ac:dyDescent="0.25">
      <c r="A159" s="26">
        <v>39479</v>
      </c>
      <c r="B159" s="2">
        <f>'[1]ישיר מתוקן'!$G151</f>
        <v>477976</v>
      </c>
      <c r="C159" s="2">
        <f>'[1]ישיר מתוקן'!$N151</f>
        <v>5731</v>
      </c>
      <c r="D159" s="2">
        <f>'[1]ישיר מתוקן'!$P151</f>
        <v>193443</v>
      </c>
      <c r="E159" s="2">
        <f>'[1]ישיר מתוקן'!$R151</f>
        <v>264245</v>
      </c>
      <c r="F159" s="21">
        <f>-1*'[1]ישיר מתוקן'!$AK151</f>
        <v>-10079</v>
      </c>
      <c r="G159" s="21">
        <f>-1*'[1]ישיר מתוקן'!$AL151</f>
        <v>-6001</v>
      </c>
      <c r="H159" s="22">
        <v>20028</v>
      </c>
      <c r="I159" s="35">
        <f>[2]monthly!$AC258</f>
        <v>187.6</v>
      </c>
    </row>
    <row r="160" spans="1:9" ht="15.75" x14ac:dyDescent="0.25">
      <c r="A160" s="26">
        <v>39508</v>
      </c>
      <c r="B160" s="2">
        <f>'[1]ישיר מתוקן'!$G152</f>
        <v>443441</v>
      </c>
      <c r="C160" s="2">
        <f>'[1]ישיר מתוקן'!$N152</f>
        <v>3789</v>
      </c>
      <c r="D160" s="2">
        <f>'[1]ישיר מתוקן'!$P152</f>
        <v>166685</v>
      </c>
      <c r="E160" s="2">
        <f>'[1]ישיר מתוקן'!$R152</f>
        <v>264747</v>
      </c>
      <c r="F160" s="21">
        <f>-1*'[1]ישיר מתוקן'!$AK152</f>
        <v>-8014</v>
      </c>
      <c r="G160" s="21">
        <f>-1*'[1]ישיר מתוקן'!$AL152</f>
        <v>-10805</v>
      </c>
      <c r="H160" s="22">
        <v>19416</v>
      </c>
      <c r="I160" s="35">
        <f>[2]monthly!$AC259</f>
        <v>189.6</v>
      </c>
    </row>
    <row r="161" spans="1:9" ht="15.75" x14ac:dyDescent="0.25">
      <c r="A161" s="26">
        <v>39539</v>
      </c>
      <c r="B161" s="2">
        <f>'[1]ישיר מתוקן'!$G153</f>
        <v>460359</v>
      </c>
      <c r="C161" s="2">
        <f>'[1]ישיר מתוקן'!$N153</f>
        <v>6114</v>
      </c>
      <c r="D161" s="2">
        <f>'[1]ישיר מתוקן'!$P153</f>
        <v>190967</v>
      </c>
      <c r="E161" s="2">
        <f>'[1]ישיר מתוקן'!$R153</f>
        <v>256135</v>
      </c>
      <c r="F161" s="21">
        <f>-1*'[1]ישיר מתוקן'!$AK153</f>
        <v>-3218</v>
      </c>
      <c r="G161" s="21">
        <f>-1*'[1]ישיר מתוקן'!$AL153</f>
        <v>-2218</v>
      </c>
      <c r="H161" s="22">
        <v>18144</v>
      </c>
      <c r="I161" s="35">
        <f>[2]monthly!$AC260</f>
        <v>190</v>
      </c>
    </row>
    <row r="162" spans="1:9" ht="15.75" x14ac:dyDescent="0.25">
      <c r="A162" s="26">
        <v>39569</v>
      </c>
      <c r="B162" s="2">
        <f>'[1]ישיר מתוקן'!$G154</f>
        <v>519568</v>
      </c>
      <c r="C162" s="2">
        <f>'[1]ישיר מתוקן'!$N154</f>
        <v>6652</v>
      </c>
      <c r="D162" s="2">
        <f>'[1]ישיר מתוקן'!$P154</f>
        <v>241273</v>
      </c>
      <c r="E162" s="2">
        <f>'[1]ישיר מתוקן'!$R154</f>
        <v>268746</v>
      </c>
      <c r="F162" s="21">
        <f>-1*'[1]ישיר מתוקן'!$AK154</f>
        <v>-16936</v>
      </c>
      <c r="G162" s="21">
        <f>-1*'[1]ישיר מתוקן'!$AL154</f>
        <v>-17726</v>
      </c>
      <c r="H162" s="22">
        <v>19164</v>
      </c>
      <c r="I162" s="35">
        <f>[2]monthly!$AC261</f>
        <v>191.4</v>
      </c>
    </row>
    <row r="163" spans="1:9" ht="15.75" x14ac:dyDescent="0.25">
      <c r="A163" s="26">
        <v>39600</v>
      </c>
      <c r="B163" s="2">
        <f>'[1]ישיר מתוקן'!$G155</f>
        <v>463493</v>
      </c>
      <c r="C163" s="2">
        <f>'[1]ישיר מתוקן'!$N155</f>
        <v>4854</v>
      </c>
      <c r="D163" s="2">
        <f>'[1]ישיר מתוקן'!$P155</f>
        <v>217364</v>
      </c>
      <c r="E163" s="2">
        <f>'[1]ישיר מתוקן'!$R155</f>
        <v>235930</v>
      </c>
      <c r="F163" s="21">
        <f>-1*'[1]ישיר מתוקן'!$AK155</f>
        <v>-10098</v>
      </c>
      <c r="G163" s="21">
        <f>-1*'[1]ישיר מתוקן'!$AL155</f>
        <v>-6229</v>
      </c>
      <c r="H163" s="22">
        <v>17916</v>
      </c>
      <c r="I163" s="35">
        <f>[2]monthly!$AC262</f>
        <v>195.5</v>
      </c>
    </row>
    <row r="164" spans="1:9" ht="15.75" x14ac:dyDescent="0.25">
      <c r="A164" s="26">
        <v>39630</v>
      </c>
      <c r="B164" s="2">
        <f>'[1]ישיר מתוקן'!$G156</f>
        <v>625380</v>
      </c>
      <c r="C164" s="2">
        <f>'[1]ישיר מתוקן'!$N156</f>
        <v>7048</v>
      </c>
      <c r="D164" s="2">
        <f>'[1]ישיר מתוקן'!$P156</f>
        <v>307209</v>
      </c>
      <c r="E164" s="2">
        <f>'[1]ישיר מתוקן'!$R156</f>
        <v>304217</v>
      </c>
      <c r="F164" s="21">
        <f>-1*'[1]ישיר מתוקן'!$AK156</f>
        <v>-18583</v>
      </c>
      <c r="G164" s="21">
        <f>-1*'[1]ישיר מתוקן'!$AL156</f>
        <v>-5954</v>
      </c>
      <c r="H164" s="22">
        <v>17952</v>
      </c>
      <c r="I164" s="35">
        <f>[2]monthly!$AC263</f>
        <v>199.3</v>
      </c>
    </row>
    <row r="165" spans="1:9" ht="15.75" x14ac:dyDescent="0.25">
      <c r="A165" s="26">
        <v>39661</v>
      </c>
      <c r="B165" s="2">
        <f>'[1]ישיר מתוקן'!$G157</f>
        <v>507148</v>
      </c>
      <c r="C165" s="2">
        <f>'[1]ישיר מתוקן'!$N157</f>
        <v>6643</v>
      </c>
      <c r="D165" s="2">
        <f>'[1]ישיר מתוקן'!$P157</f>
        <v>195368</v>
      </c>
      <c r="E165" s="2">
        <f>'[1]ישיר מתוקן'!$R157</f>
        <v>302839</v>
      </c>
      <c r="F165" s="21">
        <f>-1*'[1]ישיר מתוקן'!$AK157</f>
        <v>-28812</v>
      </c>
      <c r="G165" s="21">
        <f>-1*'[1]ישיר מתוקן'!$AL157</f>
        <v>-7569</v>
      </c>
      <c r="H165" s="22">
        <v>17940</v>
      </c>
      <c r="I165" s="35">
        <f>[2]monthly!$AC264</f>
        <v>201.7</v>
      </c>
    </row>
    <row r="166" spans="1:9" ht="15.75" x14ac:dyDescent="0.25">
      <c r="A166" s="26">
        <v>39692</v>
      </c>
      <c r="B166" s="2">
        <f>'[1]ישיר מתוקן'!$G158</f>
        <v>455073</v>
      </c>
      <c r="C166" s="2">
        <f>'[1]ישיר מתוקן'!$N158</f>
        <v>3484</v>
      </c>
      <c r="D166" s="2">
        <f>'[1]ישיר מתוקן'!$P158</f>
        <v>192116</v>
      </c>
      <c r="E166" s="2">
        <f>'[1]ישיר מתוקן'!$R158</f>
        <v>254174</v>
      </c>
      <c r="F166" s="21">
        <f>-1*'[1]ישיר מתוקן'!$AK158</f>
        <v>-13779</v>
      </c>
      <c r="G166" s="21">
        <f>-1*'[1]ישיר מתוקן'!$AL158</f>
        <v>-8427</v>
      </c>
      <c r="H166" s="22">
        <v>19704</v>
      </c>
      <c r="I166" s="35">
        <f>[2]monthly!$AC265</f>
        <v>203.6</v>
      </c>
    </row>
    <row r="167" spans="1:9" ht="15.75" x14ac:dyDescent="0.25">
      <c r="A167" s="26">
        <v>39722</v>
      </c>
      <c r="B167" s="2">
        <f>'[1]ישיר מתוקן'!$G159</f>
        <v>383638</v>
      </c>
      <c r="C167" s="2">
        <f>'[1]ישיר מתוקן'!$N159</f>
        <v>3710</v>
      </c>
      <c r="D167" s="2">
        <f>'[1]ישיר מתוקן'!$P159</f>
        <v>162378</v>
      </c>
      <c r="E167" s="2">
        <f>'[1]ישיר מתוקן'!$R159</f>
        <v>197920</v>
      </c>
      <c r="F167" s="21">
        <f>-1*'[1]ישיר מתוקן'!$AK159</f>
        <v>-8539</v>
      </c>
      <c r="G167" s="21">
        <f>-1*'[1]ישיר מתוקן'!$AL159</f>
        <v>-3883</v>
      </c>
      <c r="H167" s="22">
        <v>14280</v>
      </c>
      <c r="I167" s="35">
        <f>[2]monthly!$AC266</f>
        <v>203.4</v>
      </c>
    </row>
    <row r="168" spans="1:9" ht="15.75" x14ac:dyDescent="0.25">
      <c r="A168" s="26">
        <v>39753</v>
      </c>
      <c r="B168" s="2">
        <f>'[1]ישיר מתוקן'!$G160</f>
        <v>480998</v>
      </c>
      <c r="C168" s="2">
        <f>'[1]ישיר מתוקן'!$N160</f>
        <v>3153</v>
      </c>
      <c r="D168" s="2">
        <f>'[1]ישיר מתוקן'!$P160</f>
        <v>214660</v>
      </c>
      <c r="E168" s="2">
        <f>'[1]ישיר מתוקן'!$R160</f>
        <v>259857</v>
      </c>
      <c r="F168" s="21">
        <f>-1*'[1]ישיר מתוקן'!$AK160</f>
        <v>-13885</v>
      </c>
      <c r="G168" s="21">
        <f>-1*'[1]ישיר מתוקן'!$AL160</f>
        <v>-5021</v>
      </c>
      <c r="H168" s="22">
        <v>13080</v>
      </c>
      <c r="I168" s="35">
        <f>[2]monthly!$AC267</f>
        <v>202.8</v>
      </c>
    </row>
    <row r="169" spans="1:9" ht="15.75" x14ac:dyDescent="0.25">
      <c r="A169" s="26">
        <v>39783</v>
      </c>
      <c r="B169" s="2">
        <f>'[1]ישיר מתוקן'!$G161</f>
        <v>402207</v>
      </c>
      <c r="C169" s="2">
        <f>'[1]ישיר מתוקן'!$N161</f>
        <v>2827</v>
      </c>
      <c r="D169" s="2">
        <f>'[1]ישיר מתוקן'!$P161</f>
        <v>182980</v>
      </c>
      <c r="E169" s="2">
        <f>'[1]ישיר מתוקן'!$R161</f>
        <v>211704</v>
      </c>
      <c r="F169" s="21">
        <f>-1*'[1]ישיר מתוקן'!$AK161</f>
        <v>-15491</v>
      </c>
      <c r="G169" s="21">
        <f>-1*'[1]ישיר מתוקן'!$AL161</f>
        <v>-6519</v>
      </c>
      <c r="H169" s="22">
        <v>9852</v>
      </c>
      <c r="I169" s="35">
        <f>[2]monthly!$AC268</f>
        <v>203.8</v>
      </c>
    </row>
    <row r="170" spans="1:9" ht="15.75" x14ac:dyDescent="0.25">
      <c r="A170" s="26">
        <v>39814</v>
      </c>
      <c r="B170" s="2">
        <f>'[1]ישיר מתוקן'!$G162</f>
        <v>322836</v>
      </c>
      <c r="C170" s="2">
        <f>'[1]ישיר מתוקן'!$N162</f>
        <v>3493</v>
      </c>
      <c r="D170" s="2">
        <f>'[1]ישיר מתוקן'!$P162</f>
        <v>128129</v>
      </c>
      <c r="E170" s="2">
        <f>'[1]ישיר מתוקן'!$R162</f>
        <v>189385</v>
      </c>
      <c r="F170" s="21">
        <f>-1*'[1]ישיר מתוקן'!$AK162</f>
        <v>-23614</v>
      </c>
      <c r="G170" s="21">
        <f>-1*'[1]ישיר מתוקן'!$AL162</f>
        <v>-7763</v>
      </c>
      <c r="H170" s="22">
        <v>12600</v>
      </c>
      <c r="I170" s="35">
        <f>[2]monthly!$AC269</f>
        <v>204.3</v>
      </c>
    </row>
    <row r="171" spans="1:9" ht="15.75" x14ac:dyDescent="0.25">
      <c r="A171" s="26">
        <v>39845</v>
      </c>
      <c r="B171" s="2">
        <f>'[1]ישיר מתוקן'!$G163</f>
        <v>340247</v>
      </c>
      <c r="C171" s="2">
        <f>'[1]ישיר מתוקן'!$N163</f>
        <v>5406</v>
      </c>
      <c r="D171" s="2">
        <f>'[1]ישיר מתוקן'!$P163</f>
        <v>161598</v>
      </c>
      <c r="E171" s="2">
        <f>'[1]ישיר מתוקן'!$R163</f>
        <v>174363</v>
      </c>
      <c r="F171" s="21">
        <f>-1*'[1]ישיר מתוקן'!$AK163</f>
        <v>-14085</v>
      </c>
      <c r="G171" s="21">
        <f>-1*'[1]ישיר מתוקן'!$AL163</f>
        <v>-7049</v>
      </c>
      <c r="H171" s="22">
        <v>23760</v>
      </c>
      <c r="I171" s="35">
        <f>[2]monthly!$AC270</f>
        <v>207.1</v>
      </c>
    </row>
    <row r="172" spans="1:9" ht="15.75" x14ac:dyDescent="0.25">
      <c r="A172" s="26">
        <v>39873</v>
      </c>
      <c r="B172" s="2">
        <f>'[1]ישיר מתוקן'!$G164</f>
        <v>329082</v>
      </c>
      <c r="C172" s="2">
        <f>'[1]ישיר מתוקן'!$N164</f>
        <v>2837</v>
      </c>
      <c r="D172" s="2">
        <f>'[1]ישיר מתוקן'!$P164</f>
        <v>145916</v>
      </c>
      <c r="E172" s="2">
        <f>'[1]ישיר מתוקן'!$R164</f>
        <v>179577</v>
      </c>
      <c r="F172" s="21">
        <f>-1*'[1]ישיר מתוקן'!$AK164</f>
        <v>-28757</v>
      </c>
      <c r="G172" s="21">
        <f>-1*'[1]ישיר מתוקן'!$AL164</f>
        <v>-8719</v>
      </c>
      <c r="H172" s="22">
        <v>20376</v>
      </c>
      <c r="I172" s="35">
        <f>[2]monthly!$AC271</f>
        <v>209.9</v>
      </c>
    </row>
    <row r="173" spans="1:9" ht="15.75" x14ac:dyDescent="0.25">
      <c r="A173" s="26">
        <v>39904</v>
      </c>
      <c r="B173" s="2">
        <f>'[1]ישיר מתוקן'!$G165</f>
        <v>391714</v>
      </c>
      <c r="C173" s="2">
        <f>'[1]ישיר מתוקן'!$N165</f>
        <v>3259</v>
      </c>
      <c r="D173" s="2">
        <f>'[1]ישיר מתוקן'!$P165</f>
        <v>175770</v>
      </c>
      <c r="E173" s="2">
        <f>'[1]ישיר מתוקן'!$R165</f>
        <v>211412</v>
      </c>
      <c r="F173" s="21">
        <f>-1*'[1]ישיר מתוקן'!$AK165</f>
        <v>-14368</v>
      </c>
      <c r="G173" s="21">
        <f>-1*'[1]ישיר מתוקן'!$AL165</f>
        <v>-3212</v>
      </c>
      <c r="H173" s="22">
        <v>24420</v>
      </c>
      <c r="I173" s="35">
        <f>[2]monthly!$AC272</f>
        <v>212.5</v>
      </c>
    </row>
    <row r="174" spans="1:9" ht="15.75" x14ac:dyDescent="0.25">
      <c r="A174" s="26">
        <v>39934</v>
      </c>
      <c r="B174" s="2">
        <f>'[1]ישיר מתוקן'!$G166</f>
        <v>396362</v>
      </c>
      <c r="C174" s="2">
        <f>'[1]ישיר מתוקן'!$N166</f>
        <v>6842</v>
      </c>
      <c r="D174" s="2">
        <f>'[1]ישיר מתוקן'!$P166</f>
        <v>174174</v>
      </c>
      <c r="E174" s="2">
        <f>'[1]ישיר מתוקן'!$R166</f>
        <v>221520</v>
      </c>
      <c r="F174" s="21">
        <f>-1*'[1]ישיר מתוקן'!$AK166</f>
        <v>-21059</v>
      </c>
      <c r="G174" s="21">
        <f>-1*'[1]ישיר מתוקן'!$AL166</f>
        <v>-11156</v>
      </c>
      <c r="H174" s="22">
        <v>28560</v>
      </c>
      <c r="I174" s="35">
        <f>[2]monthly!$AC273</f>
        <v>215.5</v>
      </c>
    </row>
    <row r="175" spans="1:9" ht="15.75" x14ac:dyDescent="0.25">
      <c r="A175" s="26">
        <v>39965</v>
      </c>
      <c r="B175" s="2">
        <f>'[1]ישיר מתוקן'!$G167</f>
        <v>379509</v>
      </c>
      <c r="C175" s="2">
        <f>'[1]ישיר מתוקן'!$N167</f>
        <v>3247</v>
      </c>
      <c r="D175" s="2">
        <f>'[1]ישיר מתוקן'!$P167</f>
        <v>153758</v>
      </c>
      <c r="E175" s="2">
        <f>'[1]ישיר מתוקן'!$R167</f>
        <v>224193</v>
      </c>
      <c r="F175" s="21">
        <f>-1*'[1]ישיר מתוקן'!$AK167</f>
        <v>-25418</v>
      </c>
      <c r="G175" s="21">
        <f>-1*'[1]ישיר מתוקן'!$AL167</f>
        <v>-14635</v>
      </c>
      <c r="H175" s="22">
        <v>28560</v>
      </c>
      <c r="I175" s="35">
        <f>[2]monthly!$AC274</f>
        <v>220.6</v>
      </c>
    </row>
    <row r="176" spans="1:9" ht="15.75" x14ac:dyDescent="0.25">
      <c r="A176" s="26">
        <v>39995</v>
      </c>
      <c r="B176" s="2">
        <f>'[1]ישיר מתוקן'!$G168</f>
        <v>465039</v>
      </c>
      <c r="C176" s="2">
        <f>'[1]ישיר מתוקן'!$N168</f>
        <v>8259</v>
      </c>
      <c r="D176" s="2">
        <f>'[1]ישיר מתוקן'!$P168</f>
        <v>181774</v>
      </c>
      <c r="E176" s="2">
        <f>'[1]ישיר מתוקן'!$R168</f>
        <v>273132</v>
      </c>
      <c r="F176" s="21">
        <f>-1*'[1]ישיר מתוקן'!$AK168</f>
        <v>-19220</v>
      </c>
      <c r="G176" s="21">
        <f>-1*'[1]ישיר מתוקן'!$AL168</f>
        <v>-7283</v>
      </c>
      <c r="H176" s="22">
        <v>18696</v>
      </c>
      <c r="I176" s="35">
        <f>[2]monthly!$AC275</f>
        <v>225.3</v>
      </c>
    </row>
    <row r="177" spans="1:9" ht="15.75" x14ac:dyDescent="0.25">
      <c r="A177" s="26">
        <v>40026</v>
      </c>
      <c r="B177" s="2">
        <f>'[1]ישיר מתוקן'!$G169</f>
        <v>446093</v>
      </c>
      <c r="C177" s="2">
        <f>'[1]ישיר מתוקן'!$N169</f>
        <v>3357</v>
      </c>
      <c r="D177" s="2">
        <f>'[1]ישיר מתוקן'!$P169</f>
        <v>143740</v>
      </c>
      <c r="E177" s="2">
        <f>'[1]ישיר מתוקן'!$R169</f>
        <v>294880</v>
      </c>
      <c r="F177" s="21">
        <f>-1*'[1]ישיר מתוקן'!$AK169</f>
        <v>-15353</v>
      </c>
      <c r="G177" s="21">
        <f>-1*'[1]ישיר מתוקן'!$AL169</f>
        <v>-6668</v>
      </c>
      <c r="H177" s="22">
        <v>29232</v>
      </c>
      <c r="I177" s="35">
        <f>[2]monthly!$AC276</f>
        <v>228.1</v>
      </c>
    </row>
    <row r="178" spans="1:9" ht="15.75" x14ac:dyDescent="0.25">
      <c r="A178" s="26">
        <v>40057</v>
      </c>
      <c r="B178" s="2">
        <f>'[1]ישיר מתוקן'!$G170</f>
        <v>467266</v>
      </c>
      <c r="C178" s="2">
        <f>'[1]ישיר מתוקן'!$N170</f>
        <v>4799</v>
      </c>
      <c r="D178" s="2">
        <f>'[1]ישיר מתוקן'!$P170</f>
        <v>175693</v>
      </c>
      <c r="E178" s="2">
        <f>'[1]ישיר מתוקן'!$R170</f>
        <v>284462</v>
      </c>
      <c r="F178" s="21">
        <f>-1*'[1]ישיר מתוקן'!$AK170</f>
        <v>-10688</v>
      </c>
      <c r="G178" s="21">
        <f>-1*'[1]ישיר מתוקן'!$AL170</f>
        <v>-5342</v>
      </c>
      <c r="H178" s="22">
        <v>26460</v>
      </c>
      <c r="I178" s="35">
        <f>[2]monthly!$AC277</f>
        <v>231.9</v>
      </c>
    </row>
    <row r="179" spans="1:9" ht="15.75" x14ac:dyDescent="0.25">
      <c r="A179" s="26">
        <v>40087</v>
      </c>
      <c r="B179" s="2">
        <f>'[1]ישיר מתוקן'!$G171</f>
        <v>474476</v>
      </c>
      <c r="C179" s="2">
        <f>'[1]ישיר מתוקן'!$N171</f>
        <v>2027</v>
      </c>
      <c r="D179" s="2">
        <f>'[1]ישיר מתוקן'!$P171</f>
        <v>156296</v>
      </c>
      <c r="E179" s="2">
        <f>'[1]ישיר מתוקן'!$R171</f>
        <v>315743</v>
      </c>
      <c r="F179" s="21">
        <f>-1*'[1]ישיר מתוקן'!$AK171</f>
        <v>-13696</v>
      </c>
      <c r="G179" s="21">
        <f>-1*'[1]ישיר מתוקן'!$AL171</f>
        <v>-4670</v>
      </c>
      <c r="H179" s="22">
        <v>31020</v>
      </c>
      <c r="I179" s="35">
        <f>[2]monthly!$AC278</f>
        <v>237.1</v>
      </c>
    </row>
    <row r="180" spans="1:9" ht="15.75" x14ac:dyDescent="0.25">
      <c r="A180" s="26">
        <v>40118</v>
      </c>
      <c r="B180" s="2">
        <f>'[1]ישיר מתוקן'!$G172</f>
        <v>553701</v>
      </c>
      <c r="C180" s="2">
        <f>'[1]ישיר מתוקן'!$N172</f>
        <v>1884</v>
      </c>
      <c r="D180" s="2">
        <f>'[1]ישיר מתוקן'!$P172</f>
        <v>226633</v>
      </c>
      <c r="E180" s="2">
        <f>'[1]ישיר מתוקן'!$R172</f>
        <v>321700</v>
      </c>
      <c r="F180" s="21">
        <f>-1*'[1]ישיר מתוקן'!$AK172</f>
        <v>-25861</v>
      </c>
      <c r="G180" s="21">
        <f>-1*'[1]ישיר מתוקן'!$AL172</f>
        <v>-15414</v>
      </c>
      <c r="H180" s="22">
        <v>24024</v>
      </c>
      <c r="I180" s="35">
        <f>[2]monthly!$AC279</f>
        <v>239.7</v>
      </c>
    </row>
    <row r="181" spans="1:9" ht="15.75" x14ac:dyDescent="0.25">
      <c r="A181" s="26">
        <v>40148</v>
      </c>
      <c r="B181" s="2">
        <f>'[1]ישיר מתוקן'!$G173</f>
        <v>509021</v>
      </c>
      <c r="C181" s="2">
        <f>'[1]ישיר מתוקן'!$N173</f>
        <v>3568</v>
      </c>
      <c r="D181" s="2">
        <f>'[1]ישיר מתוקן'!$P173</f>
        <v>183272</v>
      </c>
      <c r="E181" s="2">
        <f>'[1]ישיר מתוקן'!$R173</f>
        <v>319532</v>
      </c>
      <c r="F181" s="21">
        <f>-1*'[1]ישיר מתוקן'!$AK173</f>
        <v>-11808</v>
      </c>
      <c r="G181" s="21">
        <f>-1*'[1]ישיר מתוקן'!$AL173</f>
        <v>-7005</v>
      </c>
      <c r="H181" s="22">
        <v>17904</v>
      </c>
      <c r="I181" s="35">
        <f>[2]monthly!$AC280</f>
        <v>244.3</v>
      </c>
    </row>
    <row r="182" spans="1:9" ht="15.75" x14ac:dyDescent="0.25">
      <c r="A182" s="26">
        <v>40179</v>
      </c>
      <c r="B182" s="2">
        <f>'[1]ישיר מתוקן'!$G174</f>
        <v>491277</v>
      </c>
      <c r="C182" s="2">
        <f>'[1]ישיר מתוקן'!$N174</f>
        <v>1695</v>
      </c>
      <c r="D182" s="2">
        <f>'[1]ישיר מתוקן'!$P174</f>
        <v>175951</v>
      </c>
      <c r="E182" s="2">
        <f>'[1]ישיר מתוקן'!$R174</f>
        <v>312639</v>
      </c>
      <c r="F182" s="21">
        <f>-1*'[1]ישיר מתוקן'!$AK174</f>
        <v>-17770</v>
      </c>
      <c r="G182" s="21">
        <f>-1*'[1]ישיר מתוקן'!$AL174</f>
        <v>-9236</v>
      </c>
      <c r="H182" s="22">
        <v>22380</v>
      </c>
      <c r="I182" s="35">
        <f>[2]monthly!$AC281</f>
        <v>247.1</v>
      </c>
    </row>
    <row r="183" spans="1:9" ht="15.75" x14ac:dyDescent="0.25">
      <c r="A183" s="26">
        <v>40210</v>
      </c>
      <c r="B183" s="2">
        <f>'[1]ישיר מתוקן'!$G175</f>
        <v>468137</v>
      </c>
      <c r="C183" s="2">
        <f>'[1]ישיר מתוקן'!$N175</f>
        <v>2085</v>
      </c>
      <c r="D183" s="2">
        <f>'[1]ישיר מתוקן'!$P175</f>
        <v>163548</v>
      </c>
      <c r="E183" s="2">
        <f>'[1]ישיר מתוקן'!$R175</f>
        <v>301872</v>
      </c>
      <c r="F183" s="21">
        <f>-1*'[1]ישיר מתוקן'!$AK175</f>
        <v>-12393</v>
      </c>
      <c r="G183" s="21">
        <f>-1*'[1]ישיר מתוקן'!$AL175</f>
        <v>-4516</v>
      </c>
      <c r="H183" s="22">
        <v>22368</v>
      </c>
      <c r="I183" s="35">
        <f>[2]monthly!$AC282</f>
        <v>250.5</v>
      </c>
    </row>
    <row r="184" spans="1:9" ht="15.75" x14ac:dyDescent="0.25">
      <c r="A184" s="26">
        <v>40238</v>
      </c>
      <c r="B184" s="2">
        <f>'[1]ישיר מתוקן'!$G176</f>
        <v>624626</v>
      </c>
      <c r="C184" s="2">
        <f>'[1]ישיר מתוקן'!$N176</f>
        <v>4167</v>
      </c>
      <c r="D184" s="2">
        <f>'[1]ישיר מתוקן'!$P176</f>
        <v>198613</v>
      </c>
      <c r="E184" s="2">
        <f>'[1]ישיר מתוקן'!$R176</f>
        <v>422227</v>
      </c>
      <c r="F184" s="21">
        <f>-1*'[1]ישיר מתוקן'!$AK176</f>
        <v>-26609</v>
      </c>
      <c r="G184" s="21">
        <f>-1*'[1]ישיר מתוקן'!$AL176</f>
        <v>-13143</v>
      </c>
      <c r="H184" s="22">
        <v>23592</v>
      </c>
      <c r="I184" s="35">
        <f>[2]monthly!$AC283</f>
        <v>251.1</v>
      </c>
    </row>
    <row r="185" spans="1:9" ht="15.75" x14ac:dyDescent="0.25">
      <c r="A185" s="26">
        <v>40269</v>
      </c>
      <c r="B185" s="2">
        <f>'[1]ישיר מתוקן'!$G177</f>
        <v>471205</v>
      </c>
      <c r="C185" s="2">
        <f>'[1]ישיר מתוקן'!$N177</f>
        <v>7472</v>
      </c>
      <c r="D185" s="2">
        <f>'[1]ישיר מתוקן'!$P177</f>
        <v>183327</v>
      </c>
      <c r="E185" s="2">
        <f>'[1]ישיר מתוקן'!$R177</f>
        <v>281838</v>
      </c>
      <c r="F185" s="21">
        <f>-1*'[1]ישיר מתוקן'!$AK177</f>
        <v>-18261</v>
      </c>
      <c r="G185" s="21">
        <f>-1*'[1]ישיר מתוקן'!$AL177</f>
        <v>-11580</v>
      </c>
      <c r="H185" s="22">
        <v>22236</v>
      </c>
      <c r="I185" s="35">
        <f>[2]monthly!$AC284</f>
        <v>254.6</v>
      </c>
    </row>
    <row r="186" spans="1:9" ht="15.75" x14ac:dyDescent="0.25">
      <c r="A186" s="26">
        <v>40299</v>
      </c>
      <c r="B186" s="2">
        <f>'[1]ישיר מתוקן'!$G178</f>
        <v>544302</v>
      </c>
      <c r="C186" s="2">
        <f>'[1]ישיר מתוקן'!$N178</f>
        <v>2383</v>
      </c>
      <c r="D186" s="2">
        <f>'[1]ישיר מתוקן'!$P178</f>
        <v>217605</v>
      </c>
      <c r="E186" s="2">
        <f>'[1]ישיר מתוקן'!$R178</f>
        <v>321180</v>
      </c>
      <c r="F186" s="21">
        <f>-1*'[1]ישיר מתוקן'!$AK178</f>
        <v>-22571</v>
      </c>
      <c r="G186" s="21">
        <f>-1*'[1]ישיר מתוקן'!$AL178</f>
        <v>-9546</v>
      </c>
      <c r="H186" s="22">
        <v>19836</v>
      </c>
      <c r="I186" s="35">
        <f>[2]monthly!$AC285</f>
        <v>259.5</v>
      </c>
    </row>
    <row r="187" spans="1:9" ht="15.75" x14ac:dyDescent="0.25">
      <c r="A187" s="26">
        <v>40330</v>
      </c>
      <c r="B187" s="2">
        <f>'[1]ישיר מתוקן'!$G179</f>
        <v>591641</v>
      </c>
      <c r="C187" s="2">
        <f>'[1]ישיר מתוקן'!$N179</f>
        <v>5057</v>
      </c>
      <c r="D187" s="2">
        <f>'[1]ישיר מתוקן'!$P179</f>
        <v>223354</v>
      </c>
      <c r="E187" s="2">
        <f>'[1]ישיר מתוקן'!$R179</f>
        <v>362287</v>
      </c>
      <c r="F187" s="21">
        <f>-1*'[1]ישיר מתוקן'!$AK179</f>
        <v>-14805</v>
      </c>
      <c r="G187" s="21">
        <f>-1*'[1]ישיר מתוקן'!$AL179</f>
        <v>-8270</v>
      </c>
      <c r="H187" s="22">
        <v>21816</v>
      </c>
      <c r="I187" s="35">
        <f>[2]monthly!$AC286</f>
        <v>260.3</v>
      </c>
    </row>
    <row r="188" spans="1:9" ht="15.75" x14ac:dyDescent="0.25">
      <c r="A188" s="26">
        <v>40360</v>
      </c>
      <c r="B188" s="2">
        <f>'[1]ישיר מתוקן'!$G180</f>
        <v>815838</v>
      </c>
      <c r="C188" s="2">
        <f>'[1]ישיר מתוקן'!$N180</f>
        <v>8260</v>
      </c>
      <c r="D188" s="2">
        <f>'[1]ישיר מתוקן'!$P180</f>
        <v>431963</v>
      </c>
      <c r="E188" s="2">
        <f>'[1]ישיר מתוקן'!$R180</f>
        <v>376992</v>
      </c>
      <c r="F188" s="21">
        <f>-1*'[1]ישיר מתוקן'!$AK180</f>
        <v>-29364</v>
      </c>
      <c r="G188" s="21">
        <f>-1*'[1]ישיר מתוקן'!$AL180</f>
        <v>-11727</v>
      </c>
      <c r="H188" s="18">
        <v>23664</v>
      </c>
      <c r="I188" s="35">
        <f>[2]monthly!$AC287</f>
        <v>263.7</v>
      </c>
    </row>
    <row r="189" spans="1:9" ht="15.75" x14ac:dyDescent="0.25">
      <c r="A189" s="26">
        <v>40391</v>
      </c>
      <c r="B189" s="2">
        <f>'[1]ישיר מתוקן'!$G181</f>
        <v>667685</v>
      </c>
      <c r="C189" s="2">
        <f>'[1]ישיר מתוקן'!$N181</f>
        <v>5384</v>
      </c>
      <c r="D189" s="2">
        <f>'[1]ישיר מתוקן'!$P181</f>
        <v>281764</v>
      </c>
      <c r="E189" s="2">
        <f>'[1]ישיר מתוקן'!$R181</f>
        <v>380326</v>
      </c>
      <c r="F189" s="21">
        <f>-1*'[1]ישיר מתוקן'!$AK181</f>
        <v>-21500</v>
      </c>
      <c r="G189" s="21">
        <f>-1*'[1]ישיר מתוקן'!$AL181</f>
        <v>-8278</v>
      </c>
      <c r="H189" s="18">
        <v>22764</v>
      </c>
      <c r="I189" s="35">
        <f>[2]monthly!$AC288</f>
        <v>267.2</v>
      </c>
    </row>
    <row r="190" spans="1:9" ht="15.75" x14ac:dyDescent="0.25">
      <c r="A190" s="26">
        <v>40422</v>
      </c>
      <c r="B190" s="2">
        <f>'[1]ישיר מתוקן'!$G182</f>
        <v>504788</v>
      </c>
      <c r="C190" s="2">
        <f>'[1]ישיר מתוקן'!$N182</f>
        <v>2311</v>
      </c>
      <c r="D190" s="2">
        <f>'[1]ישיר מתוקן'!$P182</f>
        <v>198511</v>
      </c>
      <c r="E190" s="2">
        <f>'[1]ישיר מתוקן'!$R182</f>
        <v>304161</v>
      </c>
      <c r="F190" s="21">
        <f>-1*'[1]ישיר מתוקן'!$AK182</f>
        <v>-19333</v>
      </c>
      <c r="G190" s="21">
        <f>-1*'[1]ישיר מתוקן'!$AL182</f>
        <v>-6641</v>
      </c>
      <c r="H190" s="18">
        <v>26760</v>
      </c>
      <c r="I190" s="35">
        <f>[2]monthly!$AC289</f>
        <v>268.10000000000002</v>
      </c>
    </row>
    <row r="191" spans="1:9" ht="15.75" x14ac:dyDescent="0.25">
      <c r="A191" s="26">
        <v>40452</v>
      </c>
      <c r="B191" s="2">
        <f>'[1]ישיר מתוקן'!$G183</f>
        <v>569356</v>
      </c>
      <c r="C191" s="2">
        <f>'[1]ישיר מתוקן'!$N183</f>
        <v>2412</v>
      </c>
      <c r="D191" s="2">
        <f>'[1]ישיר מתוקן'!$P183</f>
        <v>205981</v>
      </c>
      <c r="E191" s="2">
        <f>'[1]ישיר מתוקן'!$R183</f>
        <v>362922</v>
      </c>
      <c r="F191" s="21">
        <f>-1*'[1]ישיר מתוקן'!$AK183</f>
        <v>-28562</v>
      </c>
      <c r="G191" s="21">
        <f>-1*'[1]ישיר מתוקן'!$AL183</f>
        <v>-10810</v>
      </c>
      <c r="H191" s="22">
        <v>29184</v>
      </c>
      <c r="I191" s="35">
        <f>[2]monthly!$AC290</f>
        <v>271.2</v>
      </c>
    </row>
    <row r="192" spans="1:9" ht="15.75" x14ac:dyDescent="0.25">
      <c r="A192" s="26">
        <v>40483</v>
      </c>
      <c r="B192" s="2">
        <f>'[1]ישיר מתוקן'!$G184</f>
        <v>548807</v>
      </c>
      <c r="C192" s="2">
        <f>'[1]ישיר מתוקן'!$N184</f>
        <v>7410</v>
      </c>
      <c r="D192" s="2">
        <f>'[1]ישיר מתוקן'!$P184</f>
        <v>199405</v>
      </c>
      <c r="E192" s="2">
        <f>'[1]ישיר מתוקן'!$R184</f>
        <v>337021</v>
      </c>
      <c r="F192" s="21">
        <f>-1*'[1]ישיר מתוקן'!$AK184</f>
        <v>-17706</v>
      </c>
      <c r="G192" s="21">
        <f>-1*'[1]ישיר מתוקן'!$AL184</f>
        <v>-7549</v>
      </c>
      <c r="H192" s="22">
        <v>29016</v>
      </c>
      <c r="I192" s="35">
        <f>[2]monthly!$AC291</f>
        <v>275.3</v>
      </c>
    </row>
    <row r="193" spans="1:9" ht="15.75" x14ac:dyDescent="0.25">
      <c r="A193" s="26">
        <v>40513</v>
      </c>
      <c r="B193" s="2">
        <f>'[1]ישיר מתוקן'!$G185</f>
        <v>638470</v>
      </c>
      <c r="C193" s="2">
        <f>'[1]ישיר מתוקן'!$N185</f>
        <v>6550</v>
      </c>
      <c r="D193" s="2">
        <f>'[1]ישיר מתוקן'!$P185</f>
        <v>244475</v>
      </c>
      <c r="E193" s="2">
        <f>'[1]ישיר מתוקן'!$R185</f>
        <v>392716</v>
      </c>
      <c r="F193" s="21">
        <f>-1*'[1]ישיר מתוקן'!$AK185</f>
        <v>-30021</v>
      </c>
      <c r="G193" s="21">
        <f>-1*'[1]ישיר מתוקן'!$AL185</f>
        <v>-10813</v>
      </c>
      <c r="H193" s="22">
        <v>29724</v>
      </c>
      <c r="I193" s="35">
        <f>[2]monthly!$AC292</f>
        <v>278.7</v>
      </c>
    </row>
    <row r="194" spans="1:9" ht="15.75" x14ac:dyDescent="0.25">
      <c r="A194" s="26">
        <v>40544</v>
      </c>
      <c r="B194" s="2">
        <f>'[1]ישיר מתוקן'!$G186</f>
        <v>699377</v>
      </c>
      <c r="C194" s="2">
        <f>'[1]ישיר מתוקן'!$N186</f>
        <v>6836</v>
      </c>
      <c r="D194" s="2">
        <f>'[1]ישיר מתוקן'!$P186</f>
        <v>273714</v>
      </c>
      <c r="E194" s="2">
        <f>'[1]ישיר מתוקן'!$R186</f>
        <v>419020</v>
      </c>
      <c r="F194" s="21">
        <f>-1*'[1]ישיר מתוקן'!$AK186</f>
        <v>-13151</v>
      </c>
      <c r="G194" s="21">
        <f>-1*'[1]ישיר מתוקן'!$AL186</f>
        <v>-7428</v>
      </c>
      <c r="H194" s="22">
        <v>25500</v>
      </c>
      <c r="I194" s="35">
        <f>[2]monthly!$AC293</f>
        <v>282</v>
      </c>
    </row>
    <row r="195" spans="1:9" ht="15.75" x14ac:dyDescent="0.25">
      <c r="A195" s="26">
        <v>40575</v>
      </c>
      <c r="B195" s="2">
        <f>'[1]ישיר מתוקן'!$G187</f>
        <v>677040</v>
      </c>
      <c r="C195" s="2">
        <f>'[1]ישיר מתוקן'!$N187</f>
        <v>26267</v>
      </c>
      <c r="D195" s="2">
        <f>'[1]ישיר מתוקן'!$P187</f>
        <v>244861</v>
      </c>
      <c r="E195" s="2">
        <f>'[1]ישיר מתוקן'!$R187</f>
        <v>405081</v>
      </c>
      <c r="F195" s="21">
        <f>-1*'[1]ישיר מתוקן'!$AK187</f>
        <v>-16505</v>
      </c>
      <c r="G195" s="21">
        <f>-1*'[1]ישיר מתוקן'!$AL187</f>
        <v>-8353</v>
      </c>
      <c r="H195" s="22">
        <v>25020</v>
      </c>
      <c r="I195" s="35">
        <f>[2]monthly!$AC294</f>
        <v>284.7</v>
      </c>
    </row>
    <row r="196" spans="1:9" ht="15.75" x14ac:dyDescent="0.25">
      <c r="A196" s="26">
        <v>40603</v>
      </c>
      <c r="B196" s="2">
        <f>'[1]ישיר מתוקן'!$G188</f>
        <v>694934</v>
      </c>
      <c r="C196" s="2">
        <f>'[1]ישיר מתוקן'!$N188</f>
        <v>3842</v>
      </c>
      <c r="D196" s="2">
        <f>'[1]ישיר מתוקן'!$P188</f>
        <v>321486</v>
      </c>
      <c r="E196" s="2">
        <f>'[1]ישיר מתוקן'!$R188</f>
        <v>367868</v>
      </c>
      <c r="F196" s="21">
        <f>-1*'[1]ישיר מתוקן'!$AK188</f>
        <v>-18159</v>
      </c>
      <c r="G196" s="21">
        <f>-1*'[1]ישיר מתוקן'!$AL188</f>
        <v>-8273</v>
      </c>
      <c r="H196" s="22">
        <v>24324</v>
      </c>
      <c r="I196" s="35">
        <f>[2]monthly!$AC295</f>
        <v>288.3</v>
      </c>
    </row>
    <row r="197" spans="1:9" ht="15.75" x14ac:dyDescent="0.25">
      <c r="A197" s="26">
        <v>40634</v>
      </c>
      <c r="B197" s="2">
        <f>'[1]ישיר מתוקן'!$G189</f>
        <v>613566</v>
      </c>
      <c r="C197" s="2">
        <f>'[1]ישיר מתוקן'!$N189</f>
        <v>7102</v>
      </c>
      <c r="D197" s="2">
        <f>'[1]ישיר מתוקן'!$P189</f>
        <v>221431</v>
      </c>
      <c r="E197" s="2">
        <f>'[1]ישיר מתוקן'!$R189</f>
        <v>386262</v>
      </c>
      <c r="F197" s="21">
        <f>-1*'[1]ישיר מתוקן'!$AK189</f>
        <v>-15607</v>
      </c>
      <c r="G197" s="21">
        <f>-1*'[1]ישיר מתוקן'!$AL189</f>
        <v>-11813</v>
      </c>
      <c r="H197" s="22">
        <v>20292</v>
      </c>
      <c r="I197" s="35">
        <f>[2]monthly!$AC296</f>
        <v>290</v>
      </c>
    </row>
    <row r="198" spans="1:9" ht="15.75" x14ac:dyDescent="0.25">
      <c r="A198" s="26">
        <v>40664</v>
      </c>
      <c r="B198" s="2">
        <f>'[1]ישיר מתוקן'!$G190</f>
        <v>756918</v>
      </c>
      <c r="C198" s="2">
        <f>'[1]ישיר מתוקן'!$N190</f>
        <v>5088</v>
      </c>
      <c r="D198" s="2">
        <f>'[1]ישיר מתוקן'!$P190</f>
        <v>348888</v>
      </c>
      <c r="E198" s="2">
        <f>'[1]ישיר מתוקן'!$R190</f>
        <v>403646</v>
      </c>
      <c r="F198" s="21">
        <f>-1*'[1]ישיר מתוקן'!$AK190</f>
        <v>-21142</v>
      </c>
      <c r="G198" s="21">
        <f>-1*'[1]ישיר מתוקן'!$AL190</f>
        <v>-10710</v>
      </c>
      <c r="H198" s="22">
        <v>19488</v>
      </c>
      <c r="I198" s="35">
        <f>[2]monthly!$AC297</f>
        <v>291.60000000000002</v>
      </c>
    </row>
    <row r="199" spans="1:9" ht="15.75" x14ac:dyDescent="0.25">
      <c r="A199" s="26">
        <v>40695</v>
      </c>
      <c r="B199" s="2">
        <f>'[1]ישיר מתוקן'!$G191</f>
        <v>722379</v>
      </c>
      <c r="C199" s="2">
        <f>'[1]ישיר מתוקן'!$N191</f>
        <v>4917</v>
      </c>
      <c r="D199" s="2">
        <f>'[1]ישיר מתוקן'!$P191</f>
        <v>328020</v>
      </c>
      <c r="E199" s="2">
        <f>'[1]ישיר מתוקן'!$R191</f>
        <v>387001</v>
      </c>
      <c r="F199" s="21">
        <f>-1*'[1]ישיר מתוקן'!$AK191</f>
        <v>-12490</v>
      </c>
      <c r="G199" s="21">
        <f>-1*'[1]ישיר מתוקן'!$AL191</f>
        <v>-8847</v>
      </c>
      <c r="H199" s="22">
        <v>16272</v>
      </c>
      <c r="I199" s="35">
        <f>[2]monthly!$AC298</f>
        <v>293.8</v>
      </c>
    </row>
    <row r="200" spans="1:9" ht="15.75" x14ac:dyDescent="0.25">
      <c r="A200" s="26">
        <v>40725</v>
      </c>
      <c r="B200" s="2">
        <f>'[1]ישיר מתוקן'!$G192</f>
        <v>763230</v>
      </c>
      <c r="C200" s="2">
        <f>'[1]ישיר מתוקן'!$N192</f>
        <v>8375</v>
      </c>
      <c r="D200" s="2">
        <f>'[1]ישיר מתוקן'!$P192</f>
        <v>347979</v>
      </c>
      <c r="E200" s="2">
        <f>'[1]ישיר מתוקן'!$R192</f>
        <v>406721</v>
      </c>
      <c r="F200" s="21">
        <f>-1*'[1]ישיר מתוקן'!$AK192</f>
        <v>-29081</v>
      </c>
      <c r="G200" s="21">
        <f>-1*'[1]ישיר מתוקן'!$AL192</f>
        <v>-10538</v>
      </c>
      <c r="H200" s="22">
        <v>16116</v>
      </c>
      <c r="I200" s="35">
        <f>[2]monthly!$AC299</f>
        <v>294.39999999999998</v>
      </c>
    </row>
    <row r="201" spans="1:9" ht="15.75" x14ac:dyDescent="0.25">
      <c r="A201" s="26">
        <v>40756</v>
      </c>
      <c r="B201" s="2">
        <f>'[1]ישיר מתוקן'!$G193</f>
        <v>698976</v>
      </c>
      <c r="C201" s="2">
        <f>'[1]ישיר מתוקן'!$N193</f>
        <v>7880</v>
      </c>
      <c r="D201" s="2">
        <f>'[1]ישיר מתוקן'!$P193</f>
        <v>333944</v>
      </c>
      <c r="E201" s="2">
        <f>'[1]ישיר מתוקן'!$R193</f>
        <v>358023</v>
      </c>
      <c r="F201" s="21">
        <f>-1*'[1]ישיר מתוקן'!$AK193</f>
        <v>-33274</v>
      </c>
      <c r="G201" s="21">
        <f>-1*'[1]ישיר מתוקן'!$AL193</f>
        <v>-16814</v>
      </c>
      <c r="H201" s="22">
        <v>13260</v>
      </c>
      <c r="I201" s="35">
        <f>[2]monthly!$AC300</f>
        <v>293.39999999999998</v>
      </c>
    </row>
    <row r="202" spans="1:9" ht="15.75" x14ac:dyDescent="0.25">
      <c r="A202" s="26">
        <v>40787</v>
      </c>
      <c r="B202" s="2">
        <f>'[1]ישיר מתוקן'!$G194</f>
        <v>548133</v>
      </c>
      <c r="C202" s="2">
        <f>'[1]ישיר מתוקן'!$N194</f>
        <v>1948</v>
      </c>
      <c r="D202" s="2">
        <f>'[1]ישיר מתוקן'!$P194</f>
        <v>232848</v>
      </c>
      <c r="E202" s="2">
        <f>'[1]ישיר מתוקן'!$R194</f>
        <v>313159</v>
      </c>
      <c r="F202" s="21">
        <f>-1*'[1]ישיר מתוקן'!$AK194</f>
        <v>-24831</v>
      </c>
      <c r="G202" s="21">
        <f>-1*'[1]ישיר מתוקן'!$AL194</f>
        <v>-7407</v>
      </c>
      <c r="H202" s="22">
        <v>12144</v>
      </c>
      <c r="I202" s="35">
        <f>[2]monthly!$AC301</f>
        <v>290.7</v>
      </c>
    </row>
    <row r="203" spans="1:9" ht="15.75" x14ac:dyDescent="0.25">
      <c r="A203" s="26">
        <v>40817</v>
      </c>
      <c r="B203" s="2">
        <f>'[1]ישיר מתוקן'!$G195</f>
        <v>489422</v>
      </c>
      <c r="C203" s="2">
        <f>'[1]ישיר מתוקן'!$N195</f>
        <v>5055</v>
      </c>
      <c r="D203" s="2">
        <f>'[1]ישיר מתוקן'!$P195</f>
        <v>205176</v>
      </c>
      <c r="E203" s="2">
        <f>'[1]ישיר מתוקן'!$R195</f>
        <v>275553</v>
      </c>
      <c r="F203" s="21">
        <f>-1*'[1]ישיר מתוקן'!$AK195</f>
        <v>-34795</v>
      </c>
      <c r="G203" s="21">
        <f>-1*'[1]ישיר מתוקן'!$AL195</f>
        <v>-12615</v>
      </c>
      <c r="H203" s="22">
        <v>12924</v>
      </c>
      <c r="I203" s="35">
        <f>[2]monthly!$AC302</f>
        <v>289.60000000000002</v>
      </c>
    </row>
    <row r="204" spans="1:9" ht="15.75" x14ac:dyDescent="0.25">
      <c r="A204" s="26">
        <v>40848</v>
      </c>
      <c r="B204" s="2">
        <f>'[1]ישיר מתוקן'!$G196</f>
        <v>481457</v>
      </c>
      <c r="C204" s="2">
        <f>'[1]ישיר מתוקן'!$N196</f>
        <v>3529</v>
      </c>
      <c r="D204" s="2">
        <f>'[1]ישיר מתוקן'!$P196</f>
        <v>199697</v>
      </c>
      <c r="E204" s="2">
        <f>'[1]ישיר מתוקן'!$R196</f>
        <v>278962</v>
      </c>
      <c r="F204" s="21">
        <f>-1*'[1]ישיר מתוקן'!$AK196</f>
        <v>-30193</v>
      </c>
      <c r="G204" s="21">
        <f>-1*'[1]ישיר מתוקן'!$AL196</f>
        <v>-10252</v>
      </c>
      <c r="H204" s="22">
        <v>14352</v>
      </c>
      <c r="I204" s="35">
        <f>[2]monthly!$AC303</f>
        <v>290.10000000000002</v>
      </c>
    </row>
    <row r="205" spans="1:9" ht="15.75" x14ac:dyDescent="0.25">
      <c r="A205" s="26">
        <v>40878</v>
      </c>
      <c r="B205" s="2">
        <f>'[1]ישיר מתוקן'!$G197</f>
        <v>570913</v>
      </c>
      <c r="C205" s="2">
        <f>'[1]ישיר מתוקן'!$N197</f>
        <v>6256</v>
      </c>
      <c r="D205" s="2">
        <f>'[1]ישיר מתוקן'!$P197</f>
        <v>298659</v>
      </c>
      <c r="E205" s="2">
        <f>'[1]ישיר מתוקן'!$R197</f>
        <v>262960</v>
      </c>
      <c r="F205" s="21">
        <f>-1*'[1]ישיר מתוקן'!$AK197</f>
        <v>-19630</v>
      </c>
      <c r="G205" s="21">
        <f>-1*'[1]ישיר מתוקן'!$AL197</f>
        <v>-11749</v>
      </c>
      <c r="H205" s="22">
        <v>15396</v>
      </c>
      <c r="I205" s="35">
        <f>[2]monthly!$AC304</f>
        <v>289.8</v>
      </c>
    </row>
    <row r="206" spans="1:9" ht="15.75" x14ac:dyDescent="0.25">
      <c r="A206" s="26">
        <v>40909</v>
      </c>
      <c r="B206" s="2">
        <f>'[1]ישיר מתוקן'!$G198</f>
        <v>519040</v>
      </c>
      <c r="C206" s="2">
        <f>'[1]ישיר מתוקן'!$N198</f>
        <v>4228</v>
      </c>
      <c r="D206" s="2">
        <f>'[1]ישיר מתוקן'!$P198</f>
        <v>220740</v>
      </c>
      <c r="E206" s="2">
        <f>'[1]ישיר מתוקן'!$R198</f>
        <v>293669</v>
      </c>
      <c r="F206" s="21">
        <f>-1*'[1]ישיר מתוקן'!$AK198</f>
        <v>-66257</v>
      </c>
      <c r="G206" s="21">
        <f>-1*'[1]ישיר מתוקן'!$AL198</f>
        <v>-17427</v>
      </c>
      <c r="H206" s="22">
        <v>16428</v>
      </c>
      <c r="I206" s="35">
        <f>[2]monthly!$AC305</f>
        <v>290.10000000000002</v>
      </c>
    </row>
    <row r="207" spans="1:9" ht="15.75" x14ac:dyDescent="0.25">
      <c r="A207" s="26">
        <v>40940</v>
      </c>
      <c r="B207" s="2">
        <f>'[1]ישיר מתוקן'!$G199</f>
        <v>598374</v>
      </c>
      <c r="C207" s="2">
        <f>'[1]ישיר מתוקן'!$N199</f>
        <v>3852</v>
      </c>
      <c r="D207" s="2">
        <f>'[1]ישיר מתוקן'!$P199</f>
        <v>283570</v>
      </c>
      <c r="E207" s="2">
        <f>'[1]ישיר מתוקן'!$R199</f>
        <v>310025</v>
      </c>
      <c r="F207" s="21">
        <f>-1*'[1]ישיר מתוקן'!$AK199</f>
        <v>-36443</v>
      </c>
      <c r="G207" s="21">
        <f>-1*'[1]ישיר מתוקן'!$AL199</f>
        <v>-11033</v>
      </c>
      <c r="H207" s="22">
        <v>19344</v>
      </c>
      <c r="I207" s="35">
        <f>[2]monthly!$AC306</f>
        <v>290.5</v>
      </c>
    </row>
    <row r="208" spans="1:9" ht="15.75" x14ac:dyDescent="0.25">
      <c r="A208" s="26">
        <v>40969</v>
      </c>
      <c r="B208" s="2">
        <f>'[1]ישיר מתוקן'!$G200</f>
        <v>511060</v>
      </c>
      <c r="C208" s="2">
        <f>'[1]ישיר מתוקן'!$N200</f>
        <v>3908</v>
      </c>
      <c r="D208" s="2">
        <f>'[1]ישיר מתוקן'!$P200</f>
        <v>200080</v>
      </c>
      <c r="E208" s="2">
        <f>'[1]ישיר מתוקן'!$R200</f>
        <v>305989</v>
      </c>
      <c r="F208" s="21">
        <f>-1*'[1]ישיר מתוקן'!$AK200</f>
        <v>-62656</v>
      </c>
      <c r="G208" s="21">
        <f>-1*'[1]ישיר מתוקן'!$AL200</f>
        <v>-19834</v>
      </c>
      <c r="H208" s="22">
        <v>17556</v>
      </c>
      <c r="I208" s="35">
        <f>[2]monthly!$AC307</f>
        <v>293.39999999999998</v>
      </c>
    </row>
    <row r="209" spans="1:9" ht="15.75" x14ac:dyDescent="0.25">
      <c r="A209" s="26">
        <v>41000</v>
      </c>
      <c r="B209" s="2">
        <f>'[1]ישיר מתוקן'!$G201</f>
        <v>424388</v>
      </c>
      <c r="C209" s="2">
        <f>'[1]ישיר מתוקן'!$N201</f>
        <v>12952</v>
      </c>
      <c r="D209" s="2">
        <f>'[1]ישיר מתוקן'!$P201</f>
        <v>149745</v>
      </c>
      <c r="E209" s="2">
        <f>'[1]ישיר מתוקן'!$R201</f>
        <v>262004</v>
      </c>
      <c r="F209" s="21">
        <f>-1*'[1]ישיר מתוקן'!$AK201</f>
        <v>-32942</v>
      </c>
      <c r="G209" s="21">
        <f>-1*'[1]ישיר מתוקן'!$AL201</f>
        <v>-12232</v>
      </c>
      <c r="H209" s="22">
        <v>21972</v>
      </c>
      <c r="I209" s="35">
        <f>[2]monthly!$AC308</f>
        <v>294.60000000000002</v>
      </c>
    </row>
    <row r="210" spans="1:9" ht="15.75" x14ac:dyDescent="0.25">
      <c r="A210" s="26">
        <v>41030</v>
      </c>
      <c r="B210" s="2">
        <f>'[1]ישיר מתוקן'!$G202</f>
        <v>668342</v>
      </c>
      <c r="C210" s="2">
        <f>'[1]ישיר מתוקן'!$N202</f>
        <v>4672</v>
      </c>
      <c r="D210" s="2">
        <f>'[1]ישיר מתוקן'!$P202</f>
        <v>294297</v>
      </c>
      <c r="E210" s="2">
        <f>'[1]ישיר מתוקן'!$R202</f>
        <v>369838</v>
      </c>
      <c r="F210" s="21">
        <f>-1*'[1]ישיר מתוקן'!$AK202</f>
        <v>-20392</v>
      </c>
      <c r="G210" s="21">
        <f>-1*'[1]ישיר מתוקן'!$AL202</f>
        <v>-12260</v>
      </c>
      <c r="H210" s="22">
        <v>20892</v>
      </c>
      <c r="I210" s="35">
        <f>[2]monthly!$AC309</f>
        <v>294.39999999999998</v>
      </c>
    </row>
    <row r="211" spans="1:9" ht="15.75" x14ac:dyDescent="0.25">
      <c r="A211" s="26">
        <v>41061</v>
      </c>
      <c r="B211" s="2">
        <f>'[1]ישיר מתוקן'!$G203</f>
        <v>499013</v>
      </c>
      <c r="C211" s="2">
        <f>'[1]ישיר מתוקן'!$N203</f>
        <v>3775</v>
      </c>
      <c r="D211" s="2">
        <f>'[1]ישיר מתוקן'!$P203</f>
        <v>212336</v>
      </c>
      <c r="E211" s="2">
        <f>'[1]ישיר מתוקן'!$R203</f>
        <v>285897</v>
      </c>
      <c r="F211" s="21">
        <f>-1*'[1]ישיר מתוקן'!$AK203</f>
        <v>-47594</v>
      </c>
      <c r="G211" s="21">
        <f>-1*'[1]ישיר מתוקן'!$AL203</f>
        <v>-10127</v>
      </c>
      <c r="H211" s="22">
        <v>20988</v>
      </c>
      <c r="I211" s="35">
        <f>[2]monthly!$AC310</f>
        <v>296.2</v>
      </c>
    </row>
    <row r="212" spans="1:9" ht="15.75" x14ac:dyDescent="0.25">
      <c r="A212" s="26">
        <v>41091</v>
      </c>
      <c r="B212" s="2">
        <f>'[1]ישיר מתוקן'!$G204</f>
        <v>609094</v>
      </c>
      <c r="C212" s="2">
        <f>'[1]ישיר מתוקן'!$N204</f>
        <v>7018</v>
      </c>
      <c r="D212" s="2">
        <f>'[1]ישיר מתוקן'!$P204</f>
        <v>201691</v>
      </c>
      <c r="E212" s="2">
        <f>'[1]ישיר מתוקן'!$R204</f>
        <v>402701</v>
      </c>
      <c r="F212" s="21">
        <f>-1*'[1]ישיר מתוקן'!$AK204</f>
        <v>-43461</v>
      </c>
      <c r="G212" s="21">
        <f>-1*'[1]ישיר מתוקן'!$AL204</f>
        <v>-26912</v>
      </c>
      <c r="H212" s="22">
        <v>23772</v>
      </c>
      <c r="I212" s="35">
        <f>[2]monthly!$AC311</f>
        <v>298.3</v>
      </c>
    </row>
    <row r="213" spans="1:9" ht="15.75" x14ac:dyDescent="0.25">
      <c r="A213" s="26">
        <v>41122</v>
      </c>
      <c r="B213" s="2">
        <f>'[1]ישיר מתוקן'!$G205</f>
        <v>573684</v>
      </c>
      <c r="C213" s="2">
        <f>'[1]ישיר מתוקן'!$N205</f>
        <v>3925</v>
      </c>
      <c r="D213" s="2">
        <f>'[1]ישיר מתוקן'!$P205</f>
        <v>205080</v>
      </c>
      <c r="E213" s="2">
        <f>'[1]ישיר מתוקן'!$R205</f>
        <v>365118</v>
      </c>
      <c r="F213" s="21">
        <f>-1*'[1]ישיר מתוקן'!$AK205</f>
        <v>-37677</v>
      </c>
      <c r="G213" s="21">
        <f>-1*'[1]ישיר מתוקן'!$AL205</f>
        <v>-16893</v>
      </c>
      <c r="H213" s="22">
        <v>32928</v>
      </c>
      <c r="I213" s="35">
        <f>[2]monthly!$AC312</f>
        <v>300.39999999999998</v>
      </c>
    </row>
    <row r="214" spans="1:9" ht="15.75" x14ac:dyDescent="0.25">
      <c r="A214" s="26">
        <v>41153</v>
      </c>
      <c r="B214" s="2">
        <f>'[1]ישיר מתוקן'!$G206</f>
        <v>512357</v>
      </c>
      <c r="C214" s="2">
        <f>'[1]ישיר מתוקן'!$N206</f>
        <v>3078</v>
      </c>
      <c r="D214" s="2">
        <f>'[1]ישיר מתוקן'!$P206</f>
        <v>217429</v>
      </c>
      <c r="E214" s="2">
        <f>'[1]ישיר מתוקן'!$R206</f>
        <v>298184</v>
      </c>
      <c r="F214" s="21">
        <f>-1*'[1]ישיר מתוקן'!$AK206</f>
        <v>-23002</v>
      </c>
      <c r="G214" s="21">
        <f>-1*'[1]ישיר מתוקן'!$AL206</f>
        <v>-9361</v>
      </c>
      <c r="H214" s="22">
        <v>20964</v>
      </c>
      <c r="I214" s="35">
        <f>[2]monthly!$AC313</f>
        <v>302.60000000000002</v>
      </c>
    </row>
    <row r="215" spans="1:9" ht="15.75" x14ac:dyDescent="0.25">
      <c r="A215" s="26">
        <v>41183</v>
      </c>
      <c r="B215" s="2">
        <f>'[1]ישיר מתוקן'!$G207</f>
        <v>543799</v>
      </c>
      <c r="C215" s="2">
        <f>'[1]ישיר מתוקן'!$N207</f>
        <v>2027</v>
      </c>
      <c r="D215" s="2">
        <f>'[1]ישיר מתוקן'!$P207</f>
        <v>201260</v>
      </c>
      <c r="E215" s="2">
        <f>'[1]ישיר מתוקן'!$R207</f>
        <v>341495</v>
      </c>
      <c r="F215" s="21">
        <f>-1*'[1]ישיר מתוקן'!$AK207</f>
        <v>-44284</v>
      </c>
      <c r="G215" s="21">
        <f>-1*'[1]ישיר מתוקן'!$AL207</f>
        <v>-11232</v>
      </c>
      <c r="H215" s="22">
        <v>23796</v>
      </c>
      <c r="I215" s="35">
        <f>[2]monthly!$AC314</f>
        <v>305.8</v>
      </c>
    </row>
    <row r="216" spans="1:9" ht="15.75" x14ac:dyDescent="0.25">
      <c r="A216" s="26">
        <v>41214</v>
      </c>
      <c r="B216" s="2">
        <f>'[1]ישיר מתוקן'!$G208</f>
        <v>538449</v>
      </c>
      <c r="C216" s="2">
        <f>'[1]ישיר מתוקן'!$N208</f>
        <v>4950</v>
      </c>
      <c r="D216" s="2">
        <f>'[1]ישיר מתוקן'!$P208</f>
        <v>192394</v>
      </c>
      <c r="E216" s="2">
        <f>'[1]ישיר מתוקן'!$R208</f>
        <v>341934</v>
      </c>
      <c r="F216" s="21">
        <f>-1*'[1]ישיר מתוקן'!$AK208</f>
        <v>-32734</v>
      </c>
      <c r="G216" s="21">
        <f>-1*'[1]ישיר מתוקן'!$AL208</f>
        <v>-14411</v>
      </c>
      <c r="H216" s="22">
        <v>24312</v>
      </c>
      <c r="I216" s="35">
        <f>[2]monthly!$AC315</f>
        <v>309.7</v>
      </c>
    </row>
    <row r="217" spans="1:9" ht="15.75" x14ac:dyDescent="0.25">
      <c r="A217" s="26">
        <v>41244</v>
      </c>
      <c r="B217" s="2">
        <f>'[1]ישיר מתוקן'!$G209</f>
        <v>553864</v>
      </c>
      <c r="C217" s="2">
        <f>'[1]ישיר מתוקן'!$N209</f>
        <v>4842</v>
      </c>
      <c r="D217" s="2">
        <f>'[1]ישיר מתוקן'!$P209</f>
        <v>214462</v>
      </c>
      <c r="E217" s="2">
        <f>'[1]ישיר מתוקן'!$R209</f>
        <v>338889</v>
      </c>
      <c r="F217" s="21">
        <f>-1*'[1]ישיר מתוקן'!$AK209</f>
        <v>-30963</v>
      </c>
      <c r="G217" s="21">
        <f>-1*'[1]ישיר מתוקן'!$AL209</f>
        <v>-10186</v>
      </c>
      <c r="H217" s="22">
        <v>23520</v>
      </c>
      <c r="I217" s="35">
        <f>[2]monthly!$AC316</f>
        <v>315</v>
      </c>
    </row>
    <row r="218" spans="1:9" ht="15.75" x14ac:dyDescent="0.25">
      <c r="A218" s="26">
        <v>41275</v>
      </c>
      <c r="B218" s="2">
        <f>'[1]ישיר מתוקן'!$G210</f>
        <v>671898</v>
      </c>
      <c r="C218" s="2">
        <f>'[1]ישיר מתוקן'!$N210</f>
        <v>6457</v>
      </c>
      <c r="D218" s="2">
        <f>'[1]ישיר מתוקן'!$P210</f>
        <v>262022</v>
      </c>
      <c r="E218" s="2">
        <f>'[1]ישיר מתוקן'!$R210</f>
        <v>406084</v>
      </c>
      <c r="F218" s="21">
        <f>-1*'[1]ישיר מתוקן'!$AK210</f>
        <v>-36852</v>
      </c>
      <c r="G218" s="21">
        <f>-1*'[1]ישיר מתוקן'!$AL210</f>
        <v>-16330</v>
      </c>
      <c r="H218" s="22">
        <v>22632</v>
      </c>
      <c r="I218" s="35">
        <f>[2]monthly!$AC317</f>
        <v>319</v>
      </c>
    </row>
    <row r="219" spans="1:9" ht="15.75" x14ac:dyDescent="0.25">
      <c r="A219" s="26">
        <v>41306</v>
      </c>
      <c r="B219" s="2">
        <f>'[1]ישיר מתוקן'!$G211</f>
        <v>688557</v>
      </c>
      <c r="C219" s="2">
        <f>'[1]ישיר מתוקן'!$N211</f>
        <v>4913</v>
      </c>
      <c r="D219" s="2">
        <f>'[1]ישיר מתוקן'!$P211</f>
        <v>284410</v>
      </c>
      <c r="E219" s="2">
        <f>'[1]ישיר מתוקן'!$R211</f>
        <v>400424</v>
      </c>
      <c r="F219" s="21">
        <f>-1*'[1]ישיר מתוקן'!$AK211</f>
        <v>-36214</v>
      </c>
      <c r="G219" s="21">
        <f>-1*'[1]ישיר מתוקן'!$AL211</f>
        <v>-14773</v>
      </c>
      <c r="H219" s="22">
        <v>20736</v>
      </c>
      <c r="I219" s="35">
        <f>[2]monthly!$AC318</f>
        <v>319.7</v>
      </c>
    </row>
    <row r="220" spans="1:9" ht="15.75" x14ac:dyDescent="0.25">
      <c r="A220" s="26">
        <v>41334</v>
      </c>
      <c r="B220" s="2">
        <f>'[1]ישיר מתוקן'!$G212</f>
        <v>592429</v>
      </c>
      <c r="C220" s="2">
        <f>'[1]ישיר מתוקן'!$N212</f>
        <v>4028</v>
      </c>
      <c r="D220" s="2">
        <f>'[1]ישיר מתוקן'!$P212</f>
        <v>220703</v>
      </c>
      <c r="E220" s="2">
        <f>'[1]ישיר מתוקן'!$R212</f>
        <v>366845</v>
      </c>
      <c r="F220" s="21">
        <f>-1*'[1]ישיר מתוקן'!$AK212</f>
        <v>-30067</v>
      </c>
      <c r="G220" s="21">
        <f>-1*'[1]ישיר מתוקן'!$AL212</f>
        <v>-14066</v>
      </c>
      <c r="H220" s="22">
        <v>23220</v>
      </c>
      <c r="I220" s="35">
        <f>[2]monthly!$AC319</f>
        <v>320</v>
      </c>
    </row>
    <row r="221" spans="1:9" ht="15.75" x14ac:dyDescent="0.25">
      <c r="A221" s="26">
        <v>41365</v>
      </c>
      <c r="B221" s="2">
        <f>'[1]ישיר מתוקן'!$G213</f>
        <v>711213</v>
      </c>
      <c r="C221" s="2">
        <f>'[1]ישיר מתוקן'!$N213</f>
        <v>6666</v>
      </c>
      <c r="D221" s="2">
        <f>'[1]ישיר מתוקן'!$P213</f>
        <v>308598</v>
      </c>
      <c r="E221" s="2">
        <f>'[1]ישיר מתוקן'!$R213</f>
        <v>394591</v>
      </c>
      <c r="F221" s="21">
        <f>-1*'[1]ישיר מתוקן'!$AK213</f>
        <v>-45853</v>
      </c>
      <c r="G221" s="21">
        <f>-1*'[1]ישיר מתוקן'!$AL213</f>
        <v>-16378</v>
      </c>
      <c r="H221" s="22">
        <v>26664</v>
      </c>
      <c r="I221" s="35">
        <f>[2]monthly!$AC320</f>
        <v>319.5</v>
      </c>
    </row>
    <row r="222" spans="1:9" ht="15.75" x14ac:dyDescent="0.25">
      <c r="A222" s="26">
        <v>41395</v>
      </c>
      <c r="B222" s="2">
        <f>'[1]ישיר מתוקן'!$G214</f>
        <v>727464</v>
      </c>
      <c r="C222" s="2">
        <f>'[1]ישיר מתוקן'!$N214</f>
        <v>6666</v>
      </c>
      <c r="D222" s="2">
        <f>'[1]ישיר מתוקן'!$P214</f>
        <v>269864</v>
      </c>
      <c r="E222" s="2">
        <f>'[1]ישיר מתוקן'!$R214</f>
        <v>451413</v>
      </c>
      <c r="F222" s="21">
        <f>-1*'[1]ישיר מתוקן'!$AK214</f>
        <v>-41472</v>
      </c>
      <c r="G222" s="21">
        <f>-1*'[1]ישיר מתוקן'!$AL214</f>
        <v>-17193</v>
      </c>
      <c r="H222" s="22">
        <v>31212</v>
      </c>
      <c r="I222" s="35">
        <f>[2]monthly!$AC321</f>
        <v>322.60000000000002</v>
      </c>
    </row>
    <row r="223" spans="1:9" ht="15.75" x14ac:dyDescent="0.25">
      <c r="A223" s="26">
        <v>41426</v>
      </c>
      <c r="B223" s="2">
        <f>'[1]ישיר מתוקן'!$G215</f>
        <v>673104</v>
      </c>
      <c r="C223" s="2">
        <f>'[1]ישיר מתוקן'!$N215</f>
        <v>5608</v>
      </c>
      <c r="D223" s="2">
        <f>'[1]ישיר מתוקן'!$P215</f>
        <v>269128</v>
      </c>
      <c r="E223" s="2">
        <f>'[1]ישיר מתוקן'!$R215</f>
        <v>400721</v>
      </c>
      <c r="F223" s="21">
        <f>-1*'[1]ישיר מתוקן'!$AK215</f>
        <v>-54846</v>
      </c>
      <c r="G223" s="21">
        <f>-1*'[1]ישיר מתוקן'!$AL215</f>
        <v>-13375</v>
      </c>
      <c r="H223" s="22">
        <v>29028</v>
      </c>
      <c r="I223" s="35">
        <f>[2]monthly!$AC322</f>
        <v>326.3</v>
      </c>
    </row>
    <row r="224" spans="1:9" ht="15.75" x14ac:dyDescent="0.25">
      <c r="A224" s="26">
        <v>41456</v>
      </c>
      <c r="B224" s="2">
        <f>'[1]ישיר מתוקן'!$G216</f>
        <v>713093</v>
      </c>
      <c r="C224" s="2">
        <f>'[1]ישיר מתוקן'!$N216</f>
        <v>8658</v>
      </c>
      <c r="D224" s="2">
        <f>'[1]ישיר מתוקן'!$P216</f>
        <v>236784</v>
      </c>
      <c r="E224" s="2">
        <f>'[1]ישיר מתוקן'!$R216</f>
        <v>466736</v>
      </c>
      <c r="F224" s="21">
        <f>-1*'[1]ישיר מתוקן'!$AK216</f>
        <v>-46187</v>
      </c>
      <c r="G224" s="21">
        <f>-1*'[1]ישיר מתוקן'!$AL216</f>
        <v>-16976</v>
      </c>
      <c r="H224" s="22">
        <v>28128</v>
      </c>
      <c r="I224" s="35">
        <f>[2]monthly!$AC323</f>
        <v>328.4</v>
      </c>
    </row>
    <row r="225" spans="1:9" ht="15.75" x14ac:dyDescent="0.25">
      <c r="A225" s="26">
        <v>41487</v>
      </c>
      <c r="B225" s="2">
        <f>'[1]ישיר מתוקן'!$G217</f>
        <v>653135</v>
      </c>
      <c r="C225" s="2">
        <f>'[1]ישיר מתוקן'!$N217</f>
        <v>3648</v>
      </c>
      <c r="D225" s="2">
        <f>'[1]ישיר מתוקן'!$P217</f>
        <v>286885</v>
      </c>
      <c r="E225" s="2">
        <f>'[1]ישיר מתוקן'!$R217</f>
        <v>364428</v>
      </c>
      <c r="F225" s="21">
        <f>-1*'[1]ישיר מתוקן'!$AK217</f>
        <v>-44892</v>
      </c>
      <c r="G225" s="21">
        <f>-1*'[1]ישיר מתוקן'!$AL217</f>
        <v>-14408</v>
      </c>
      <c r="H225" s="22">
        <v>29040</v>
      </c>
      <c r="I225" s="35">
        <f>[2]monthly!$AC324</f>
        <v>330</v>
      </c>
    </row>
    <row r="226" spans="1:9" ht="15.75" x14ac:dyDescent="0.25">
      <c r="A226" s="26">
        <v>41518</v>
      </c>
      <c r="B226" s="2">
        <f>'[1]ישיר מתוקן'!$G218</f>
        <v>542322</v>
      </c>
      <c r="C226" s="2">
        <f>'[1]ישיר מתוקן'!$N218</f>
        <v>6276</v>
      </c>
      <c r="D226" s="2">
        <f>'[1]ישיר מתוקן'!$P218</f>
        <v>218883</v>
      </c>
      <c r="E226" s="2">
        <f>'[1]ישיר מתוקן'!$R218</f>
        <v>319449</v>
      </c>
      <c r="F226" s="21">
        <f>-1*'[1]ישיר מתוקן'!$AK218</f>
        <v>-17600</v>
      </c>
      <c r="G226" s="21">
        <f>-1*'[1]ישיר מתוקן'!$AL218</f>
        <v>-4196</v>
      </c>
      <c r="H226" s="22">
        <v>27420</v>
      </c>
      <c r="I226" s="35">
        <f>[2]monthly!$AC325</f>
        <v>328.5</v>
      </c>
    </row>
    <row r="227" spans="1:9" ht="15.75" x14ac:dyDescent="0.25">
      <c r="A227" s="26">
        <v>41548</v>
      </c>
      <c r="B227" s="2">
        <f>'[1]ישיר מתוקן'!$G219</f>
        <v>594479</v>
      </c>
      <c r="C227" s="2">
        <f>'[1]ישיר מתוקן'!$N219</f>
        <v>4230</v>
      </c>
      <c r="D227" s="2">
        <f>'[1]ישיר מתוקן'!$P219</f>
        <v>207384</v>
      </c>
      <c r="E227" s="2">
        <f>'[1]ישיר מתוקן'!$R219</f>
        <v>387256</v>
      </c>
      <c r="F227" s="21">
        <f>-1*'[1]ישיר מתוקן'!$AK219</f>
        <v>-34575</v>
      </c>
      <c r="G227" s="21">
        <f>-1*'[1]ישיר מתוקן'!$AL219</f>
        <v>-17558</v>
      </c>
      <c r="H227" s="22">
        <v>25548</v>
      </c>
      <c r="I227" s="35">
        <f>[2]monthly!$AC326</f>
        <v>329.9</v>
      </c>
    </row>
    <row r="228" spans="1:9" ht="15.75" x14ac:dyDescent="0.25">
      <c r="A228" s="26">
        <v>41579</v>
      </c>
      <c r="B228" s="2">
        <f>'[1]ישיר מתוקן'!$G220</f>
        <v>549118</v>
      </c>
      <c r="C228" s="2">
        <f>'[1]ישיר מתוקן'!$N220</f>
        <v>3815</v>
      </c>
      <c r="D228" s="2">
        <f>'[1]ישיר מתוקן'!$P220</f>
        <v>207119</v>
      </c>
      <c r="E228" s="2">
        <f>'[1]ישיר מתוקן'!$R220</f>
        <v>340832</v>
      </c>
      <c r="F228" s="21">
        <f>-1*'[1]ישיר מתוקן'!$AK220</f>
        <v>-35550</v>
      </c>
      <c r="G228" s="21">
        <f>-1*'[1]ישיר מתוקן'!$AL220</f>
        <v>-14145</v>
      </c>
      <c r="H228" s="22">
        <v>25836</v>
      </c>
      <c r="I228" s="35">
        <f>[2]monthly!$AC327</f>
        <v>334.9</v>
      </c>
    </row>
    <row r="229" spans="1:9" ht="15.75" x14ac:dyDescent="0.25">
      <c r="A229" s="26">
        <v>41609</v>
      </c>
      <c r="B229" s="2">
        <f>'[1]ישיר מתוקן'!$G221</f>
        <v>675415</v>
      </c>
      <c r="C229" s="2">
        <f>'[1]ישיר מתוקן'!$N221</f>
        <v>2488</v>
      </c>
      <c r="D229" s="2">
        <f>'[1]ישיר מתוקן'!$P221</f>
        <v>257251</v>
      </c>
      <c r="E229" s="2">
        <f>'[1]ישיר מתוקן'!$R221</f>
        <v>414704</v>
      </c>
      <c r="F229" s="21">
        <f>-1*'[1]ישיר מתוקן'!$AK221</f>
        <v>-34549</v>
      </c>
      <c r="G229" s="21">
        <f>-1*'[1]ישיר מתוקן'!$AL221</f>
        <v>-20073</v>
      </c>
      <c r="H229" s="22">
        <v>24180</v>
      </c>
      <c r="I229" s="35">
        <f>[2]monthly!$AC328</f>
        <v>338.1</v>
      </c>
    </row>
    <row r="230" spans="1:9" ht="15.75" x14ac:dyDescent="0.25">
      <c r="A230" s="26">
        <v>41640</v>
      </c>
      <c r="B230" s="2">
        <f>'[1]ישיר מתוקן'!$G222</f>
        <v>700236</v>
      </c>
      <c r="C230" s="2">
        <f>'[1]ישיר מתוקן'!$N222</f>
        <v>3083</v>
      </c>
      <c r="D230" s="2">
        <f>'[1]ישיר מתוקן'!$P222</f>
        <v>268399</v>
      </c>
      <c r="E230" s="2">
        <f>'[1]ישיר מתוקן'!$R222</f>
        <v>430292</v>
      </c>
      <c r="F230" s="21">
        <f>-1*'[1]ישיר מתוקן'!$AK222</f>
        <v>-25303</v>
      </c>
      <c r="G230" s="21">
        <f>-1*'[1]ישיר מתוקן'!$AL222</f>
        <v>-13749</v>
      </c>
      <c r="H230" s="22">
        <v>28608</v>
      </c>
      <c r="I230" s="35">
        <f>[2]monthly!$AC329</f>
        <v>341.5</v>
      </c>
    </row>
    <row r="231" spans="1:9" ht="15.75" x14ac:dyDescent="0.25">
      <c r="A231" s="26">
        <v>41671</v>
      </c>
      <c r="B231" s="2">
        <f>'[1]ישיר מתוקן'!$G223</f>
        <v>859861</v>
      </c>
      <c r="C231" s="2">
        <f>'[1]ישיר מתוקן'!$N223</f>
        <v>3343</v>
      </c>
      <c r="D231" s="2">
        <f>'[1]ישיר מתוקן'!$P223</f>
        <v>335028</v>
      </c>
      <c r="E231" s="2">
        <f>'[1]ישיר מתוקן'!$R223</f>
        <v>522388</v>
      </c>
      <c r="F231" s="21">
        <f>-1*'[1]ישיר מתוקן'!$AK223</f>
        <v>-37261</v>
      </c>
      <c r="G231" s="21">
        <f>-1*'[1]ישיר מתוקן'!$AL223</f>
        <v>-14789</v>
      </c>
      <c r="H231" s="22">
        <v>23784</v>
      </c>
      <c r="I231" s="35">
        <f>[2]monthly!$AC330</f>
        <v>343.6</v>
      </c>
    </row>
    <row r="232" spans="1:9" ht="15.75" x14ac:dyDescent="0.25">
      <c r="A232" s="26">
        <v>41699</v>
      </c>
      <c r="B232" s="2">
        <f>'[1]ישיר מתוקן'!$G224</f>
        <v>697022</v>
      </c>
      <c r="C232" s="2">
        <f>'[1]ישיר מתוקן'!$N224</f>
        <v>3470</v>
      </c>
      <c r="D232" s="2">
        <f>'[1]ישיר מתוקן'!$P224</f>
        <v>252116</v>
      </c>
      <c r="E232" s="2">
        <f>'[1]ישיר מתוקן'!$R224</f>
        <v>440262</v>
      </c>
      <c r="F232" s="21">
        <f>-1*'[1]ישיר מתוקן'!$AK224</f>
        <v>-50890</v>
      </c>
      <c r="G232" s="21">
        <f>-1*'[1]ישיר מתוקן'!$AL224</f>
        <v>-18677</v>
      </c>
      <c r="H232" s="22">
        <v>24972</v>
      </c>
      <c r="I232" s="35">
        <f>[2]monthly!$AC331</f>
        <v>346.6</v>
      </c>
    </row>
    <row r="233" spans="1:9" ht="15.75" x14ac:dyDescent="0.25">
      <c r="A233" s="26">
        <v>41730</v>
      </c>
      <c r="B233" s="2">
        <f>'[1]ישיר מתוקן'!$G225</f>
        <v>613256</v>
      </c>
      <c r="C233" s="2">
        <f>'[1]ישיר מתוקן'!$N225</f>
        <v>6427</v>
      </c>
      <c r="D233" s="2">
        <f>'[1]ישיר מתוקן'!$P225</f>
        <v>233184</v>
      </c>
      <c r="E233" s="2">
        <f>'[1]ישיר מתוקן'!$R225</f>
        <v>377246</v>
      </c>
      <c r="F233" s="21">
        <f>-1*'[1]ישיר מתוקן'!$AK225</f>
        <v>-23878</v>
      </c>
      <c r="G233" s="21">
        <f>-1*'[1]ישיר מתוקן'!$AL225</f>
        <v>-7630</v>
      </c>
      <c r="H233" s="22">
        <v>19332</v>
      </c>
      <c r="I233" s="35">
        <f>[2]monthly!$AC332</f>
        <v>348.1</v>
      </c>
    </row>
    <row r="234" spans="1:9" ht="15.75" x14ac:dyDescent="0.25">
      <c r="A234" s="26">
        <v>41760</v>
      </c>
      <c r="B234" s="2">
        <f>'[1]ישיר מתוקן'!$G226</f>
        <v>764259</v>
      </c>
      <c r="C234" s="2">
        <f>'[1]ישיר מתוקן'!$N226</f>
        <v>4219</v>
      </c>
      <c r="D234" s="2">
        <f>'[1]ישיר מתוקן'!$P226</f>
        <v>315447</v>
      </c>
      <c r="E234" s="2">
        <f>'[1]ישיר מתוקן'!$R226</f>
        <v>446691</v>
      </c>
      <c r="F234" s="21">
        <f>-1*'[1]ישיר מתוקן'!$AK226</f>
        <v>-47727</v>
      </c>
      <c r="G234" s="21">
        <f>-1*'[1]ישיר מתוקן'!$AL226</f>
        <v>-19583</v>
      </c>
      <c r="H234" s="22">
        <v>19200</v>
      </c>
      <c r="I234" s="35">
        <f>[2]monthly!$AC333</f>
        <v>347.6</v>
      </c>
    </row>
    <row r="235" spans="1:9" ht="15.75" x14ac:dyDescent="0.25">
      <c r="A235" s="26">
        <v>41791</v>
      </c>
      <c r="B235" s="2">
        <f>'[1]ישיר מתוקן'!$G227</f>
        <v>691057</v>
      </c>
      <c r="C235" s="2">
        <f>'[1]ישיר מתוקן'!$N227</f>
        <v>5488</v>
      </c>
      <c r="D235" s="2">
        <f>'[1]ישיר מתוקן'!$P227</f>
        <v>270573</v>
      </c>
      <c r="E235" s="2">
        <f>'[1]ישיר מתוקן'!$R227</f>
        <v>415554</v>
      </c>
      <c r="F235" s="21">
        <f>-1*'[1]ישיר מתוקן'!$AK227</f>
        <v>-34053</v>
      </c>
      <c r="G235" s="21">
        <f>-1*'[1]ישיר מתוקן'!$AL227</f>
        <v>-23096</v>
      </c>
      <c r="H235" s="22">
        <v>20580</v>
      </c>
      <c r="I235" s="35">
        <f>[2]monthly!$AC334</f>
        <v>347.8</v>
      </c>
    </row>
    <row r="236" spans="1:9" ht="15.75" x14ac:dyDescent="0.25">
      <c r="A236" s="26">
        <v>41821</v>
      </c>
      <c r="B236" s="2">
        <f>'[1]ישיר מתוקן'!$G228</f>
        <v>747797</v>
      </c>
      <c r="C236" s="2">
        <f>'[1]ישיר מתוקן'!$N228</f>
        <v>16758</v>
      </c>
      <c r="D236" s="2">
        <f>'[1]ישיר מתוקן'!$P228</f>
        <v>267650</v>
      </c>
      <c r="E236" s="2">
        <f>'[1]ישיר מתוקן'!$R228</f>
        <v>463553</v>
      </c>
      <c r="F236" s="21">
        <f>-1*'[1]ישיר מתוקן'!$AK228</f>
        <v>-40183</v>
      </c>
      <c r="G236" s="21">
        <f>-1*'[1]ישיר מתוקן'!$AL228</f>
        <v>-15363</v>
      </c>
      <c r="H236" s="22">
        <v>21108</v>
      </c>
      <c r="I236" s="35">
        <f>[2]monthly!$AC335</f>
        <v>345.4</v>
      </c>
    </row>
    <row r="237" spans="1:9" ht="15.75" x14ac:dyDescent="0.25">
      <c r="A237" s="26">
        <v>41852</v>
      </c>
      <c r="B237" s="2">
        <f>'[1]ישיר מתוקן'!$G229</f>
        <v>747808</v>
      </c>
      <c r="C237" s="2">
        <f>'[1]ישיר מתוקן'!$N229</f>
        <v>6655</v>
      </c>
      <c r="D237" s="2">
        <f>'[1]ישיר מתוקן'!$P229</f>
        <v>274873</v>
      </c>
      <c r="E237" s="2">
        <f>'[1]ישיר מתוקן'!$R229</f>
        <v>467456</v>
      </c>
      <c r="F237" s="21">
        <f>-1*'[1]ישיר מתוקן'!$AK229</f>
        <v>-43085</v>
      </c>
      <c r="G237" s="21">
        <f>-1*'[1]ישיר מתוקן'!$AL229</f>
        <v>-12085</v>
      </c>
      <c r="H237" s="22">
        <v>22824</v>
      </c>
      <c r="I237" s="35">
        <f>[2]monthly!$AC336</f>
        <v>345.2</v>
      </c>
    </row>
    <row r="238" spans="1:9" ht="15.75" x14ac:dyDescent="0.25">
      <c r="A238" s="26">
        <v>41883</v>
      </c>
      <c r="B238" s="2">
        <f>'[1]ישיר מתוקן'!$G230</f>
        <v>609818</v>
      </c>
      <c r="C238" s="2">
        <f>'[1]ישיר מתוקן'!$N230</f>
        <v>3382</v>
      </c>
      <c r="D238" s="2">
        <f>'[1]ישיר מתוקן'!$P230</f>
        <v>230178</v>
      </c>
      <c r="E238" s="2">
        <f>'[1]ישיר מתוקן'!$R230</f>
        <v>377583</v>
      </c>
      <c r="F238" s="21">
        <f>-1*'[1]ישיר מתוקן'!$AK230</f>
        <v>-44481</v>
      </c>
      <c r="G238" s="21">
        <f>-1*'[1]ישיר מתוקן'!$AL230</f>
        <v>-17225</v>
      </c>
      <c r="H238" s="22">
        <v>30648</v>
      </c>
      <c r="I238" s="35">
        <f>[2]monthly!$AC337</f>
        <v>347.9</v>
      </c>
    </row>
    <row r="239" spans="1:9" ht="15.75" x14ac:dyDescent="0.25">
      <c r="A239" s="26">
        <v>41913</v>
      </c>
      <c r="B239" s="2">
        <f>'[1]ישיר מתוקן'!$G231</f>
        <v>562570</v>
      </c>
      <c r="C239" s="2">
        <f>'[1]ישיר מתוקן'!$N231</f>
        <v>2936</v>
      </c>
      <c r="D239" s="2">
        <f>'[1]ישיר מתוקן'!$P231</f>
        <v>219024</v>
      </c>
      <c r="E239" s="2">
        <f>'[1]ישיר מתוקן'!$R231</f>
        <v>340987</v>
      </c>
      <c r="F239" s="21">
        <f>-1*'[1]ישיר מתוקן'!$AK231</f>
        <v>-29131</v>
      </c>
      <c r="G239" s="21">
        <f>-1*'[1]ישיר מתוקן'!$AL231</f>
        <v>-11890</v>
      </c>
      <c r="H239" s="22">
        <v>35904</v>
      </c>
      <c r="I239" s="35">
        <f>[2]monthly!$AC338</f>
        <v>349.3</v>
      </c>
    </row>
    <row r="240" spans="1:9" ht="15.75" x14ac:dyDescent="0.25">
      <c r="A240" s="26">
        <v>41944</v>
      </c>
      <c r="B240" s="2">
        <f>'[1]ישיר מתוקן'!$G232</f>
        <v>695525</v>
      </c>
      <c r="C240" s="2">
        <f>'[1]ישיר מתוקן'!$N232</f>
        <v>26051</v>
      </c>
      <c r="D240" s="2">
        <f>'[1]ישיר מתוקן'!$P232</f>
        <v>224842</v>
      </c>
      <c r="E240" s="2">
        <f>'[1]ישיר מתוקן'!$R232</f>
        <v>446367</v>
      </c>
      <c r="F240" s="21">
        <f>-1*'[1]ישיר מתוקן'!$AK232</f>
        <v>-34267</v>
      </c>
      <c r="G240" s="21">
        <f>-1*'[1]ישיר מתוקן'!$AL232</f>
        <v>-11547</v>
      </c>
      <c r="H240" s="22">
        <v>31332</v>
      </c>
      <c r="I240" s="35">
        <f>[2]monthly!$AC339</f>
        <v>350.3</v>
      </c>
    </row>
    <row r="241" spans="1:9" ht="15.75" x14ac:dyDescent="0.25">
      <c r="A241" s="26">
        <v>41974</v>
      </c>
      <c r="B241" s="2">
        <f>'[1]ישיר מתוקן'!$G233</f>
        <v>733956</v>
      </c>
      <c r="C241" s="2">
        <f>'[1]ישיר מתוקן'!$N233</f>
        <v>17548</v>
      </c>
      <c r="D241" s="2">
        <f>'[1]ישיר מתוקן'!$P233</f>
        <v>284044</v>
      </c>
      <c r="E241" s="2">
        <f>'[1]ישיר מתוקן'!$R233</f>
        <v>432530</v>
      </c>
      <c r="F241" s="21">
        <f>-1*'[1]ישיר מתוקן'!$AK233</f>
        <v>-40240</v>
      </c>
      <c r="G241" s="21">
        <f>-1*'[1]ישיר מתוקן'!$AL233</f>
        <v>-16719</v>
      </c>
      <c r="H241" s="22">
        <v>34872</v>
      </c>
      <c r="I241" s="35">
        <f>[2]monthly!$AC340</f>
        <v>352.5</v>
      </c>
    </row>
    <row r="242" spans="1:9" ht="15.75" x14ac:dyDescent="0.25">
      <c r="A242" s="26">
        <v>42005</v>
      </c>
      <c r="B242" s="2">
        <f>'[1]ישיר מתוקן'!$G234</f>
        <v>792009</v>
      </c>
      <c r="C242" s="2">
        <f>'[1]ישיר מתוקן'!$N234</f>
        <v>3871</v>
      </c>
      <c r="D242" s="2">
        <f>'[1]ישיר מתוקן'!$P234</f>
        <v>282648</v>
      </c>
      <c r="E242" s="2">
        <f>'[1]ישיר מתוקן'!$R234</f>
        <v>506223</v>
      </c>
      <c r="F242" s="21">
        <f>-1*'[1]ישיר מתוקן'!$AK234</f>
        <v>-48200</v>
      </c>
      <c r="G242" s="21">
        <f>-1*'[1]ישיר מתוקן'!$AL234</f>
        <v>-15659</v>
      </c>
      <c r="H242" s="22">
        <v>37272</v>
      </c>
      <c r="I242" s="35">
        <f>[2]monthly!$AC341</f>
        <v>354.8</v>
      </c>
    </row>
    <row r="243" spans="1:9" ht="15.75" x14ac:dyDescent="0.25">
      <c r="A243" s="26">
        <v>42036</v>
      </c>
      <c r="B243" s="2">
        <f>'[1]ישיר מתוקן'!$G235</f>
        <v>868554</v>
      </c>
      <c r="C243" s="2">
        <f>'[1]ישיר מתוקן'!$N235</f>
        <v>6135</v>
      </c>
      <c r="D243" s="2">
        <f>'[1]ישיר מתוקן'!$P235</f>
        <v>323746</v>
      </c>
      <c r="E243" s="2">
        <f>'[1]ישיר מתוקן'!$R235</f>
        <v>539665</v>
      </c>
      <c r="F243" s="21">
        <f>-1*'[1]ישיר מתוקן'!$AK235</f>
        <v>-38875</v>
      </c>
      <c r="G243" s="21">
        <f>-1*'[1]ישיר מתוקן'!$AL235</f>
        <v>-16434</v>
      </c>
      <c r="H243" s="22">
        <v>42144</v>
      </c>
      <c r="I243" s="35">
        <f>[2]monthly!$AC342</f>
        <v>358.3</v>
      </c>
    </row>
    <row r="244" spans="1:9" ht="15.75" x14ac:dyDescent="0.25">
      <c r="A244" s="26">
        <v>42064</v>
      </c>
      <c r="B244" s="2">
        <f>'[1]ישיר מתוקן'!$G236</f>
        <v>903175</v>
      </c>
      <c r="C244" s="2">
        <f>'[1]ישיר מתוקן'!$N236</f>
        <v>3413</v>
      </c>
      <c r="D244" s="2">
        <f>'[1]ישיר מתוקן'!$P236</f>
        <v>326615</v>
      </c>
      <c r="E244" s="2">
        <f>'[1]ישיר מתוקן'!$R236</f>
        <v>573289</v>
      </c>
      <c r="F244" s="21">
        <f>-1*'[1]ישיר מתוקן'!$AK236</f>
        <v>-41259</v>
      </c>
      <c r="G244" s="21">
        <f>-1*'[1]ישיר מתוקן'!$AL236</f>
        <v>-30276</v>
      </c>
      <c r="H244" s="22">
        <v>33480</v>
      </c>
      <c r="I244" s="35">
        <f>[2]monthly!$AC343</f>
        <v>360.6</v>
      </c>
    </row>
    <row r="245" spans="1:9" ht="15.75" x14ac:dyDescent="0.25">
      <c r="A245" s="26">
        <v>42095</v>
      </c>
      <c r="B245" s="2">
        <f>'[1]ישיר מתוקן'!$G237</f>
        <v>820952</v>
      </c>
      <c r="C245" s="2">
        <f>'[1]ישיר מתוקן'!$N237</f>
        <v>7259</v>
      </c>
      <c r="D245" s="2">
        <f>'[1]ישיר מתוקן'!$P237</f>
        <v>276946</v>
      </c>
      <c r="E245" s="2">
        <f>'[1]ישיר מתוקן'!$R237</f>
        <v>538122</v>
      </c>
      <c r="F245" s="21">
        <f>-1*'[1]ישיר מתוקן'!$AK237</f>
        <v>-38170</v>
      </c>
      <c r="G245" s="21">
        <f>-1*'[1]ישיר מתוקן'!$AL237</f>
        <v>-20130</v>
      </c>
      <c r="H245" s="22">
        <v>33360</v>
      </c>
      <c r="I245" s="35">
        <f>[2]monthly!$AC344</f>
        <v>361.5</v>
      </c>
    </row>
    <row r="246" spans="1:9" ht="15.75" x14ac:dyDescent="0.25">
      <c r="A246" s="26">
        <v>42125</v>
      </c>
      <c r="B246" s="2">
        <f>'[1]ישיר מתוקן'!$G238</f>
        <v>933428</v>
      </c>
      <c r="C246" s="2">
        <f>'[1]ישיר מתוקן'!$N238</f>
        <v>3135</v>
      </c>
      <c r="D246" s="2">
        <f>'[1]ישיר מתוקן'!$P238</f>
        <v>356261</v>
      </c>
      <c r="E246" s="2">
        <f>'[1]ישיר מתוקן'!$R238</f>
        <v>579830</v>
      </c>
      <c r="F246" s="21">
        <f>-1*'[1]ישיר מתוקן'!$AK238</f>
        <v>-30460</v>
      </c>
      <c r="G246" s="21">
        <f>-1*'[1]ישיר מתוקן'!$AL238</f>
        <v>-11261</v>
      </c>
      <c r="H246" s="22">
        <v>37056</v>
      </c>
      <c r="I246" s="35">
        <f>[2]monthly!$AC345</f>
        <v>364.5</v>
      </c>
    </row>
    <row r="247" spans="1:9" ht="15.75" x14ac:dyDescent="0.25">
      <c r="A247" s="26">
        <v>42156</v>
      </c>
      <c r="B247" s="2">
        <f>'[1]ישיר מתוקן'!$G239</f>
        <v>1021300</v>
      </c>
      <c r="C247" s="2">
        <f>'[1]ישיר מתוקן'!$N239</f>
        <v>8533</v>
      </c>
      <c r="D247" s="2">
        <f>'[1]ישיר מתוקן'!$P239</f>
        <v>381681</v>
      </c>
      <c r="E247" s="2">
        <f>'[1]ישיר מתוקן'!$R239</f>
        <v>633306</v>
      </c>
      <c r="F247" s="21">
        <f>-1*'[1]ישיר מתוקן'!$AK239</f>
        <v>-43690</v>
      </c>
      <c r="G247" s="21">
        <f>-1*'[1]ישיר מתוקן'!$AL239</f>
        <v>-30943</v>
      </c>
      <c r="H247" s="22">
        <v>52140</v>
      </c>
      <c r="I247" s="35">
        <f>[2]monthly!$AC346</f>
        <v>368.3</v>
      </c>
    </row>
    <row r="248" spans="1:9" ht="15.75" x14ac:dyDescent="0.25">
      <c r="A248" s="26">
        <v>42186</v>
      </c>
      <c r="B248" s="2">
        <f>'[1]ישיר מתוקן'!$G240</f>
        <v>1172146</v>
      </c>
      <c r="C248" s="2">
        <f>'[1]ישיר מתוקן'!$N240</f>
        <v>8395</v>
      </c>
      <c r="D248" s="2">
        <f>'[1]ישיר מתוקן'!$P240</f>
        <v>466236</v>
      </c>
      <c r="E248" s="2">
        <f>'[1]ישיר מתוקן'!$R240</f>
        <v>699517</v>
      </c>
      <c r="F248" s="21">
        <f>-1*'[1]ישיר מתוקן'!$AK240</f>
        <v>-36968</v>
      </c>
      <c r="G248" s="21">
        <f>-1*'[1]ישיר מתוקן'!$AL240</f>
        <v>-18344</v>
      </c>
      <c r="H248" s="22">
        <v>28968</v>
      </c>
      <c r="I248" s="35">
        <f>[2]monthly!$AC347</f>
        <v>369.2</v>
      </c>
    </row>
    <row r="249" spans="1:9" ht="15.75" x14ac:dyDescent="0.25">
      <c r="A249" s="26">
        <v>42217</v>
      </c>
      <c r="B249" s="2">
        <f>'[1]ישיר מתוקן'!$G241</f>
        <v>1392274</v>
      </c>
      <c r="C249" s="2">
        <f>'[1]ישיר מתוקן'!$N241</f>
        <v>2760</v>
      </c>
      <c r="D249" s="2">
        <f>'[1]ישיר מתוקן'!$P241</f>
        <v>498648</v>
      </c>
      <c r="E249" s="2">
        <f>'[1]ישיר מתוקן'!$R241</f>
        <v>895215</v>
      </c>
      <c r="F249" s="21">
        <f>-1*'[1]ישיר מתוקן'!$AK241</f>
        <v>-39875</v>
      </c>
      <c r="G249" s="21">
        <f>-1*'[1]ישיר מתוקן'!$AL241</f>
        <v>-19483</v>
      </c>
      <c r="H249" s="22">
        <v>31704</v>
      </c>
      <c r="I249" s="35">
        <f>[2]monthly!$AC348</f>
        <v>369</v>
      </c>
    </row>
    <row r="250" spans="1:9" ht="15.75" x14ac:dyDescent="0.25">
      <c r="A250" s="26">
        <v>42248</v>
      </c>
      <c r="B250" s="2">
        <f>'[1]ישיר מתוקן'!$G242</f>
        <v>884109</v>
      </c>
      <c r="C250" s="2">
        <f>'[1]ישיר מתוקן'!$N242</f>
        <v>1538</v>
      </c>
      <c r="D250" s="2">
        <f>'[1]ישיר מתוקן'!$P242</f>
        <v>371064</v>
      </c>
      <c r="E250" s="2">
        <f>'[1]ישיר מתוקן'!$R242</f>
        <v>511601</v>
      </c>
      <c r="F250" s="21">
        <f>-1*'[1]ישיר מתוקן'!$AK242</f>
        <v>-24438</v>
      </c>
      <c r="G250" s="21">
        <f>-1*'[1]ישיר מתוקן'!$AL242</f>
        <v>-18597</v>
      </c>
      <c r="H250" s="22">
        <v>32196</v>
      </c>
      <c r="I250" s="35">
        <f>[2]monthly!$AC349</f>
        <v>371.3</v>
      </c>
    </row>
    <row r="251" spans="1:9" ht="15.75" x14ac:dyDescent="0.25">
      <c r="A251" s="26">
        <v>42278</v>
      </c>
      <c r="B251" s="2">
        <f>'[1]ישיר מתוקן'!$G243</f>
        <v>809034</v>
      </c>
      <c r="C251" s="2">
        <f>'[1]ישיר מתוקן'!$N243</f>
        <v>1329</v>
      </c>
      <c r="D251" s="2">
        <f>'[1]ישיר מתוקן'!$P243</f>
        <v>361006</v>
      </c>
      <c r="E251" s="2">
        <f>'[1]ישיר מתוקן'!$R243</f>
        <v>449890</v>
      </c>
      <c r="F251" s="21">
        <f>-1*'[1]ישיר מתוקן'!$AK243</f>
        <v>-27919</v>
      </c>
      <c r="G251" s="21">
        <f>-1*'[1]ישיר מתוקן'!$AL243</f>
        <v>-13812</v>
      </c>
      <c r="H251" s="22">
        <v>30888</v>
      </c>
      <c r="I251" s="35">
        <f>[2]monthly!$AC350</f>
        <v>374.4</v>
      </c>
    </row>
    <row r="252" spans="1:9" ht="15.75" x14ac:dyDescent="0.25">
      <c r="A252" s="26">
        <v>42309</v>
      </c>
      <c r="B252" s="2">
        <f>'[1]ישיר מתוקן'!$G244</f>
        <v>848588</v>
      </c>
      <c r="C252" s="2">
        <f>'[1]ישיר מתוקן'!$N244</f>
        <v>2233</v>
      </c>
      <c r="D252" s="2">
        <f>'[1]ישיר מתוקן'!$P244</f>
        <v>331432</v>
      </c>
      <c r="E252" s="2">
        <f>'[1]ישיר מתוקן'!$R244</f>
        <v>518034</v>
      </c>
      <c r="F252" s="21">
        <f>-1*'[1]ישיר מתוקן'!$AK244</f>
        <v>-51209</v>
      </c>
      <c r="G252" s="21">
        <f>-1*'[1]ישיר מתוקן'!$AL244</f>
        <v>-25905</v>
      </c>
      <c r="H252" s="22">
        <v>31332</v>
      </c>
      <c r="I252" s="35">
        <f>[2]monthly!$AC351</f>
        <v>377.5</v>
      </c>
    </row>
    <row r="253" spans="1:9" ht="15.75" x14ac:dyDescent="0.25">
      <c r="A253" s="26">
        <v>42339</v>
      </c>
      <c r="B253" s="2">
        <f>'[1]ישיר מתוקן'!$G245</f>
        <v>951005</v>
      </c>
      <c r="C253" s="2">
        <f>'[1]ישיר מתוקן'!$N245</f>
        <v>3869</v>
      </c>
      <c r="D253" s="2">
        <f>'[1]ישיר מתוקן'!$P245</f>
        <v>396244</v>
      </c>
      <c r="E253" s="2">
        <f>'[1]ישיר מתוקן'!$R245</f>
        <v>555032</v>
      </c>
      <c r="F253" s="21">
        <f>-1*'[1]ישיר מתוקן'!$AK245</f>
        <v>-116226</v>
      </c>
      <c r="G253" s="21">
        <f>-1*'[1]ישיר מתוקן'!$AL245</f>
        <v>-30952</v>
      </c>
      <c r="H253" s="22">
        <v>31200</v>
      </c>
      <c r="I253" s="35">
        <f>[2]monthly!$AC352</f>
        <v>380.4</v>
      </c>
    </row>
    <row r="254" spans="1:9" ht="15.75" x14ac:dyDescent="0.25">
      <c r="A254" s="26">
        <v>42370</v>
      </c>
      <c r="B254" s="2">
        <f>'[1]ישיר מתוקן'!$G246</f>
        <v>1002620</v>
      </c>
      <c r="C254" s="2">
        <f>'[1]ישיר מתוקן'!$N246</f>
        <v>2160</v>
      </c>
      <c r="D254" s="2">
        <f>'[1]ישיר מתוקן'!$P246</f>
        <v>401767</v>
      </c>
      <c r="E254" s="2">
        <f>'[1]ישיר מתוקן'!$R246</f>
        <v>603857</v>
      </c>
      <c r="F254" s="21">
        <f>-1*'[1]ישיר מתוקן'!$AK246</f>
        <v>-45662</v>
      </c>
      <c r="G254" s="21">
        <f>-1*'[1]ישיר מתוקן'!$AL246</f>
        <v>-14921</v>
      </c>
      <c r="H254" s="18">
        <v>33756</v>
      </c>
      <c r="I254" s="35">
        <f>[2]monthly!$AC353</f>
        <v>381.4</v>
      </c>
    </row>
    <row r="255" spans="1:9" ht="15.75" x14ac:dyDescent="0.25">
      <c r="A255" s="26">
        <v>42401</v>
      </c>
      <c r="B255" s="2">
        <f>'[1]ישיר מתוקן'!$G247</f>
        <v>1002948</v>
      </c>
      <c r="C255" s="2">
        <f>'[1]ישיר מתוקן'!$N247</f>
        <v>1985</v>
      </c>
      <c r="D255" s="2">
        <f>'[1]ישיר מתוקן'!$P247</f>
        <v>399409</v>
      </c>
      <c r="E255" s="2">
        <f>'[1]ישיר מתוקן'!$R247</f>
        <v>602289</v>
      </c>
      <c r="F255" s="21">
        <f>-1*'[1]ישיר מתוקן'!$AK247</f>
        <v>-44009</v>
      </c>
      <c r="G255" s="21">
        <f>-1*'[1]ישיר מתוקן'!$AL247</f>
        <v>-21983</v>
      </c>
      <c r="H255" s="18">
        <v>33204</v>
      </c>
      <c r="I255" s="35">
        <f>[2]monthly!$AC354</f>
        <v>384</v>
      </c>
    </row>
    <row r="256" spans="1:9" ht="15.75" x14ac:dyDescent="0.25">
      <c r="A256" s="26">
        <v>42430</v>
      </c>
      <c r="B256" s="2">
        <f>'[1]ישיר מתוקן'!$G248</f>
        <v>984273</v>
      </c>
      <c r="C256" s="2">
        <f>'[1]ישיר מתוקן'!$N248</f>
        <v>2285</v>
      </c>
      <c r="D256" s="2">
        <f>'[1]ישיר מתוקן'!$P248</f>
        <v>396416</v>
      </c>
      <c r="E256" s="2">
        <f>'[1]ישיר מתוקן'!$R248</f>
        <v>586160</v>
      </c>
      <c r="F256" s="21">
        <f>-1*'[1]ישיר מתוקן'!$AK248</f>
        <v>-36806</v>
      </c>
      <c r="G256" s="21">
        <f>-1*'[1]ישיר מתוקן'!$AL248</f>
        <v>-16750</v>
      </c>
      <c r="H256" s="18">
        <v>34836</v>
      </c>
      <c r="I256" s="35">
        <f>[2]monthly!$AC355</f>
        <v>389.1</v>
      </c>
    </row>
    <row r="257" spans="1:9" ht="15.75" x14ac:dyDescent="0.25">
      <c r="A257" s="26">
        <v>42461</v>
      </c>
      <c r="B257" s="2">
        <f>'[1]ישיר מתוקן'!$G249</f>
        <v>897222</v>
      </c>
      <c r="C257" s="2">
        <f>'[1]ישיר מתוקן'!$N249</f>
        <v>1483</v>
      </c>
      <c r="D257" s="2">
        <f>'[1]ישיר מתוקן'!$P249</f>
        <v>395002</v>
      </c>
      <c r="E257" s="2">
        <f>'[1]ישיר מתוקן'!$R249</f>
        <v>503246</v>
      </c>
      <c r="F257" s="21">
        <f>-1*'[1]ישיר מתוקן'!$AK249</f>
        <v>-39837</v>
      </c>
      <c r="G257" s="21">
        <f>-1*'[1]ישיר מתוקן'!$AL249</f>
        <v>-22528</v>
      </c>
      <c r="H257" s="18">
        <v>43860</v>
      </c>
      <c r="I257" s="35">
        <f>[2]monthly!$AC356</f>
        <v>390.2</v>
      </c>
    </row>
    <row r="258" spans="1:9" ht="15.75" x14ac:dyDescent="0.25">
      <c r="A258" s="26">
        <v>42491</v>
      </c>
      <c r="B258" s="2">
        <f>'[1]ישיר מתוקן'!$G250</f>
        <v>1016526</v>
      </c>
      <c r="C258" s="2">
        <f>'[1]ישיר מתוקן'!$N250</f>
        <v>2168</v>
      </c>
      <c r="D258" s="2">
        <f>'[1]ישיר מתוקן'!$P250</f>
        <v>383634</v>
      </c>
      <c r="E258" s="2">
        <f>'[1]ישיר מתוקן'!$R250</f>
        <v>638121</v>
      </c>
      <c r="F258" s="21">
        <f>-1*'[1]ישיר מתוקן'!$AK250</f>
        <v>-2770</v>
      </c>
      <c r="G258" s="21">
        <f>-1*'[1]ישיר מתוקן'!$AL250</f>
        <v>-2297</v>
      </c>
      <c r="H258" s="18">
        <v>32772</v>
      </c>
      <c r="I258" s="35">
        <f>[2]monthly!$AC357</f>
        <v>391.1</v>
      </c>
    </row>
    <row r="259" spans="1:9" ht="15.75" x14ac:dyDescent="0.25">
      <c r="A259" s="26">
        <v>42522</v>
      </c>
      <c r="B259" s="2">
        <f>'[1]ישיר מתוקן'!$G251</f>
        <v>1172224</v>
      </c>
      <c r="C259" s="2">
        <f>'[1]ישיר מתוקן'!$N251</f>
        <v>2478</v>
      </c>
      <c r="D259" s="2">
        <f>'[1]ישיר מתוקן'!$P251</f>
        <v>481357</v>
      </c>
      <c r="E259" s="2">
        <f>'[1]ישיר מתוקן'!$R251</f>
        <v>691807</v>
      </c>
      <c r="F259" s="21">
        <f>-1*'[1]ישיר מתוקן'!$AK251</f>
        <v>-21419</v>
      </c>
      <c r="G259" s="21">
        <f>-1*'[1]ישיר מתוקן'!$AL251</f>
        <v>-9495</v>
      </c>
      <c r="H259" s="18">
        <v>34392</v>
      </c>
      <c r="I259" s="35">
        <f>[2]monthly!$AC358</f>
        <v>393.4</v>
      </c>
    </row>
    <row r="260" spans="1:9" ht="15.75" x14ac:dyDescent="0.25">
      <c r="A260" s="26">
        <v>42552</v>
      </c>
      <c r="B260" s="2">
        <f>'[1]ישיר מתוקן'!$G252</f>
        <v>957645</v>
      </c>
      <c r="C260" s="2">
        <f>'[1]ישיר מתוקן'!$N252</f>
        <v>3773</v>
      </c>
      <c r="D260" s="2">
        <f>'[1]ישיר מתוקן'!$P252</f>
        <v>345787</v>
      </c>
      <c r="E260" s="2">
        <f>'[1]ישיר מתוקן'!$R252</f>
        <v>610438</v>
      </c>
      <c r="F260" s="21">
        <f>-1*'[1]ישיר מתוקן'!$AK252</f>
        <v>-145630</v>
      </c>
      <c r="G260" s="21">
        <f>-1*'[1]ישיר מתוקן'!$AL252</f>
        <v>-39522</v>
      </c>
      <c r="H260" s="18">
        <v>32652</v>
      </c>
      <c r="I260" s="35">
        <f>[2]monthly!$AC359</f>
        <v>396.1</v>
      </c>
    </row>
    <row r="261" spans="1:9" ht="15.75" x14ac:dyDescent="0.25">
      <c r="A261" s="26">
        <v>42583</v>
      </c>
      <c r="B261" s="2">
        <f>'[1]ישיר מתוקן'!$G253</f>
        <v>1155859</v>
      </c>
      <c r="C261" s="2">
        <f>'[1]ישיר מתוקן'!$N253</f>
        <v>1159</v>
      </c>
      <c r="D261" s="2">
        <f>'[1]ישיר מתוקן'!$P253</f>
        <v>480347</v>
      </c>
      <c r="E261" s="2">
        <f>'[1]ישיר מתוקן'!$R253</f>
        <v>676238</v>
      </c>
      <c r="F261" s="21">
        <f>-1*'[1]ישיר מתוקן'!$AK253</f>
        <v>-72756</v>
      </c>
      <c r="G261" s="21">
        <f>-1*'[1]ישיר מתוקן'!$AL253</f>
        <v>-43132</v>
      </c>
      <c r="H261" s="18">
        <v>36876</v>
      </c>
      <c r="I261" s="35">
        <f>[2]monthly!$AC360</f>
        <v>399.9</v>
      </c>
    </row>
    <row r="262" spans="1:9" ht="15.75" x14ac:dyDescent="0.25">
      <c r="A262" s="26">
        <v>42614</v>
      </c>
      <c r="B262" s="2">
        <f>'[1]ישיר מתוקן'!$G254</f>
        <v>1011437</v>
      </c>
      <c r="C262" s="2">
        <f>'[1]ישיר מתוקן'!$N254</f>
        <v>1052</v>
      </c>
      <c r="D262" s="2">
        <f>'[1]ישיר מתוקן'!$P254</f>
        <v>376380</v>
      </c>
      <c r="E262" s="2">
        <f>'[1]ישיר מתוקן'!$R254</f>
        <v>640277</v>
      </c>
      <c r="F262" s="21">
        <f>-1*'[1]ישיר מתוקן'!$AK254</f>
        <v>-62805</v>
      </c>
      <c r="G262" s="21">
        <f>-1*'[1]ישיר מתוקן'!$AL254</f>
        <v>-35233</v>
      </c>
      <c r="H262" s="18">
        <v>29520</v>
      </c>
      <c r="I262" s="35">
        <f>[2]monthly!$AC361</f>
        <v>404.2</v>
      </c>
    </row>
    <row r="263" spans="1:9" ht="15.75" x14ac:dyDescent="0.25">
      <c r="A263" s="26">
        <v>42644</v>
      </c>
      <c r="B263" s="2">
        <f>'[1]ישיר מתוקן'!$G255</f>
        <v>617781</v>
      </c>
      <c r="C263" s="2">
        <f>'[1]ישיר מתוקן'!$N255</f>
        <v>725</v>
      </c>
      <c r="D263" s="2">
        <f>'[1]ישיר מתוקן'!$P255</f>
        <v>225293</v>
      </c>
      <c r="E263" s="2">
        <f>'[1]ישיר מתוקן'!$R255</f>
        <v>394665</v>
      </c>
      <c r="F263" s="21">
        <f>-1*'[1]ישיר מתוקן'!$AK255</f>
        <v>-24823</v>
      </c>
      <c r="G263" s="21">
        <f>-1*'[1]ישיר מתוקן'!$AL255</f>
        <v>-16969</v>
      </c>
      <c r="H263" s="18">
        <v>28992</v>
      </c>
      <c r="I263" s="35">
        <f>[2]monthly!$AC362</f>
        <v>404.4</v>
      </c>
    </row>
    <row r="264" spans="1:9" ht="15.75" x14ac:dyDescent="0.25">
      <c r="A264" s="26">
        <v>42675</v>
      </c>
      <c r="B264" s="2">
        <f>'[1]ישיר מתוקן'!$G256</f>
        <v>976743</v>
      </c>
      <c r="C264" s="2">
        <f>'[1]ישיר מתוקן'!$N256</f>
        <v>1149</v>
      </c>
      <c r="D264" s="2">
        <f>'[1]ישיר מתוקן'!$P256</f>
        <v>410816</v>
      </c>
      <c r="E264" s="2">
        <f>'[1]ישיר מתוקן'!$R256</f>
        <v>566875</v>
      </c>
      <c r="F264" s="21">
        <f>-1*'[1]ישיר מתוקן'!$AK256</f>
        <v>-26552</v>
      </c>
      <c r="G264" s="21">
        <f>-1*'[1]ישיר מתוקן'!$AL256</f>
        <v>-18984</v>
      </c>
      <c r="H264" s="18">
        <v>28596</v>
      </c>
      <c r="I264" s="35">
        <f>[2]monthly!$AC363</f>
        <v>402.8</v>
      </c>
    </row>
    <row r="265" spans="1:9" ht="15.75" x14ac:dyDescent="0.25">
      <c r="A265" s="26">
        <v>42705</v>
      </c>
      <c r="B265" s="2">
        <f>'[1]ישיר מתוקן'!$G257</f>
        <v>753762</v>
      </c>
      <c r="C265" s="2">
        <f>'[1]ישיר מתוקן'!$N257</f>
        <v>2326</v>
      </c>
      <c r="D265" s="2">
        <f>'[1]ישיר מתוקן'!$P257</f>
        <v>376989</v>
      </c>
      <c r="E265" s="2">
        <f>'[1]ישיר מתוקן'!$R257</f>
        <v>378834</v>
      </c>
      <c r="F265" s="21">
        <f>-1*'[1]ישיר מתוקן'!$AK257</f>
        <v>-40173</v>
      </c>
      <c r="G265" s="21">
        <f>-1*'[1]ישיר מתוקן'!$AL257</f>
        <v>-30246</v>
      </c>
      <c r="H265" s="18">
        <v>27540</v>
      </c>
      <c r="I265" s="35">
        <f>[2]monthly!$AC364</f>
        <v>402.1</v>
      </c>
    </row>
    <row r="266" spans="1:9" ht="15.75" x14ac:dyDescent="0.25">
      <c r="A266" s="26">
        <v>42736</v>
      </c>
      <c r="B266" s="2">
        <f>'[1]ישיר מתוקן'!$G258</f>
        <v>1180312</v>
      </c>
      <c r="C266" s="2">
        <f>'[1]ישיר מתוקן'!$N258</f>
        <v>1288</v>
      </c>
      <c r="D266" s="2">
        <f>'[1]ישיר מתוקן'!$P258</f>
        <v>518555</v>
      </c>
      <c r="E266" s="2">
        <f>'[1]ישיר מתוקן'!$R258</f>
        <v>662687</v>
      </c>
      <c r="F266" s="21">
        <f>-1*'[1]ישיר מתוקן'!$AK258</f>
        <v>-37293</v>
      </c>
      <c r="G266" s="21">
        <f>-1*'[1]ישיר מתוקן'!$AL258</f>
        <v>-24962</v>
      </c>
      <c r="H266" s="18">
        <v>25104</v>
      </c>
      <c r="I266" s="35">
        <f>[2]monthly!$AC365</f>
        <v>402.8</v>
      </c>
    </row>
    <row r="267" spans="1:9" ht="15.75" x14ac:dyDescent="0.25">
      <c r="A267" s="26">
        <v>42767</v>
      </c>
      <c r="B267" s="2">
        <f>'[1]ישיר מתוקן'!$G259</f>
        <v>1082997</v>
      </c>
      <c r="C267" s="2">
        <f>'[1]ישיר מתוקן'!$N259</f>
        <v>1072</v>
      </c>
      <c r="D267" s="2">
        <f>'[1]ישיר מתוקן'!$P259</f>
        <v>431581</v>
      </c>
      <c r="E267" s="2">
        <f>'[1]ישיר מתוקן'!$R259</f>
        <v>651542</v>
      </c>
      <c r="F267" s="21">
        <f>-1*'[1]ישיר מתוקן'!$AK259</f>
        <v>-39472</v>
      </c>
      <c r="G267" s="21">
        <f>-1*'[1]ישיר מתוקן'!$AL259</f>
        <v>-41002</v>
      </c>
      <c r="H267" s="18">
        <v>24720</v>
      </c>
      <c r="I267" s="35">
        <f>[2]monthly!$AC366</f>
        <v>404.9</v>
      </c>
    </row>
    <row r="268" spans="1:9" ht="15.75" x14ac:dyDescent="0.25">
      <c r="A268" s="26">
        <v>42795</v>
      </c>
      <c r="B268" s="2">
        <f>'[1]ישיר מתוקן'!$G260</f>
        <v>1150734</v>
      </c>
      <c r="C268" s="2">
        <f>'[1]ישיר מתוקן'!$N260</f>
        <v>1095</v>
      </c>
      <c r="D268" s="2">
        <f>'[1]ישיר מתוקן'!$P260</f>
        <v>492630</v>
      </c>
      <c r="E268" s="2">
        <f>'[1]ישיר מתוקן'!$R260</f>
        <v>659272</v>
      </c>
      <c r="F268" s="21">
        <f>-1*'[1]ישיר מתוקן'!$AK260</f>
        <v>-57117</v>
      </c>
      <c r="G268" s="21">
        <f>-1*'[1]ישיר מתוקן'!$AL260</f>
        <v>-38165</v>
      </c>
      <c r="H268" s="18">
        <v>25488</v>
      </c>
      <c r="I268" s="35">
        <f>[2]monthly!$AC367</f>
        <v>406.8</v>
      </c>
    </row>
    <row r="269" spans="1:9" ht="15.75" x14ac:dyDescent="0.25">
      <c r="A269" s="26">
        <v>42826</v>
      </c>
      <c r="B269" s="2">
        <f>'[1]ישיר מתוקן'!$G261</f>
        <v>749771</v>
      </c>
      <c r="C269" s="2">
        <f>'[1]ישיר מתוקן'!$N261</f>
        <v>916</v>
      </c>
      <c r="D269" s="2">
        <f>'[1]ישיר מתוקן'!$P261</f>
        <v>296625</v>
      </c>
      <c r="E269" s="2">
        <f>'[1]ישיר מתוקן'!$R261</f>
        <v>454035</v>
      </c>
      <c r="F269" s="21">
        <f>-1*'[1]ישיר מתוקן'!$AK261</f>
        <v>-40597</v>
      </c>
      <c r="G269" s="21">
        <f>-1*'[1]ישיר מתוקן'!$AL261</f>
        <v>-21453</v>
      </c>
      <c r="H269" s="18">
        <v>27324</v>
      </c>
      <c r="I269" s="35">
        <f>[2]monthly!$AC368</f>
        <v>407.7</v>
      </c>
    </row>
    <row r="270" spans="1:9" ht="15.75" x14ac:dyDescent="0.25">
      <c r="A270" s="26">
        <v>42856</v>
      </c>
      <c r="B270" s="2">
        <f>'[1]ישיר מתוקן'!$G262</f>
        <v>993618</v>
      </c>
      <c r="C270" s="2">
        <f>'[1]ישיר מתוקן'!$N262</f>
        <v>2745</v>
      </c>
      <c r="D270" s="2">
        <f>'[1]ישיר מתוקן'!$P262</f>
        <v>431036</v>
      </c>
      <c r="E270" s="2">
        <f>'[1]ישיר מתוקן'!$R262</f>
        <v>566228</v>
      </c>
      <c r="F270" s="21">
        <f>-1*'[1]ישיר מתוקן'!$AK262</f>
        <v>-37024</v>
      </c>
      <c r="G270" s="21">
        <f>-1*'[1]ישיר מתוקן'!$AL262</f>
        <v>-24485</v>
      </c>
      <c r="H270" s="18">
        <v>27468</v>
      </c>
      <c r="I270" s="35">
        <f>[2]monthly!$AC369</f>
        <v>409.5</v>
      </c>
    </row>
    <row r="271" spans="1:9" ht="15.75" x14ac:dyDescent="0.25">
      <c r="A271" s="26">
        <v>42887</v>
      </c>
      <c r="B271" s="2">
        <f>'[1]ישיר מתוקן'!$G263</f>
        <v>1044234</v>
      </c>
      <c r="C271" s="2">
        <f>'[1]ישיר מתוקן'!$N263</f>
        <v>2572</v>
      </c>
      <c r="D271" s="2">
        <f>'[1]ישיר מתוקן'!$P263</f>
        <v>479717</v>
      </c>
      <c r="E271" s="2">
        <f>'[1]ישיר מתוקן'!$R263</f>
        <v>565145</v>
      </c>
      <c r="F271" s="21">
        <f>-1*'[1]ישיר מתוקן'!$AK263</f>
        <v>-43602</v>
      </c>
      <c r="G271" s="21">
        <f>-1*'[1]ישיר מתוקן'!$AL263</f>
        <v>-28512</v>
      </c>
      <c r="H271" s="18">
        <v>29688</v>
      </c>
      <c r="I271" s="35">
        <f>[2]monthly!$AC370</f>
        <v>412.8</v>
      </c>
    </row>
    <row r="272" spans="1:9" ht="15.75" x14ac:dyDescent="0.25">
      <c r="A272" s="26">
        <v>42917</v>
      </c>
      <c r="B272" s="2">
        <f>'[1]ישיר מתוקן'!$G264</f>
        <v>1056980</v>
      </c>
      <c r="C272" s="2">
        <f>'[1]ישיר מתוקן'!$N264</f>
        <v>2364</v>
      </c>
      <c r="D272" s="2">
        <f>'[1]ישיר מתוקן'!$P264</f>
        <v>457668</v>
      </c>
      <c r="E272" s="2">
        <f>'[1]ישיר מתוקן'!$R264</f>
        <v>599568</v>
      </c>
      <c r="F272" s="21">
        <f>-1*'[1]ישיר מתוקן'!$AK264</f>
        <v>-65493</v>
      </c>
      <c r="G272" s="21">
        <f>-1*'[1]ישיר מתוקן'!$AL264</f>
        <v>-35285</v>
      </c>
      <c r="H272" s="18">
        <v>29868</v>
      </c>
      <c r="I272" s="35">
        <f>[2]monthly!$AC371</f>
        <v>414.3</v>
      </c>
    </row>
    <row r="273" spans="1:9" ht="15.75" x14ac:dyDescent="0.25">
      <c r="A273" s="26">
        <v>42948</v>
      </c>
      <c r="B273" s="2">
        <f>'[1]ישיר מתוקן'!$G265</f>
        <v>1124070</v>
      </c>
      <c r="C273" s="2">
        <f>'[1]ישיר מתוקן'!$N265</f>
        <v>3538</v>
      </c>
      <c r="D273" s="2">
        <f>'[1]ישיר מתוקן'!$P265</f>
        <v>473395</v>
      </c>
      <c r="E273" s="2">
        <f>'[1]ישיר מתוקן'!$R265</f>
        <v>649743</v>
      </c>
      <c r="F273" s="21">
        <f>-1*'[1]ישיר מתוקן'!$AK265</f>
        <v>-46725</v>
      </c>
      <c r="G273" s="21">
        <f>-1*'[1]ישיר מתוקן'!$AL265</f>
        <v>-41493</v>
      </c>
      <c r="H273" s="18">
        <v>29748</v>
      </c>
      <c r="I273" s="35">
        <f>[2]monthly!$AC372</f>
        <v>415.9</v>
      </c>
    </row>
    <row r="274" spans="1:9" ht="15.75" x14ac:dyDescent="0.25">
      <c r="A274" s="26">
        <v>42979</v>
      </c>
      <c r="B274" s="2">
        <f>'[1]ישיר מתוקן'!$G266</f>
        <v>927543</v>
      </c>
      <c r="C274" s="2">
        <f>'[1]ישיר מתוקן'!$N266</f>
        <v>1005</v>
      </c>
      <c r="D274" s="2">
        <f>'[1]ישיר מתוקן'!$P266</f>
        <v>383946</v>
      </c>
      <c r="E274" s="2">
        <f>'[1]ישיר מתוקן'!$R266</f>
        <v>544639</v>
      </c>
      <c r="F274" s="21">
        <f>-1*'[1]ישיר מתוקן'!$AK266</f>
        <v>-33592</v>
      </c>
      <c r="G274" s="21">
        <f>-1*'[1]ישיר מתוקן'!$AL266</f>
        <v>-22049</v>
      </c>
      <c r="H274" s="18">
        <v>28116</v>
      </c>
      <c r="I274" s="35">
        <f>[2]monthly!$AC373</f>
        <v>414.6</v>
      </c>
    </row>
    <row r="275" spans="1:9" ht="15.75" x14ac:dyDescent="0.25">
      <c r="A275" s="26">
        <v>43009</v>
      </c>
      <c r="B275" s="2">
        <f>'[1]ישיר מתוקן'!$G267</f>
        <v>866589</v>
      </c>
      <c r="C275" s="2">
        <f>'[1]ישיר מתוקן'!$N267</f>
        <v>1564</v>
      </c>
      <c r="D275" s="2">
        <f>'[1]ישיר מתוקן'!$P267</f>
        <v>334980</v>
      </c>
      <c r="E275" s="2">
        <f>'[1]ישיר מתוקן'!$R267</f>
        <v>533387</v>
      </c>
      <c r="F275" s="21">
        <f>-1*'[1]ישיר מתוקן'!$AK267</f>
        <v>-23395</v>
      </c>
      <c r="G275" s="21">
        <f>-1*'[1]ישיר מתוקן'!$AL267</f>
        <v>-14108</v>
      </c>
      <c r="H275" s="18">
        <v>28704</v>
      </c>
      <c r="I275" s="35">
        <f>[2]monthly!$AC374</f>
        <v>414.5</v>
      </c>
    </row>
    <row r="276" spans="1:9" ht="15.75" x14ac:dyDescent="0.25">
      <c r="A276" s="26">
        <v>43040</v>
      </c>
      <c r="B276" s="2">
        <f>'[1]ישיר מתוקן'!$G268</f>
        <v>1016884</v>
      </c>
      <c r="C276" s="2">
        <f>'[1]ישיר מתוקן'!$N268</f>
        <v>1788</v>
      </c>
      <c r="D276" s="2">
        <f>'[1]ישיר מתוקן'!$P268</f>
        <v>459682</v>
      </c>
      <c r="E276" s="2">
        <f>'[1]ישיר מתוקן'!$R268</f>
        <v>557828</v>
      </c>
      <c r="F276" s="21">
        <f>-1*'[1]ישיר מתוקן'!$AK268</f>
        <v>-60778</v>
      </c>
      <c r="G276" s="21">
        <f>-1*'[1]ישיר מתוקן'!$AL268</f>
        <v>-36780</v>
      </c>
      <c r="H276" s="18">
        <v>30804</v>
      </c>
      <c r="I276" s="35">
        <f>[2]monthly!$AC375</f>
        <v>411.9</v>
      </c>
    </row>
    <row r="277" spans="1:9" ht="15.75" x14ac:dyDescent="0.25">
      <c r="A277" s="26">
        <v>43070</v>
      </c>
      <c r="B277" s="2">
        <f>'[1]ישיר מתוקן'!$G269</f>
        <v>976668</v>
      </c>
      <c r="C277" s="2">
        <f>'[1]ישיר מתוקן'!$N269</f>
        <v>2044</v>
      </c>
      <c r="D277" s="2">
        <f>'[1]ישיר מתוקן'!$P269</f>
        <v>410422</v>
      </c>
      <c r="E277" s="2">
        <f>'[1]ישיר מתוקן'!$R269</f>
        <v>570171</v>
      </c>
      <c r="F277" s="21">
        <f>-1*'[1]ישיר מתוקן'!$AK269</f>
        <v>-48134</v>
      </c>
      <c r="G277" s="21">
        <f>-1*'[1]ישיר מתוקן'!$AL269</f>
        <v>-30529</v>
      </c>
      <c r="H277" s="18">
        <v>28776</v>
      </c>
      <c r="I277" s="35">
        <f>[2]monthly!$AC376</f>
        <v>407.8</v>
      </c>
    </row>
    <row r="278" spans="1:9" ht="15.75" x14ac:dyDescent="0.25">
      <c r="A278" s="26">
        <v>43101</v>
      </c>
      <c r="B278" s="2">
        <f>'[1]ישיר מתוקן'!$G270</f>
        <v>1022880</v>
      </c>
      <c r="C278" s="2">
        <f>'[1]ישיר מתוקן'!$N270</f>
        <v>1452</v>
      </c>
      <c r="D278" s="2">
        <f>'[1]ישיר מתוקן'!$P270</f>
        <v>365388</v>
      </c>
      <c r="E278" s="2">
        <f>'[1]ישיר מתוקן'!$R270</f>
        <v>658818</v>
      </c>
      <c r="F278" s="21">
        <f>-1*'[1]ישיר מתוקן'!$AK270</f>
        <v>-54015</v>
      </c>
      <c r="G278" s="21">
        <f>-1*'[1]ישיר מתוקן'!$AL270</f>
        <v>-34641</v>
      </c>
      <c r="H278" s="18">
        <v>28044</v>
      </c>
      <c r="I278" s="35">
        <f>[2]monthly!$AC377</f>
        <v>406.3</v>
      </c>
    </row>
    <row r="279" spans="1:9" ht="15.75" x14ac:dyDescent="0.25">
      <c r="A279" s="26">
        <v>43132</v>
      </c>
      <c r="B279" s="2">
        <f>'[1]ישיר מתוקן'!$G271</f>
        <v>1028478</v>
      </c>
      <c r="C279" s="2">
        <f>'[1]ישיר מתוקן'!$N271</f>
        <v>5311</v>
      </c>
      <c r="D279" s="2">
        <f>'[1]ישיר מתוקן'!$P271</f>
        <v>451953</v>
      </c>
      <c r="E279" s="2">
        <f>'[1]ישיר מתוקן'!$R271</f>
        <v>574828</v>
      </c>
      <c r="F279" s="21">
        <f>-1*'[1]ישיר מתוקן'!$AK271</f>
        <v>-36006</v>
      </c>
      <c r="G279" s="21">
        <f>-1*'[1]ישיר מתוקן'!$AL271</f>
        <v>-29617</v>
      </c>
      <c r="H279" s="18">
        <v>37068</v>
      </c>
      <c r="I279" s="35">
        <f>[2]monthly!$AC378</f>
        <v>405.9</v>
      </c>
    </row>
    <row r="280" spans="1:9" ht="15.75" x14ac:dyDescent="0.25">
      <c r="A280" s="26">
        <v>43160</v>
      </c>
      <c r="B280" s="2">
        <f>'[1]ישיר מתוקן'!$G272</f>
        <v>1174428</v>
      </c>
      <c r="C280" s="2">
        <f>'[1]ישיר מתוקן'!$N272</f>
        <v>1096</v>
      </c>
      <c r="D280" s="2">
        <f>'[1]ישיר מתוקן'!$P272</f>
        <v>519921</v>
      </c>
      <c r="E280" s="2">
        <f>'[1]ישיר מתוקן'!$R272</f>
        <v>653929</v>
      </c>
      <c r="F280" s="21">
        <f>-1*'[1]ישיר מתוקן'!$AK272</f>
        <v>-44988</v>
      </c>
      <c r="G280" s="21">
        <f>-1*'[1]ישיר מתוקן'!$AL272</f>
        <v>-24892</v>
      </c>
      <c r="H280" s="18">
        <v>30396</v>
      </c>
      <c r="I280" s="35">
        <f>[2]monthly!$AC379</f>
        <v>406.5</v>
      </c>
    </row>
    <row r="281" spans="1:9" ht="15.75" x14ac:dyDescent="0.25">
      <c r="A281" s="26">
        <v>43191</v>
      </c>
      <c r="B281" s="2">
        <f>'[1]ישיר מתוקן'!$G273</f>
        <v>881331</v>
      </c>
      <c r="C281" s="2">
        <f>'[1]ישיר מתוקן'!$N273</f>
        <v>1382</v>
      </c>
      <c r="D281" s="2">
        <f>'[1]ישיר מתוקן'!$P273</f>
        <v>366810</v>
      </c>
      <c r="E281" s="2">
        <f>'[1]ישיר מתוקן'!$R273</f>
        <v>516053</v>
      </c>
      <c r="F281" s="21">
        <f>-1*'[1]ישיר מתוקן'!$AK273</f>
        <v>-31763</v>
      </c>
      <c r="G281" s="21">
        <f>-1*'[1]ישיר מתוקן'!$AL273</f>
        <v>-21778</v>
      </c>
      <c r="H281" s="18">
        <v>29052</v>
      </c>
      <c r="I281" s="35">
        <f>[2]monthly!$AC380</f>
        <v>406.2</v>
      </c>
    </row>
    <row r="282" spans="1:9" ht="15.75" x14ac:dyDescent="0.25">
      <c r="A282" s="26">
        <v>43221</v>
      </c>
      <c r="B282" s="2">
        <f>'[1]ישיר מתוקן'!$G274</f>
        <v>1106237</v>
      </c>
      <c r="C282" s="2">
        <f>'[1]ישיר מתוקן'!$N274</f>
        <v>691</v>
      </c>
      <c r="D282" s="2">
        <f>'[1]ישיר מתוקן'!$P274</f>
        <v>510811</v>
      </c>
      <c r="E282" s="2">
        <f>'[1]ישיר מתוקן'!$R274</f>
        <v>599663</v>
      </c>
      <c r="F282" s="21">
        <f>-1*'[1]ישיר מתוקן'!$AK274</f>
        <v>-37003</v>
      </c>
      <c r="G282" s="21">
        <f>-1*'[1]ישיר מתוקן'!$AL274</f>
        <v>-21863</v>
      </c>
      <c r="H282" s="18">
        <v>30132</v>
      </c>
      <c r="I282" s="35">
        <f>[2]monthly!$AC381</f>
        <v>409.2</v>
      </c>
    </row>
    <row r="283" spans="1:9" ht="15.75" x14ac:dyDescent="0.25">
      <c r="A283" s="26">
        <v>43252</v>
      </c>
      <c r="B283" s="2">
        <f>'[1]ישיר מתוקן'!$G275</f>
        <v>1051333</v>
      </c>
      <c r="C283" s="2">
        <f>'[1]ישיר מתוקן'!$N275</f>
        <v>1321</v>
      </c>
      <c r="D283" s="2">
        <f>'[1]ישיר מתוקן'!$P275</f>
        <v>492092</v>
      </c>
      <c r="E283" s="2">
        <f>'[1]ישיר מתוקן'!$R275</f>
        <v>559808</v>
      </c>
      <c r="F283" s="21">
        <f>-1*'[1]ישיר מתוקן'!$AK275</f>
        <v>-47151</v>
      </c>
      <c r="G283" s="21">
        <f>-1*'[1]ישיר מתוקן'!$AL275</f>
        <v>-33519</v>
      </c>
      <c r="H283" s="18">
        <v>24360</v>
      </c>
      <c r="I283" s="35">
        <f>[2]monthly!$AC382</f>
        <v>410.5</v>
      </c>
    </row>
    <row r="284" spans="1:9" ht="15.75" x14ac:dyDescent="0.25">
      <c r="A284" s="26">
        <v>43282</v>
      </c>
      <c r="B284" s="2">
        <f>'[1]ישיר מתוקן'!$G276</f>
        <v>1110766</v>
      </c>
      <c r="C284" s="2">
        <f>'[1]ישיר מתוקן'!$N276</f>
        <v>1867</v>
      </c>
      <c r="D284" s="2">
        <f>'[1]ישיר מתוקן'!$P276</f>
        <v>432610</v>
      </c>
      <c r="E284" s="2">
        <f>'[1]ישיר מתוקן'!$R276</f>
        <v>679570</v>
      </c>
      <c r="F284" s="21">
        <f>-1*'[1]ישיר מתוקן'!$AK276</f>
        <v>-35672</v>
      </c>
      <c r="G284" s="21">
        <f>-1*'[1]ישיר מתוקן'!$AL276</f>
        <v>-26954</v>
      </c>
      <c r="H284" s="18">
        <v>28224</v>
      </c>
      <c r="I284" s="35">
        <f>[2]monthly!$AC383</f>
        <v>408.1</v>
      </c>
    </row>
    <row r="285" spans="1:9" ht="15.75" x14ac:dyDescent="0.25">
      <c r="A285" s="26">
        <v>43313</v>
      </c>
      <c r="B285" s="2">
        <f>'[1]ישיר מתוקן'!$G277</f>
        <v>1091491</v>
      </c>
      <c r="C285" s="2">
        <f>'[1]ישיר מתוקן'!$N277</f>
        <v>4194</v>
      </c>
      <c r="D285" s="2">
        <f>'[1]ישיר מתוקן'!$P277</f>
        <v>429016</v>
      </c>
      <c r="E285" s="2">
        <f>'[1]ישיר מתוקן'!$R277</f>
        <v>661942</v>
      </c>
      <c r="F285" s="21">
        <f>-1*'[1]ישיר מתוקן'!$AK277</f>
        <v>-40534</v>
      </c>
      <c r="G285" s="21">
        <f>-1*'[1]ישיר מתוקן'!$AL277</f>
        <v>-33170</v>
      </c>
      <c r="H285" s="18">
        <v>28800</v>
      </c>
      <c r="I285" s="35">
        <f>[2]monthly!$AC384</f>
        <v>407.4</v>
      </c>
    </row>
    <row r="286" spans="1:9" ht="15.75" x14ac:dyDescent="0.25">
      <c r="A286" s="26">
        <v>43344</v>
      </c>
      <c r="B286" s="2">
        <f>'[1]ישיר מתוקן'!$G278</f>
        <v>699485</v>
      </c>
      <c r="C286" s="2">
        <f>'[1]ישיר מתוקן'!$N278</f>
        <v>951</v>
      </c>
      <c r="D286" s="2">
        <f>'[1]ישיר מתוקן'!$P278</f>
        <v>287218</v>
      </c>
      <c r="E286" s="2">
        <f>'[1]ישיר מתוקן'!$R278</f>
        <v>412248</v>
      </c>
      <c r="F286" s="21">
        <f>-1*'[1]ישיר מתוקן'!$AK278</f>
        <v>-19848</v>
      </c>
      <c r="G286" s="21">
        <f>-1*'[1]ישיר מתוקן'!$AL278</f>
        <v>-14312</v>
      </c>
      <c r="H286" s="18">
        <v>33948</v>
      </c>
      <c r="I286" s="35">
        <f>[2]monthly!$AC385</f>
        <v>406.6</v>
      </c>
    </row>
    <row r="287" spans="1:9" ht="15.75" x14ac:dyDescent="0.25">
      <c r="A287" s="26">
        <v>43374</v>
      </c>
      <c r="B287" s="2">
        <f>'[1]ישיר מתוקן'!$G279</f>
        <v>1075160</v>
      </c>
      <c r="C287" s="2">
        <f>'[1]ישיר מתוקן'!$N279</f>
        <v>1531</v>
      </c>
      <c r="D287" s="2">
        <f>'[1]ישיר מתוקן'!$P279</f>
        <v>493405</v>
      </c>
      <c r="E287" s="2">
        <f>'[1]ישיר מתוקן'!$R279</f>
        <v>582796</v>
      </c>
      <c r="F287" s="21">
        <f>-1*'[1]ישיר מתוקן'!$AK279</f>
        <v>-53143</v>
      </c>
      <c r="G287" s="21">
        <f>-1*'[1]ישיר מתוקן'!$AL279</f>
        <v>-32410</v>
      </c>
      <c r="H287" s="18">
        <v>34404</v>
      </c>
      <c r="I287" s="35">
        <f>[2]monthly!$AC386</f>
        <v>405.8</v>
      </c>
    </row>
    <row r="288" spans="1:9" ht="15.75" x14ac:dyDescent="0.25">
      <c r="A288" s="26">
        <v>43405</v>
      </c>
      <c r="B288" s="2">
        <f>'[1]ישיר מתוקן'!$G280</f>
        <v>871154</v>
      </c>
      <c r="C288" s="2">
        <f>'[1]ישיר מתוקן'!$N280</f>
        <v>2483</v>
      </c>
      <c r="D288" s="2">
        <f>'[1]ישיר מתוקן'!$P280</f>
        <v>345566</v>
      </c>
      <c r="E288" s="2">
        <f>'[1]ישיר מתוקן'!$R280</f>
        <v>525966</v>
      </c>
      <c r="F288" s="21">
        <f>-1*'[1]ישיר מתוקן'!$AK280</f>
        <v>-52409</v>
      </c>
      <c r="G288" s="21">
        <f>-1*'[1]ישיר מתוקן'!$AL280</f>
        <v>-27924</v>
      </c>
      <c r="H288" s="18">
        <v>34944</v>
      </c>
      <c r="I288" s="35">
        <f>[2]monthly!$AC387</f>
        <v>405.5</v>
      </c>
    </row>
    <row r="289" spans="1:9" ht="15.75" x14ac:dyDescent="0.25">
      <c r="A289" s="26">
        <v>43435</v>
      </c>
      <c r="B289" s="2">
        <f>'[1]ישיר מתוקן'!$G281</f>
        <v>1061195</v>
      </c>
      <c r="C289" s="2">
        <f>'[1]ישיר מתוקן'!$N281</f>
        <v>5008</v>
      </c>
      <c r="D289" s="2">
        <f>'[1]ישיר מתוקן'!$P281</f>
        <v>482709</v>
      </c>
      <c r="E289" s="2">
        <f>'[1]ישיר מתוקן'!$R281</f>
        <v>577122</v>
      </c>
      <c r="F289" s="21">
        <f>-1*'[1]ישיר מתוקן'!$AK281</f>
        <v>-44312</v>
      </c>
      <c r="G289" s="21">
        <f>-1*'[1]ישיר מתוקן'!$AL281</f>
        <v>-36187</v>
      </c>
      <c r="H289" s="18">
        <v>38352</v>
      </c>
      <c r="I289" s="35">
        <f>[2]monthly!$AC388</f>
        <v>404.7</v>
      </c>
    </row>
    <row r="290" spans="1:9" ht="15.75" x14ac:dyDescent="0.25">
      <c r="A290" s="26">
        <v>43466</v>
      </c>
      <c r="B290" s="2">
        <f>'[1]ישיר מתוקן'!$G282</f>
        <v>1165392</v>
      </c>
      <c r="C290" s="2">
        <f>'[1]ישיר מתוקן'!$N282</f>
        <v>2742</v>
      </c>
      <c r="D290" s="2">
        <f>'[1]ישיר מתוקן'!$P282</f>
        <v>481900</v>
      </c>
      <c r="E290" s="2">
        <f>'[1]ישיר מתוקן'!$R282</f>
        <v>682221</v>
      </c>
      <c r="F290" s="21">
        <f>-1*'[1]ישיר מתוקן'!$AK282</f>
        <v>-38248</v>
      </c>
      <c r="G290" s="21">
        <f>-1*'[1]ישיר מתוקן'!$AL282</f>
        <v>-30638</v>
      </c>
      <c r="H290" s="18">
        <v>34608</v>
      </c>
      <c r="I290" s="35">
        <f>[2]monthly!$AC389</f>
        <v>408.3</v>
      </c>
    </row>
    <row r="291" spans="1:9" ht="15.75" x14ac:dyDescent="0.25">
      <c r="A291" s="26">
        <v>43497</v>
      </c>
      <c r="B291" s="2">
        <f>'[1]ישיר מתוקן'!$G283</f>
        <v>1006428</v>
      </c>
      <c r="C291" s="2">
        <f>'[1]ישיר מתוקן'!$N283</f>
        <v>1888</v>
      </c>
      <c r="D291" s="2">
        <f>'[1]ישיר מתוקן'!$P283</f>
        <v>411662</v>
      </c>
      <c r="E291" s="2">
        <f>'[1]ישיר מתוקן'!$R283</f>
        <v>594210</v>
      </c>
      <c r="F291" s="21">
        <f>-1*'[1]ישיר מתוקן'!$AK283</f>
        <v>-78879</v>
      </c>
      <c r="G291" s="21">
        <f>-1*'[1]ישיר מתוקן'!$AL283</f>
        <v>-30080</v>
      </c>
      <c r="H291" s="18">
        <v>37704</v>
      </c>
      <c r="I291" s="35">
        <f>[2]monthly!$AC390</f>
        <v>409.6</v>
      </c>
    </row>
    <row r="292" spans="1:9" ht="15.75" x14ac:dyDescent="0.25">
      <c r="A292" s="26">
        <v>43525</v>
      </c>
      <c r="B292" s="2">
        <f>'[1]ישיר מתוקן'!$G284</f>
        <v>1014237</v>
      </c>
      <c r="C292" s="2">
        <f>'[1]ישיר מתוקן'!$N284</f>
        <v>2801</v>
      </c>
      <c r="D292" s="2">
        <f>'[1]ישיר מתוקן'!$P284</f>
        <v>432476</v>
      </c>
      <c r="E292" s="2">
        <f>'[1]ישיר מתוקן'!$R284</f>
        <v>585607</v>
      </c>
      <c r="F292" s="21">
        <f>-1*'[1]ישיר מתוקן'!$AK284</f>
        <v>-44263</v>
      </c>
      <c r="G292" s="21">
        <f>-1*'[1]ישיר מתוקן'!$AL284</f>
        <v>-28726</v>
      </c>
      <c r="H292" s="18">
        <v>39648</v>
      </c>
      <c r="I292" s="35">
        <f>[2]monthly!$AC391</f>
        <v>410.8</v>
      </c>
    </row>
    <row r="293" spans="1:9" ht="15.75" x14ac:dyDescent="0.25">
      <c r="A293" s="26">
        <v>43556</v>
      </c>
      <c r="B293" s="2">
        <f>'[1]ישיר מתוקן'!$G285</f>
        <v>855019</v>
      </c>
      <c r="C293" s="2">
        <f>'[1]ישיר מתוקן'!$N285</f>
        <v>2004</v>
      </c>
      <c r="D293" s="2">
        <f>'[1]ישיר מתוקן'!$P285</f>
        <v>361665</v>
      </c>
      <c r="E293" s="2">
        <f>'[1]ישיר מתוקן'!$R285</f>
        <v>492724</v>
      </c>
      <c r="F293" s="21">
        <f>-1*'[1]ישיר מתוקן'!$AK285</f>
        <v>-32680</v>
      </c>
      <c r="G293" s="21">
        <f>-1*'[1]ישיר מתוקן'!$AL285</f>
        <v>-30539</v>
      </c>
      <c r="H293" s="18">
        <v>37608</v>
      </c>
      <c r="I293" s="35">
        <f>[2]monthly!$AC392</f>
        <v>412.9</v>
      </c>
    </row>
    <row r="294" spans="1:9" ht="15.75" x14ac:dyDescent="0.25">
      <c r="A294" s="26">
        <v>43586</v>
      </c>
      <c r="B294" s="2">
        <f>'[1]ישיר מתוקן'!$G286</f>
        <v>1154114</v>
      </c>
      <c r="C294" s="2">
        <f>'[1]ישיר מתוקן'!$N286</f>
        <v>3703</v>
      </c>
      <c r="D294" s="2">
        <f>'[1]ישיר מתוקן'!$P286</f>
        <v>430695</v>
      </c>
      <c r="E294" s="2">
        <f>'[1]ישיר מתוקן'!$R286</f>
        <v>721010</v>
      </c>
      <c r="F294" s="21">
        <f>-1*'[1]ישיר מתוקן'!$AK286</f>
        <v>-44048</v>
      </c>
      <c r="G294" s="21">
        <f>-1*'[1]ישיר מתוקן'!$AL286</f>
        <v>-24665</v>
      </c>
      <c r="H294" s="18">
        <v>38676</v>
      </c>
      <c r="I294" s="35">
        <f>[2]monthly!$AC393</f>
        <v>414.1</v>
      </c>
    </row>
    <row r="295" spans="1:9" ht="15.75" x14ac:dyDescent="0.25">
      <c r="A295" s="26">
        <v>43617</v>
      </c>
      <c r="B295" s="2">
        <f>'[1]ישיר מתוקן'!$G287</f>
        <v>996349</v>
      </c>
      <c r="C295" s="2">
        <f>'[1]ישיר מתוקן'!$N287</f>
        <v>663</v>
      </c>
      <c r="D295" s="2">
        <f>'[1]ישיר מתוקן'!$P287</f>
        <v>398243</v>
      </c>
      <c r="E295" s="2">
        <f>'[1]ישיר מתוקן'!$R287</f>
        <v>599821</v>
      </c>
      <c r="F295" s="21">
        <f>-1*'[1]ישיר מתוקן'!$AK287</f>
        <v>-42167</v>
      </c>
      <c r="G295" s="21">
        <f>-1*'[1]ישיר מתוקן'!$AL287</f>
        <v>-35027</v>
      </c>
      <c r="H295" s="18">
        <v>38616</v>
      </c>
      <c r="I295" s="35">
        <f>[2]monthly!$AC394</f>
        <v>413.7</v>
      </c>
    </row>
    <row r="296" spans="1:9" ht="15.75" x14ac:dyDescent="0.25">
      <c r="A296" s="26">
        <v>43647</v>
      </c>
      <c r="B296" s="2">
        <f>'[1]ישיר מתוקן'!$G288</f>
        <v>1048794</v>
      </c>
      <c r="C296" s="2">
        <f>'[1]ישיר מתוקן'!$N288</f>
        <v>4096</v>
      </c>
      <c r="D296" s="2">
        <f>'[1]ישיר מתוקן'!$P288</f>
        <v>420846</v>
      </c>
      <c r="E296" s="2">
        <f>'[1]ישיר מתוקן'!$R288</f>
        <v>627589</v>
      </c>
      <c r="F296" s="21">
        <f>-1*'[1]ישיר מתוקן'!$AK288</f>
        <v>-35851</v>
      </c>
      <c r="G296" s="21">
        <f>-1*'[1]ישיר מתוקן'!$AL288</f>
        <v>-26963</v>
      </c>
      <c r="H296" s="18">
        <v>40632</v>
      </c>
      <c r="I296" s="35">
        <f>[2]monthly!$AC395</f>
        <v>414.9</v>
      </c>
    </row>
    <row r="297" spans="1:9" ht="15.75" x14ac:dyDescent="0.25">
      <c r="A297" s="26">
        <v>43678</v>
      </c>
      <c r="B297" s="2">
        <f>'[1]ישיר מתוקן'!$G289</f>
        <v>1037264</v>
      </c>
      <c r="C297" s="2">
        <f>'[1]ישיר מתוקן'!$N289</f>
        <v>1153</v>
      </c>
      <c r="D297" s="2">
        <f>'[1]ישיר מתוקן'!$P289</f>
        <v>401269</v>
      </c>
      <c r="E297" s="2">
        <f>'[1]ישיר מתוקן'!$R289</f>
        <v>638437</v>
      </c>
      <c r="F297" s="21">
        <f>-1*'[1]ישיר מתוקן'!$AK289</f>
        <v>-42333</v>
      </c>
      <c r="G297" s="21">
        <f>-1*'[1]ישיר מתוקן'!$AL289</f>
        <v>-30991</v>
      </c>
      <c r="H297" s="18">
        <v>40260</v>
      </c>
      <c r="I297" s="35">
        <f>[2]monthly!$AC396</f>
        <v>414.5</v>
      </c>
    </row>
    <row r="298" spans="1:9" ht="15.75" x14ac:dyDescent="0.25">
      <c r="A298" s="26">
        <v>43709</v>
      </c>
      <c r="B298" s="2">
        <f>'[1]ישיר מתוקן'!$G290</f>
        <v>1022363</v>
      </c>
      <c r="C298" s="2">
        <f>'[1]ישיר מתוקן'!$N290</f>
        <v>1194</v>
      </c>
      <c r="D298" s="2">
        <f>'[1]ישיר מתוקן'!$P290</f>
        <v>458171</v>
      </c>
      <c r="E298" s="2">
        <f>'[1]ישיר מתוקן'!$R290</f>
        <v>568797</v>
      </c>
      <c r="F298" s="21">
        <f>-1*'[1]ישיר מתוקן'!$AK290</f>
        <v>-28284</v>
      </c>
      <c r="G298" s="21">
        <f>-1*'[1]ישיר מתוקן'!$AL290</f>
        <v>-17007</v>
      </c>
      <c r="H298" s="18">
        <v>43848</v>
      </c>
      <c r="I298" s="35">
        <f>[2]monthly!$AC397</f>
        <v>416.6</v>
      </c>
    </row>
    <row r="299" spans="1:9" ht="15.75" x14ac:dyDescent="0.25">
      <c r="A299" s="26">
        <v>43739</v>
      </c>
      <c r="B299" s="2">
        <f>'[1]ישיר מתוקן'!$G291</f>
        <v>790876</v>
      </c>
      <c r="C299" s="2">
        <f>'[1]ישיר מתוקן'!$N291</f>
        <v>600</v>
      </c>
      <c r="D299" s="2">
        <f>'[1]ישיר מתוקן'!$P291</f>
        <v>317594</v>
      </c>
      <c r="E299" s="2">
        <f>'[1]ישיר מתוקן'!$R291</f>
        <v>474961</v>
      </c>
      <c r="F299" s="21">
        <f>-1*'[1]ישיר מתוקן'!$AK291</f>
        <v>-28784</v>
      </c>
      <c r="G299" s="21">
        <f>-1*'[1]ישיר מתוקן'!$AL291</f>
        <v>-23689</v>
      </c>
      <c r="H299" s="18">
        <v>44280</v>
      </c>
      <c r="I299" s="35">
        <f>[2]monthly!$AC398</f>
        <v>418.7</v>
      </c>
    </row>
    <row r="300" spans="1:9" ht="15.75" x14ac:dyDescent="0.25">
      <c r="A300" s="26">
        <v>43770</v>
      </c>
      <c r="B300" s="2">
        <f>'[1]ישיר מתוקן'!$G292</f>
        <v>1070590</v>
      </c>
      <c r="C300" s="2">
        <f>'[1]ישיר מתוקן'!$N292</f>
        <v>1457</v>
      </c>
      <c r="D300" s="2">
        <f>'[1]ישיר מתוקן'!$P292</f>
        <v>428131</v>
      </c>
      <c r="E300" s="2">
        <f>'[1]ישיר מתוקן'!$R292</f>
        <v>641653</v>
      </c>
      <c r="F300" s="21">
        <f>-1*'[1]ישיר מתוקן'!$AK292</f>
        <v>-62327</v>
      </c>
      <c r="G300" s="21">
        <f>-1*'[1]ישיר מתוקן'!$AL292</f>
        <v>-26987</v>
      </c>
      <c r="H300" s="18">
        <v>42108</v>
      </c>
      <c r="I300" s="35">
        <f>[2]monthly!$AC399</f>
        <v>419.1</v>
      </c>
    </row>
    <row r="301" spans="1:9" ht="15.75" x14ac:dyDescent="0.25">
      <c r="A301" s="26">
        <v>43800</v>
      </c>
      <c r="B301" s="2">
        <f>'[1]ישיר מתוקן'!$G293</f>
        <v>1153116</v>
      </c>
      <c r="C301" s="2">
        <f>'[1]ישיר מתוקן'!$N293</f>
        <v>3454</v>
      </c>
      <c r="D301" s="2">
        <f>'[1]ישיר מתוקן'!$P293</f>
        <v>504374</v>
      </c>
      <c r="E301" s="2">
        <f>'[1]ישיר מתוקן'!$R293</f>
        <v>647502</v>
      </c>
      <c r="F301" s="21">
        <f>-1*'[1]ישיר מתוקן'!$AK293</f>
        <v>-75439</v>
      </c>
      <c r="G301" s="21">
        <f>-1*'[1]ישיר מתוקן'!$AL293</f>
        <v>-29075</v>
      </c>
      <c r="H301" s="18">
        <v>40800</v>
      </c>
      <c r="I301" s="35">
        <f>[2]monthly!$AC400</f>
        <v>421.6</v>
      </c>
    </row>
    <row r="302" spans="1:9" ht="15.75" x14ac:dyDescent="0.25">
      <c r="A302" s="26">
        <v>43831</v>
      </c>
      <c r="B302" s="2">
        <f>'[1]ישיר מתוקן'!$G294</f>
        <v>1295130</v>
      </c>
      <c r="C302" s="2">
        <f>'[1]ישיר מתוקן'!$N294</f>
        <v>1183</v>
      </c>
      <c r="D302" s="2">
        <f>'[1]ישיר מתוקן'!$P294</f>
        <v>513903</v>
      </c>
      <c r="E302" s="2">
        <f>'[1]ישיר מתוקן'!$R294</f>
        <v>784424</v>
      </c>
      <c r="F302" s="21">
        <f>-1*'[1]ישיר מתוקן'!$AK294</f>
        <v>-41808</v>
      </c>
      <c r="G302" s="21">
        <f>-1*'[1]ישיר מתוקן'!$AL294</f>
        <v>-30465</v>
      </c>
      <c r="H302" s="18">
        <v>43380</v>
      </c>
      <c r="I302" s="35">
        <f>[2]monthly!$AC401</f>
        <v>423.7</v>
      </c>
    </row>
    <row r="303" spans="1:9" ht="15.75" x14ac:dyDescent="0.25">
      <c r="A303" s="26">
        <v>43862</v>
      </c>
      <c r="B303" s="2">
        <f>'[1]ישיר מתוקן'!$G295</f>
        <v>1475196</v>
      </c>
      <c r="C303" s="2">
        <f>'[1]ישיר מתוקן'!$N295</f>
        <v>773</v>
      </c>
      <c r="D303" s="2">
        <f>'[1]ישיר מתוקן'!$P295</f>
        <v>596823</v>
      </c>
      <c r="E303" s="2">
        <f>'[1]ישיר מתוקן'!$R295</f>
        <v>882306</v>
      </c>
      <c r="F303" s="21">
        <f>-1*'[1]ישיר מתוקן'!$AK295</f>
        <v>-44606</v>
      </c>
      <c r="G303" s="21">
        <f>-1*'[1]ישיר מתוקן'!$AL295</f>
        <v>-29370</v>
      </c>
      <c r="H303" s="18">
        <v>43740</v>
      </c>
      <c r="I303" s="35">
        <f>[2]monthly!$AC402</f>
        <v>424.1</v>
      </c>
    </row>
    <row r="304" spans="1:9" ht="15.75" x14ac:dyDescent="0.25">
      <c r="A304" s="26">
        <v>43891</v>
      </c>
      <c r="B304" s="2">
        <f>'[1]ישיר מתוקן'!$G296</f>
        <v>1032862</v>
      </c>
      <c r="C304" s="2">
        <f>'[1]ישיר מתוקן'!$N296</f>
        <v>2439</v>
      </c>
      <c r="D304" s="2">
        <f>'[1]ישיר מתוקן'!$P296</f>
        <v>370615</v>
      </c>
      <c r="E304" s="2">
        <f>'[1]ישיר מתוקן'!$R296</f>
        <v>664825</v>
      </c>
      <c r="F304" s="21">
        <f>-1*'[1]ישיר מתוקן'!$AK296</f>
        <v>-35114</v>
      </c>
      <c r="G304" s="21">
        <f>-1*'[1]ישיר מתוקן'!$AL296</f>
        <v>-22012</v>
      </c>
      <c r="H304" s="18">
        <v>22512</v>
      </c>
      <c r="I304" s="35">
        <f>[2]monthly!$AC403</f>
        <v>423.7</v>
      </c>
    </row>
    <row r="305" spans="1:9" ht="15.75" x14ac:dyDescent="0.25">
      <c r="A305" s="26">
        <v>43922</v>
      </c>
      <c r="B305" s="2">
        <f>'[1]ישיר מתוקן'!$G297</f>
        <v>676196</v>
      </c>
      <c r="C305" s="2">
        <f>'[1]ישיר מתוקן'!$N297</f>
        <v>447</v>
      </c>
      <c r="D305" s="2">
        <f>'[1]ישיר מתוקן'!$P297</f>
        <v>269591</v>
      </c>
      <c r="E305" s="2">
        <f>'[1]ישיר מתוקן'!$R297</f>
        <v>411245</v>
      </c>
      <c r="F305" s="21">
        <f>-1*'[1]ישיר מתוקן'!$AK297</f>
        <v>-41274</v>
      </c>
      <c r="G305" s="21">
        <f>-1*'[1]ישיר מתוקן'!$AL297</f>
        <v>-20528</v>
      </c>
      <c r="H305" s="18">
        <v>10152</v>
      </c>
      <c r="I305" s="35">
        <f>[2]monthly!$AC404</f>
        <v>420.7</v>
      </c>
    </row>
    <row r="306" spans="1:9" ht="15.75" x14ac:dyDescent="0.25">
      <c r="A306" s="26">
        <v>43952</v>
      </c>
      <c r="B306" s="2">
        <f>'[1]ישיר מתוקן'!$G298</f>
        <v>820048</v>
      </c>
      <c r="C306" s="2">
        <f>'[1]ישיר מתוקן'!$N298</f>
        <v>357</v>
      </c>
      <c r="D306" s="2">
        <f>'[1]ישיר מתוקן'!$P298</f>
        <v>319857</v>
      </c>
      <c r="E306" s="2">
        <f>'[1]ישיר מתוקן'!$R298</f>
        <v>507712</v>
      </c>
      <c r="F306" s="21">
        <f>-1*'[1]ישיר מתוקן'!$AK298</f>
        <v>-35157</v>
      </c>
      <c r="G306" s="21">
        <f>-1*'[1]ישיר מתוקן'!$AL298</f>
        <v>-28427</v>
      </c>
      <c r="H306" s="18">
        <v>30132</v>
      </c>
      <c r="I306" s="35">
        <f>[2]monthly!$AC405</f>
        <v>422</v>
      </c>
    </row>
    <row r="307" spans="1:9" ht="15.75" x14ac:dyDescent="0.25">
      <c r="A307" s="26">
        <v>43983</v>
      </c>
      <c r="B307" s="2">
        <f>'[1]ישיר מתוקן'!$G299</f>
        <v>735579</v>
      </c>
      <c r="C307" s="2">
        <f>'[1]ישיר מתוקן'!$N299</f>
        <v>797</v>
      </c>
      <c r="D307" s="2">
        <f>'[1]ישיר מתוקן'!$P299</f>
        <v>337090</v>
      </c>
      <c r="E307" s="2">
        <f>'[1]ישיר מתוקן'!$R299</f>
        <v>400822</v>
      </c>
      <c r="F307" s="21">
        <f>-1*'[1]ישיר מתוקן'!$AK299</f>
        <v>-40274</v>
      </c>
      <c r="G307" s="21">
        <f>-1*'[1]ישיר מתוקן'!$AL299</f>
        <v>-23897</v>
      </c>
      <c r="H307" s="18">
        <v>46188</v>
      </c>
      <c r="I307" s="35">
        <f>[2]monthly!$AC406</f>
        <v>426.2</v>
      </c>
    </row>
    <row r="308" spans="1:9" ht="15.75" x14ac:dyDescent="0.25">
      <c r="A308" s="26">
        <v>44013</v>
      </c>
      <c r="B308" s="2">
        <f>'[1]ישיר מתוקן'!$G300</f>
        <v>1027045</v>
      </c>
      <c r="C308" s="2">
        <f>'[1]ישיר מתוקן'!$N300</f>
        <v>1257</v>
      </c>
      <c r="D308" s="2">
        <f>'[1]ישיר מתוקן'!$P300</f>
        <v>474847</v>
      </c>
      <c r="E308" s="2">
        <f>'[1]ישיר מתוקן'!$R300</f>
        <v>555453</v>
      </c>
      <c r="F308" s="21">
        <f>-1*'[1]ישיר מתוקן'!$AK300</f>
        <v>-35460</v>
      </c>
      <c r="G308" s="21">
        <f>-1*'[1]ישיר מתוקן'!$AL300</f>
        <v>-27994</v>
      </c>
      <c r="H308" s="18">
        <v>46176</v>
      </c>
      <c r="I308" s="35">
        <f>[2]monthly!$AC407</f>
        <v>426.2</v>
      </c>
    </row>
    <row r="309" spans="1:9" ht="15.75" x14ac:dyDescent="0.25">
      <c r="A309" s="26">
        <v>44044</v>
      </c>
      <c r="B309" s="2">
        <f>'[1]ישיר מתוקן'!$G301</f>
        <v>1159325</v>
      </c>
      <c r="C309" s="2">
        <f>'[1]ישיר מתוקן'!$N301</f>
        <v>1750</v>
      </c>
      <c r="D309" s="2">
        <f>'[1]ישיר מתוקן'!$P301</f>
        <v>478366</v>
      </c>
      <c r="E309" s="2">
        <f>'[1]ישיר מתוקן'!$R301</f>
        <v>684061</v>
      </c>
      <c r="F309" s="21">
        <f>-1*'[1]ישיר מתוקן'!$AK301</f>
        <v>-56955</v>
      </c>
      <c r="G309" s="21">
        <f>-1*'[1]ישיר מתוקן'!$AL301</f>
        <v>-41357</v>
      </c>
      <c r="H309" s="18">
        <v>50388</v>
      </c>
      <c r="I309" s="35">
        <f>[2]monthly!$AC408</f>
        <v>426.6</v>
      </c>
    </row>
    <row r="310" spans="1:9" ht="15.75" x14ac:dyDescent="0.25">
      <c r="A310" s="26">
        <v>44075</v>
      </c>
      <c r="B310" s="2">
        <f>'[1]ישיר מתוקן'!$G302</f>
        <v>817019</v>
      </c>
      <c r="C310" s="2">
        <f>'[1]ישיר מתוקן'!$N302</f>
        <v>2348</v>
      </c>
      <c r="D310" s="2">
        <f>'[1]ישיר מתוקן'!$P302</f>
        <v>319024</v>
      </c>
      <c r="E310" s="2">
        <f>'[1]ישיר מתוקן'!$R302</f>
        <v>499556</v>
      </c>
      <c r="F310" s="21">
        <f>-1*'[1]ישיר מתוקן'!$AK302</f>
        <v>-27090</v>
      </c>
      <c r="G310" s="21">
        <f>-1*'[1]ישיר מתוקן'!$AL302</f>
        <v>-23280</v>
      </c>
      <c r="H310" s="18">
        <v>43992</v>
      </c>
      <c r="I310" s="35">
        <f>[2]monthly!$AC409</f>
        <v>427.9</v>
      </c>
    </row>
    <row r="311" spans="1:9" ht="15.75" x14ac:dyDescent="0.25">
      <c r="A311" s="26">
        <v>44105</v>
      </c>
      <c r="B311" s="2">
        <f>'[1]ישיר מתוקן'!$G303</f>
        <v>874237</v>
      </c>
      <c r="C311" s="2">
        <f>'[1]ישיר מתוקן'!$N303</f>
        <v>159</v>
      </c>
      <c r="D311" s="2">
        <f>'[1]ישיר מתוקן'!$P303</f>
        <v>357804</v>
      </c>
      <c r="E311" s="2">
        <f>'[1]ישיר מתוקן'!$R303</f>
        <v>521199</v>
      </c>
      <c r="F311" s="21">
        <f>-1*'[1]ישיר מתוקן'!$AK303</f>
        <v>-22192</v>
      </c>
      <c r="G311" s="21">
        <f>-1*'[1]ישיר מתוקן'!$AL303</f>
        <v>-15408</v>
      </c>
      <c r="H311" s="18">
        <v>42780</v>
      </c>
      <c r="I311" s="35">
        <f>[2]monthly!$AC410</f>
        <v>431.8</v>
      </c>
    </row>
    <row r="312" spans="1:9" ht="15.75" x14ac:dyDescent="0.25">
      <c r="A312" s="26">
        <v>44136</v>
      </c>
      <c r="B312" s="2">
        <f>'[1]ישיר מתוקן'!$G304</f>
        <v>1086901</v>
      </c>
      <c r="C312" s="2">
        <f>'[1]ישיר מתוקן'!$N304</f>
        <v>599</v>
      </c>
      <c r="D312" s="2">
        <f>'[1]ישיר מתוקן'!$P304</f>
        <v>440176</v>
      </c>
      <c r="E312" s="2">
        <f>'[1]ישיר מתוקן'!$R304</f>
        <v>652098</v>
      </c>
      <c r="F312" s="21">
        <f>-1*'[1]ישיר מתוקן'!$AK304</f>
        <v>-50956</v>
      </c>
      <c r="G312" s="21">
        <f>-1*'[1]ישיר מתוקן'!$AL304</f>
        <v>-24460</v>
      </c>
      <c r="H312" s="18">
        <v>44556</v>
      </c>
      <c r="I312" s="35">
        <f>[2]monthly!$AC411</f>
        <v>435.7</v>
      </c>
    </row>
    <row r="313" spans="1:9" ht="15.75" x14ac:dyDescent="0.25">
      <c r="A313" s="26">
        <v>44166</v>
      </c>
      <c r="B313" s="2">
        <f>'[1]ישיר מתוקן'!$G305</f>
        <v>1243802</v>
      </c>
      <c r="C313" s="2">
        <f>'[1]ישיר מתוקן'!$N305</f>
        <v>2224</v>
      </c>
      <c r="D313" s="2">
        <f>'[1]ישיר מתוקן'!$P305</f>
        <v>541092</v>
      </c>
      <c r="E313" s="2">
        <f>'[1]ישיר מתוקן'!$R305</f>
        <v>704902</v>
      </c>
      <c r="F313" s="21">
        <f>-1*'[1]ישיר מתוקן'!$AK305</f>
        <v>-58380</v>
      </c>
      <c r="G313" s="21">
        <f>-1*'[1]ישיר מתוקן'!$AL305</f>
        <v>-30147</v>
      </c>
      <c r="H313" s="18">
        <v>53616</v>
      </c>
      <c r="I313" s="35">
        <f>[2]monthly!$AC412</f>
        <v>438.3</v>
      </c>
    </row>
    <row r="314" spans="1:9" ht="15.75" x14ac:dyDescent="0.25">
      <c r="A314" s="26">
        <v>44197</v>
      </c>
      <c r="B314" s="2">
        <f>'[1]ישיר מתוקן'!$G306</f>
        <v>1131256</v>
      </c>
      <c r="C314" s="2">
        <f>'[1]ישיר מתוקן'!$N306</f>
        <v>532</v>
      </c>
      <c r="D314" s="2">
        <f>'[1]ישיר מתוקן'!$P306</f>
        <v>450983</v>
      </c>
      <c r="E314" s="2">
        <f>'[1]ישיר מתוקן'!$R306</f>
        <v>685773</v>
      </c>
      <c r="F314" s="21">
        <f>-1*'[1]ישיר מתוקן'!$AK306</f>
        <v>-43037</v>
      </c>
      <c r="G314" s="21">
        <f>-1*'[1]ישיר מתוקן'!$AL306</f>
        <v>-43717</v>
      </c>
      <c r="H314" s="18">
        <v>42000</v>
      </c>
      <c r="I314" s="35">
        <f>[2]monthly!$AC413</f>
        <v>439.2</v>
      </c>
    </row>
    <row r="315" spans="1:9" ht="15.75" x14ac:dyDescent="0.25">
      <c r="A315" s="26">
        <v>44228</v>
      </c>
      <c r="B315" s="2">
        <f>'[1]ישיר מתוקן'!$G307</f>
        <v>1277279</v>
      </c>
      <c r="C315" s="2">
        <f>'[1]ישיר מתוקן'!$N307</f>
        <v>434</v>
      </c>
      <c r="D315" s="2">
        <f>'[1]ישיר מתוקן'!$P307</f>
        <v>447763</v>
      </c>
      <c r="E315" s="2">
        <f>'[1]ישיר מתוקן'!$R307</f>
        <v>832545</v>
      </c>
      <c r="F315" s="21">
        <f>-1*'[1]ישיר מתוקן'!$AK307</f>
        <v>-32987</v>
      </c>
      <c r="G315" s="21">
        <f>-1*'[1]ישיר מתוקן'!$AL307</f>
        <v>-27776</v>
      </c>
      <c r="H315" s="18">
        <v>47376</v>
      </c>
      <c r="I315" s="35">
        <f>[2]monthly!$AC414</f>
        <v>442.7</v>
      </c>
    </row>
    <row r="316" spans="1:9" ht="15.75" x14ac:dyDescent="0.25">
      <c r="A316" s="26">
        <v>44256</v>
      </c>
      <c r="B316" s="2">
        <f>'[1]ישיר מתוקן'!$G308</f>
        <v>1439374</v>
      </c>
      <c r="C316" s="2">
        <f>'[1]ישיר מתוקן'!$N308</f>
        <v>501</v>
      </c>
      <c r="D316" s="2">
        <f>'[1]ישיר מתוקן'!$P308</f>
        <v>494254</v>
      </c>
      <c r="E316" s="2">
        <f>'[1]ישיר מתוקן'!$R308</f>
        <v>947545</v>
      </c>
      <c r="F316" s="21">
        <f>-1*'[1]ישיר מתוקן'!$AK308</f>
        <v>-29385</v>
      </c>
      <c r="G316" s="21">
        <f>-1*'[1]ישיר מתוקן'!$AL308</f>
        <v>-33289</v>
      </c>
      <c r="H316" s="18">
        <v>59436</v>
      </c>
      <c r="I316" s="35">
        <f>[2]monthly!$AC415</f>
        <v>448.5</v>
      </c>
    </row>
    <row r="317" spans="1:9" ht="15.75" x14ac:dyDescent="0.25">
      <c r="A317" s="26">
        <v>44287</v>
      </c>
      <c r="B317" s="2">
        <f>'[1]ישיר מתוקן'!$G309</f>
        <v>1621912</v>
      </c>
      <c r="C317" s="2">
        <f>'[1]ישיר מתוקן'!$N309</f>
        <v>261</v>
      </c>
      <c r="D317" s="2">
        <f>'[1]ישיר מתוקן'!$P309</f>
        <v>704314</v>
      </c>
      <c r="E317" s="2">
        <f>'[1]ישיר מתוקן'!$R309</f>
        <v>926939</v>
      </c>
      <c r="F317" s="21">
        <f>-1*'[1]ישיר מתוקן'!$AK309</f>
        <v>-44334</v>
      </c>
      <c r="G317" s="21">
        <f>-1*'[1]ישיר מתוקן'!$AL309</f>
        <v>-27118</v>
      </c>
      <c r="H317" s="18">
        <v>62064</v>
      </c>
      <c r="I317" s="35">
        <f>[2]monthly!$AC416</f>
        <v>452.1</v>
      </c>
    </row>
    <row r="318" spans="1:9" ht="15.75" x14ac:dyDescent="0.25">
      <c r="A318" s="26">
        <v>44317</v>
      </c>
      <c r="B318" s="2">
        <f>'[1]ישיר מתוקן'!$G310</f>
        <v>1458241</v>
      </c>
      <c r="C318" s="2">
        <f>'[1]ישיר מתוקן'!$N310</f>
        <v>931</v>
      </c>
      <c r="D318" s="2">
        <f>'[1]ישיר מתוקן'!$P310</f>
        <v>562748</v>
      </c>
      <c r="E318" s="2">
        <f>'[1]ישיר מתוקן'!$R310</f>
        <v>899233</v>
      </c>
      <c r="F318" s="21">
        <f>-1*'[1]ישיר מתוקן'!$AK310</f>
        <v>-31542</v>
      </c>
      <c r="G318" s="21">
        <f>-1*'[1]ישיר מתוקן'!$AL310</f>
        <v>-23884</v>
      </c>
      <c r="H318" s="18">
        <v>56400</v>
      </c>
      <c r="I318" s="35">
        <f>[2]monthly!$AC417</f>
        <v>454.4</v>
      </c>
    </row>
    <row r="319" spans="1:9" ht="15.75" x14ac:dyDescent="0.25">
      <c r="A319" s="26">
        <v>44348</v>
      </c>
      <c r="B319" s="2">
        <f>'[1]ישיר מתוקן'!$G311</f>
        <v>1786762</v>
      </c>
      <c r="C319" s="2">
        <f>'[1]ישיר מתוקן'!$N311</f>
        <v>2274</v>
      </c>
      <c r="D319" s="2">
        <f>'[1]ישיר מתוקן'!$P311</f>
        <v>731146</v>
      </c>
      <c r="E319" s="2">
        <f>'[1]ישיר מתוקן'!$R311</f>
        <v>1058694</v>
      </c>
      <c r="F319" s="21">
        <f>-1*'[1]ישיר מתוקן'!$AK311</f>
        <v>-36129</v>
      </c>
      <c r="G319" s="21">
        <f>-1*'[1]ישיר מתוקן'!$AL311</f>
        <v>-71118</v>
      </c>
      <c r="H319" s="18">
        <v>57000</v>
      </c>
      <c r="I319" s="35">
        <f>[2]monthly!$AC418</f>
        <v>459.9</v>
      </c>
    </row>
    <row r="320" spans="1:9" ht="15.75" x14ac:dyDescent="0.25">
      <c r="A320" s="26">
        <v>44378</v>
      </c>
      <c r="B320" s="2">
        <f>'[1]ישיר מתוקן'!$G312</f>
        <v>1908569</v>
      </c>
      <c r="C320" s="2">
        <f>'[1]ישיר מתוקן'!$N312</f>
        <v>939</v>
      </c>
      <c r="D320" s="2">
        <f>'[1]ישיר מתוקן'!$P312</f>
        <v>873298</v>
      </c>
      <c r="E320" s="2">
        <f>'[1]ישיר מתוקן'!$R312</f>
        <v>1039148</v>
      </c>
      <c r="F320" s="21">
        <f>-1*'[1]ישיר מתוקן'!$AK312</f>
        <v>-43691</v>
      </c>
      <c r="G320" s="21">
        <f>-1*'[1]ישיר מתוקן'!$AL312</f>
        <v>-28593</v>
      </c>
      <c r="H320" s="18">
        <v>63552</v>
      </c>
      <c r="I320" s="35">
        <f>[2]monthly!$AC419</f>
        <v>465.4</v>
      </c>
    </row>
    <row r="321" spans="1:9" ht="15.75" x14ac:dyDescent="0.25">
      <c r="A321" s="26">
        <v>44409</v>
      </c>
      <c r="B321" s="2">
        <f>'[1]ישיר מתוקן'!$G313</f>
        <v>2187327</v>
      </c>
      <c r="C321" s="2">
        <f>'[1]ישיר מתוקן'!$N313</f>
        <v>1081</v>
      </c>
      <c r="D321" s="2">
        <f>'[1]ישיר מתוקן'!$P313</f>
        <v>831924</v>
      </c>
      <c r="E321" s="2">
        <f>'[1]ישיר מתוקן'!$R313</f>
        <v>1358508</v>
      </c>
      <c r="F321" s="21">
        <f>-1*'[1]ישיר מתוקן'!$AK313</f>
        <v>-56522</v>
      </c>
      <c r="G321" s="21">
        <f>-1*'[1]ישיר מתוקן'!$AL313</f>
        <v>-43661</v>
      </c>
      <c r="H321" s="18">
        <v>61020</v>
      </c>
      <c r="I321" s="35">
        <f>[2]monthly!$AC420</f>
        <v>467.3</v>
      </c>
    </row>
    <row r="322" spans="1:9" ht="15.75" x14ac:dyDescent="0.25">
      <c r="A322" s="26">
        <v>44440</v>
      </c>
      <c r="B322" s="2">
        <f>'[1]ישיר מתוקן'!$G314</f>
        <v>1576616</v>
      </c>
      <c r="C322" s="2">
        <f>'[1]ישיר מתוקן'!$N314</f>
        <v>656</v>
      </c>
      <c r="D322" s="2">
        <f>'[1]ישיר מתוקן'!$P314</f>
        <v>549623</v>
      </c>
      <c r="E322" s="2">
        <f>'[1]ישיר מתוקן'!$R314</f>
        <v>1029230</v>
      </c>
      <c r="F322" s="21">
        <f>-1*'[1]ישיר מתוקן'!$AK314</f>
        <v>-18747</v>
      </c>
      <c r="G322" s="21">
        <f>-1*'[1]ישיר מתוקן'!$AL314</f>
        <v>-19408</v>
      </c>
      <c r="H322" s="18">
        <v>56496</v>
      </c>
      <c r="I322" s="35">
        <f>[2]monthly!$AC421</f>
        <v>471</v>
      </c>
    </row>
    <row r="323" spans="1:9" ht="15.75" x14ac:dyDescent="0.25">
      <c r="A323" s="26">
        <v>44470</v>
      </c>
      <c r="B323" s="2">
        <f>'[1]ישיר מתוקן'!$G315</f>
        <v>2452047</v>
      </c>
      <c r="C323" s="2">
        <f>'[1]ישיר מתוקן'!$N315</f>
        <v>7660</v>
      </c>
      <c r="D323" s="2">
        <f>'[1]ישיר מתוקן'!$P315</f>
        <v>1003571</v>
      </c>
      <c r="E323" s="2">
        <f>'[1]ישיר מתוקן'!$R315</f>
        <v>1445654</v>
      </c>
      <c r="F323" s="21">
        <f>-1*'[1]ישיר מתוקן'!$AK315</f>
        <v>-32314</v>
      </c>
      <c r="G323" s="21">
        <f>-1*'[1]ישיר מתוקן'!$AL315</f>
        <v>-22319</v>
      </c>
      <c r="H323" s="18">
        <v>66936</v>
      </c>
      <c r="I323" s="35">
        <f>[2]monthly!$AC422</f>
        <v>477.6</v>
      </c>
    </row>
    <row r="324" spans="1:9" ht="15.75" x14ac:dyDescent="0.25">
      <c r="A324" s="26">
        <v>44501</v>
      </c>
      <c r="B324" s="2">
        <f>'[1]ישיר מתוקן'!$G316</f>
        <v>2365057</v>
      </c>
      <c r="C324" s="2">
        <f>'[1]ישיר מתוקן'!$N316</f>
        <v>1256</v>
      </c>
      <c r="D324" s="2">
        <f>'[1]ישיר מתוקן'!$P316</f>
        <v>944218</v>
      </c>
      <c r="E324" s="2">
        <f>'[1]ישיר מתוקן'!$R316</f>
        <v>1426958</v>
      </c>
      <c r="F324" s="21">
        <f>-1*'[1]ישיר מתוקן'!$AK316</f>
        <v>-66882</v>
      </c>
      <c r="G324" s="21">
        <f>-1*'[1]ישיר מתוקן'!$AL316</f>
        <v>-30616</v>
      </c>
      <c r="H324" s="18">
        <v>69768</v>
      </c>
      <c r="I324" s="35">
        <f>[2]monthly!$AC423</f>
        <v>485.7</v>
      </c>
    </row>
    <row r="325" spans="1:9" ht="15.75" x14ac:dyDescent="0.25">
      <c r="A325" s="26">
        <v>44531</v>
      </c>
      <c r="B325" s="2">
        <f>'[1]ישיר מתוקן'!$G317</f>
        <v>2514460</v>
      </c>
      <c r="C325" s="2">
        <f>'[1]ישיר מתוקן'!$N317</f>
        <v>7475</v>
      </c>
      <c r="D325" s="2">
        <f>'[1]ישיר מתוקן'!$P317</f>
        <v>1079156</v>
      </c>
      <c r="E325" s="2">
        <f>'[1]ישיר מתוקן'!$R317</f>
        <v>1438785</v>
      </c>
      <c r="F325" s="21">
        <f>-1*'[1]ישיר מתוקן'!$AK317</f>
        <v>-59895</v>
      </c>
      <c r="G325" s="21">
        <f>-1*'[1]ישיר מתוקן'!$AL317</f>
        <v>-36925</v>
      </c>
      <c r="H325" s="18">
        <v>49524</v>
      </c>
      <c r="I325" s="35">
        <f>[2]monthly!$AC424</f>
        <v>495.9</v>
      </c>
    </row>
    <row r="326" spans="1:9" ht="15.75" x14ac:dyDescent="0.25">
      <c r="A326" s="26">
        <v>44562</v>
      </c>
      <c r="B326" s="2">
        <f>'[1]ישיר מתוקן'!$G318</f>
        <v>2531641</v>
      </c>
      <c r="C326" s="2">
        <f>'[1]ישיר מתוקן'!$N318</f>
        <v>2621</v>
      </c>
      <c r="D326" s="2">
        <f>'[1]ישיר מתוקן'!$P318</f>
        <v>1040907</v>
      </c>
      <c r="E326" s="2">
        <f>'[1]ישיר מתוקן'!$R318</f>
        <v>1493996</v>
      </c>
      <c r="F326" s="21">
        <f>-1*'[1]ישיר מתוקן'!$AK318</f>
        <v>-56120</v>
      </c>
      <c r="G326" s="21">
        <f>-1*'[1]ישיר מתוקן'!$AL318</f>
        <v>-36648</v>
      </c>
      <c r="H326" s="18">
        <v>51492</v>
      </c>
      <c r="I326" s="35">
        <f>[2]monthly!$AC425</f>
        <v>503.8</v>
      </c>
    </row>
    <row r="327" spans="1:9" ht="15.75" x14ac:dyDescent="0.25">
      <c r="A327" s="26">
        <v>44593</v>
      </c>
      <c r="B327" s="2">
        <f>'[1]ישיר מתוקן'!$G319</f>
        <v>2197694</v>
      </c>
      <c r="C327" s="2">
        <f>'[1]ישיר מתוקן'!$N319</f>
        <v>1071</v>
      </c>
      <c r="D327" s="2">
        <f>'[1]ישיר מתוקן'!$P319</f>
        <v>944163</v>
      </c>
      <c r="E327" s="2">
        <f>'[1]ישיר מתוקן'!$R319</f>
        <v>1262461</v>
      </c>
      <c r="F327" s="21">
        <f>-1*'[1]ישיר מתוקן'!$AK319</f>
        <v>-42479</v>
      </c>
      <c r="G327" s="21">
        <f>-1*'[1]ישיר מתוקן'!$AL319</f>
        <v>-24522</v>
      </c>
      <c r="H327" s="18">
        <v>43800</v>
      </c>
      <c r="I327" s="35">
        <f>[2]monthly!$AC426</f>
        <v>511.9</v>
      </c>
    </row>
    <row r="328" spans="1:9" ht="15.75" x14ac:dyDescent="0.25">
      <c r="A328" s="26">
        <v>44621</v>
      </c>
      <c r="B328" s="2">
        <f>'[1]ישיר מתוקן'!$G320</f>
        <v>2579876</v>
      </c>
      <c r="C328" s="2">
        <f>'[1]ישיר מתוקן'!$N320</f>
        <v>2925</v>
      </c>
      <c r="D328" s="2">
        <f>'[1]ישיר מתוקן'!$P320</f>
        <v>1119751</v>
      </c>
      <c r="E328" s="2">
        <f>'[1]ישיר מתוקן'!$R320</f>
        <v>1462700</v>
      </c>
      <c r="F328" s="21">
        <f>-1*'[1]ישיר מתוקן'!$AK320</f>
        <v>-33643</v>
      </c>
      <c r="G328" s="21">
        <f>-1*'[1]ישיר מתוקן'!$AL320</f>
        <v>-31018</v>
      </c>
      <c r="H328" s="18">
        <v>46884</v>
      </c>
      <c r="I328" s="35">
        <f>[2]monthly!$AC427</f>
        <v>517</v>
      </c>
    </row>
    <row r="329" spans="1:9" ht="15.75" x14ac:dyDescent="0.25">
      <c r="A329" s="26">
        <v>44652</v>
      </c>
      <c r="B329" s="2">
        <f>'[1]ישיר מתוקן'!$G321</f>
        <v>1931780</v>
      </c>
      <c r="C329" s="2">
        <f>'[1]ישיר מתוקן'!$N321</f>
        <v>2729</v>
      </c>
      <c r="D329" s="2">
        <f>'[1]ישיר מתוקן'!$P321</f>
        <v>979060</v>
      </c>
      <c r="E329" s="2">
        <f>'[1]ישיר מתוקן'!$R321</f>
        <v>955942</v>
      </c>
      <c r="F329" s="21">
        <f>-1*'[1]ישיר מתוקן'!$AK321</f>
        <v>-37385</v>
      </c>
      <c r="G329" s="21">
        <f>-1*'[1]ישיר מתוקן'!$AL321</f>
        <v>-22405</v>
      </c>
      <c r="H329" s="18">
        <v>44280</v>
      </c>
      <c r="I329" s="35">
        <f>[2]monthly!$AC428</f>
        <v>525.29999999999995</v>
      </c>
    </row>
    <row r="330" spans="1:9" ht="15.75" x14ac:dyDescent="0.25">
      <c r="A330" s="26">
        <v>44682</v>
      </c>
      <c r="B330" s="2">
        <f>'[1]ישיר מתוקן'!$G322</f>
        <v>2737852</v>
      </c>
      <c r="C330" s="2">
        <f>'[1]ישיר מתוקן'!$N322</f>
        <v>1040</v>
      </c>
      <c r="D330" s="2">
        <f>'[1]ישיר מתוקן'!$P322</f>
        <v>995056</v>
      </c>
      <c r="E330" s="2">
        <f>'[1]ישיר מתוקן'!$R322</f>
        <v>1746796</v>
      </c>
      <c r="F330" s="21">
        <f>-1*'[1]ישיר מתוקן'!$AK322</f>
        <v>-55242</v>
      </c>
      <c r="G330" s="21">
        <f>-1*'[1]ישיר מתוקן'!$AL322</f>
        <v>-36433</v>
      </c>
      <c r="H330" s="18">
        <v>44220</v>
      </c>
      <c r="I330" s="35">
        <f>[2]monthly!$AC429</f>
        <v>536.29999999999995</v>
      </c>
    </row>
    <row r="331" spans="1:9" ht="15.75" x14ac:dyDescent="0.25">
      <c r="A331" s="26">
        <v>44713</v>
      </c>
      <c r="B331" s="2">
        <f>'[1]ישיר מתוקן'!$G323</f>
        <v>2556905</v>
      </c>
      <c r="C331" s="2">
        <f>'[1]ישיר מתוקן'!$N323</f>
        <v>1519</v>
      </c>
      <c r="D331" s="2">
        <f>'[1]ישיר מתוקן'!$P323</f>
        <v>1188675</v>
      </c>
      <c r="E331" s="2">
        <f>'[1]ישיר מתוקן'!$R323</f>
        <v>1376817</v>
      </c>
      <c r="F331" s="21">
        <f>-1*'[1]ישיר מתוקן'!$AK323</f>
        <v>-55775</v>
      </c>
      <c r="G331" s="21">
        <f>-1*'[1]ישיר מתוקן'!$AL323</f>
        <v>-35984</v>
      </c>
      <c r="H331" s="18">
        <v>39936</v>
      </c>
      <c r="I331" s="35">
        <f>[2]monthly!$AC430</f>
        <v>543.79999999999995</v>
      </c>
    </row>
    <row r="332" spans="1:9" ht="15.75" x14ac:dyDescent="0.25">
      <c r="A332" s="26">
        <v>44743</v>
      </c>
      <c r="B332" s="2">
        <f>'[1]ישיר מתוקן'!$G324</f>
        <v>2234551</v>
      </c>
      <c r="C332" s="2">
        <f>'[1]ישיר מתוקן'!$N324</f>
        <v>10729</v>
      </c>
      <c r="D332" s="2">
        <f>'[1]ישיר מתוקן'!$P324</f>
        <v>909360</v>
      </c>
      <c r="E332" s="2">
        <f>'[1]ישיר מתוקן'!$R324</f>
        <v>1319363</v>
      </c>
      <c r="F332" s="21">
        <f>-1*'[1]ישיר מתוקן'!$AK324</f>
        <v>-40955</v>
      </c>
      <c r="G332" s="21">
        <f>-1*'[1]ישיר מתוקן'!$AL324</f>
        <v>-22932</v>
      </c>
      <c r="H332" s="18">
        <v>34356</v>
      </c>
      <c r="I332" s="35">
        <f>[2]monthly!$AC431</f>
        <v>553.6</v>
      </c>
    </row>
    <row r="333" spans="1:9" ht="15.75" x14ac:dyDescent="0.25">
      <c r="A333" s="26">
        <v>44774</v>
      </c>
      <c r="B333" s="2">
        <f>'[1]ישיר מתוקן'!$G325</f>
        <v>2270444</v>
      </c>
      <c r="C333" s="2">
        <f>'[1]ישיר מתוקן'!$N325</f>
        <v>1600</v>
      </c>
      <c r="D333" s="2">
        <f>'[1]ישיר מתוקן'!$P325</f>
        <v>1002808</v>
      </c>
      <c r="E333" s="2">
        <f>'[1]ישיר מתוקן'!$R325</f>
        <v>1273515</v>
      </c>
      <c r="F333" s="21">
        <f>-1*'[1]ישיר מתוקן'!$AK325</f>
        <v>-57997</v>
      </c>
      <c r="G333" s="21">
        <f>-1*'[1]ישיר מתוקן'!$AL325</f>
        <v>-44798</v>
      </c>
      <c r="H333" s="18">
        <v>32352</v>
      </c>
      <c r="I333" s="35">
        <f>[2]monthly!$AC432</f>
        <v>559.70000000000005</v>
      </c>
    </row>
    <row r="334" spans="1:9" ht="15.75" x14ac:dyDescent="0.25">
      <c r="A334" s="26">
        <v>44805</v>
      </c>
      <c r="B334" s="2">
        <f>'[1]ישיר מתוקן'!$G326</f>
        <v>1863208</v>
      </c>
      <c r="C334" s="2">
        <f>'[1]ישיר מתוקן'!$N326</f>
        <v>1066</v>
      </c>
      <c r="D334" s="2">
        <f>'[1]ישיר מתוקן'!$P326</f>
        <v>769430</v>
      </c>
      <c r="E334" s="2">
        <f>'[1]ישיר מתוקן'!$R326</f>
        <v>1104356</v>
      </c>
      <c r="F334" s="21">
        <f>-1*'[1]ישיר מתוקן'!$AK326</f>
        <v>-46300</v>
      </c>
      <c r="G334" s="21">
        <f>-1*'[1]ישיר מתוקן'!$AL326</f>
        <v>-36472</v>
      </c>
      <c r="H334" s="18">
        <v>35268</v>
      </c>
      <c r="I334" s="35">
        <f>[2]monthly!$AC433</f>
        <v>565.29999999999995</v>
      </c>
    </row>
    <row r="335" spans="1:9" ht="15.75" x14ac:dyDescent="0.25">
      <c r="A335" s="26">
        <v>44835</v>
      </c>
      <c r="B335" s="2">
        <f>'[1]ישיר מתוקן'!$G327</f>
        <v>1605250</v>
      </c>
      <c r="C335" s="2">
        <f>'[1]ישיר מתוקן'!$N327</f>
        <v>509</v>
      </c>
      <c r="D335" s="2">
        <f>'[1]ישיר מתוקן'!$P327</f>
        <v>717451</v>
      </c>
      <c r="E335" s="2">
        <f>'[1]ישיר מתוקן'!$R327</f>
        <v>896758</v>
      </c>
      <c r="F335" s="21">
        <f>-1*'[1]ישיר מתוקן'!$AK327</f>
        <v>-29393</v>
      </c>
      <c r="G335" s="21">
        <f>-1*'[1]ישיר מתוקן'!$AL327</f>
        <v>-17941</v>
      </c>
      <c r="H335" s="18">
        <v>31656</v>
      </c>
      <c r="I335" s="35">
        <f>[2]monthly!$AC434</f>
        <v>567</v>
      </c>
    </row>
    <row r="336" spans="1:9" ht="15.75" x14ac:dyDescent="0.25">
      <c r="A336" s="26">
        <v>44866</v>
      </c>
      <c r="B336" s="2">
        <f>'[1]ישיר מתוקן'!$G328</f>
        <v>2121347</v>
      </c>
      <c r="C336" s="2">
        <f>'[1]ישיר מתוקן'!$N328</f>
        <v>1815</v>
      </c>
      <c r="D336" s="2">
        <f>'[1]ישיר מתוקן'!$P328</f>
        <v>995347</v>
      </c>
      <c r="E336" s="2">
        <f>'[1]ישיר מתוקן'!$R328</f>
        <v>1129325</v>
      </c>
      <c r="F336" s="21">
        <f>-1*'[1]ישיר מתוקן'!$AK328</f>
        <v>-48245</v>
      </c>
      <c r="G336" s="21">
        <f>-1*'[1]ישיר מתוקן'!$AL328</f>
        <v>-34952</v>
      </c>
      <c r="H336" s="18">
        <v>32676</v>
      </c>
      <c r="I336" s="35">
        <f>[2]monthly!$AC435</f>
        <v>567.6</v>
      </c>
    </row>
    <row r="337" spans="1:9" ht="15.75" x14ac:dyDescent="0.25">
      <c r="A337" s="26">
        <v>44896</v>
      </c>
      <c r="B337" s="2">
        <f>'[1]ישיר מתוקן'!$G329</f>
        <v>1705296</v>
      </c>
      <c r="C337" s="2">
        <f>'[1]ישיר מתוקן'!$N329</f>
        <v>2549</v>
      </c>
      <c r="D337" s="2">
        <f>'[1]ישיר מתוקן'!$P329</f>
        <v>847172</v>
      </c>
      <c r="E337" s="2">
        <f>'[1]ישיר מתוקן'!$R329</f>
        <v>860747</v>
      </c>
      <c r="F337" s="21">
        <f>-1*'[1]ישיר מתוקן'!$AK329</f>
        <v>-84545</v>
      </c>
      <c r="G337" s="21">
        <f>-1*'[1]ישיר מתוקן'!$AL329</f>
        <v>-45990</v>
      </c>
      <c r="H337" s="18">
        <v>29292</v>
      </c>
      <c r="I337" s="35">
        <f>[2]monthly!$AC436</f>
        <v>568.70000000000005</v>
      </c>
    </row>
    <row r="338" spans="1:9" ht="15.75" x14ac:dyDescent="0.25">
      <c r="A338" s="26">
        <v>44927</v>
      </c>
      <c r="B338" s="2">
        <f>'[1]ישיר מתוקן'!$G330</f>
        <v>1849827</v>
      </c>
      <c r="C338" s="2">
        <f>'[1]ישיר מתוקן'!$N330</f>
        <v>2959</v>
      </c>
      <c r="D338" s="2">
        <f>'[1]ישיר מתוקן'!$P330</f>
        <v>823051</v>
      </c>
      <c r="E338" s="2">
        <f>'[1]ישיר מתוקן'!$R330</f>
        <v>1028755</v>
      </c>
      <c r="F338" s="21">
        <f>-1*'[1]ישיר מתוקן'!$AK330</f>
        <v>-50622</v>
      </c>
      <c r="G338" s="21">
        <f>-1*'[1]ישיר מתוקן'!$AL330</f>
        <v>-32563</v>
      </c>
      <c r="H338" s="18">
        <v>25824</v>
      </c>
      <c r="I338" s="35">
        <f>[2]monthly!$AC437</f>
        <v>568.70000000000005</v>
      </c>
    </row>
    <row r="339" spans="1:9" ht="15.75" x14ac:dyDescent="0.25">
      <c r="A339" s="26">
        <v>44958</v>
      </c>
      <c r="B339" s="2">
        <f>'[1]ישיר מתוקן'!$G331</f>
        <v>1953443</v>
      </c>
      <c r="C339" s="2">
        <f>'[1]ישיר מתוקן'!$N331</f>
        <v>2194</v>
      </c>
      <c r="D339" s="2">
        <f>'[1]ישיר מתוקן'!$P331</f>
        <v>719227</v>
      </c>
      <c r="E339" s="2">
        <f>'[1]ישיר מתוקן'!$R331</f>
        <v>1239301</v>
      </c>
      <c r="F339" s="21">
        <f>-1*'[1]ישיר מתוקן'!$AK331</f>
        <v>-56727</v>
      </c>
      <c r="G339" s="21">
        <f>-1*'[1]ישיר מתוקן'!$AL331</f>
        <v>-54748</v>
      </c>
      <c r="H339" s="18">
        <v>31560</v>
      </c>
      <c r="I339" s="35">
        <f>[2]monthly!$AC438</f>
        <v>568.70000000000005</v>
      </c>
    </row>
    <row r="340" spans="1:9" ht="15.75" x14ac:dyDescent="0.25">
      <c r="A340" s="26">
        <v>44986</v>
      </c>
      <c r="B340" s="2">
        <f>'[1]ישיר מתוקן'!$G332</f>
        <v>1630700</v>
      </c>
      <c r="C340" s="2">
        <f>'[1]ישיר מתוקן'!$N332</f>
        <v>682</v>
      </c>
      <c r="D340" s="2">
        <f>'[1]ישיר מתוקן'!$P332</f>
        <v>674872</v>
      </c>
      <c r="E340" s="2">
        <f>'[1]ישיר מתוקן'!$R332</f>
        <v>962089</v>
      </c>
      <c r="F340" s="21">
        <f>-1*'[1]ישיר מתוקן'!$AK332</f>
        <v>-62848</v>
      </c>
      <c r="G340" s="21">
        <f>-1*'[1]ישיר מתוקן'!$AL332</f>
        <v>-45815</v>
      </c>
      <c r="H340" s="18">
        <v>27576</v>
      </c>
      <c r="I340" s="35">
        <f>[2]monthly!$AC439</f>
        <v>567.6</v>
      </c>
    </row>
    <row r="341" spans="1:9" ht="15.75" x14ac:dyDescent="0.25">
      <c r="A341" s="26">
        <v>45017</v>
      </c>
      <c r="B341" s="2">
        <f>'[1]ישיר מתוקן'!$G333</f>
        <v>1087317</v>
      </c>
      <c r="C341" s="2">
        <f>'[1]ישיר מתוקן'!$N333</f>
        <v>664</v>
      </c>
      <c r="D341" s="2">
        <f>'[1]ישיר מתוקן'!$P333</f>
        <v>465117</v>
      </c>
      <c r="E341" s="2">
        <f>'[1]ישיר מתוקן'!$R333</f>
        <v>626432</v>
      </c>
      <c r="F341" s="21">
        <f>-1*'[1]ישיר מתוקן'!$AK333</f>
        <v>-50860</v>
      </c>
      <c r="G341" s="21">
        <f>-1*'[1]ישיר מתוקן'!$AL333</f>
        <v>-33807</v>
      </c>
      <c r="H341" s="18">
        <v>27732</v>
      </c>
      <c r="I341" s="35">
        <f>[2]monthly!$AC440</f>
        <v>564.79999999999995</v>
      </c>
    </row>
    <row r="342" spans="1:9" ht="15.75" x14ac:dyDescent="0.25">
      <c r="A342" s="26">
        <v>45047</v>
      </c>
      <c r="B342" s="2">
        <f>'[1]ישיר מתוקן'!$G334</f>
        <v>1466859</v>
      </c>
      <c r="C342" s="2">
        <f>'[1]ישיר מתוקן'!$N334</f>
        <v>1116</v>
      </c>
      <c r="D342" s="2">
        <f>'[1]ישיר מתוקן'!$P334</f>
        <v>637318</v>
      </c>
      <c r="E342" s="2">
        <f>'[1]ישיר מתוקן'!$R334</f>
        <v>833125</v>
      </c>
      <c r="F342" s="21">
        <f>-1*'[1]ישיר מתוקן'!$AK334</f>
        <v>-59976</v>
      </c>
      <c r="G342" s="21">
        <f>-1*'[1]ישיר מתוקן'!$AL334</f>
        <v>-61791</v>
      </c>
      <c r="H342" s="18">
        <v>28608</v>
      </c>
      <c r="I342" s="35">
        <f>[2]monthly!$AC441</f>
        <v>561.4</v>
      </c>
    </row>
    <row r="343" spans="1:9" ht="15.75" x14ac:dyDescent="0.25">
      <c r="A343" s="26">
        <v>45078</v>
      </c>
      <c r="B343" s="2">
        <f>'[1]ישיר מתוקן'!$G335</f>
        <v>1238060</v>
      </c>
      <c r="C343" s="2">
        <f>'[1]ישיר מתוקן'!$N335</f>
        <v>5597</v>
      </c>
      <c r="D343" s="2">
        <f>'[1]ישיר מתוקן'!$P335</f>
        <v>583108</v>
      </c>
      <c r="E343" s="2">
        <f>'[1]ישיר מתוקן'!$R335</f>
        <v>659568</v>
      </c>
      <c r="F343" s="21">
        <f>-1*'[1]ישיר מתוקן'!$AK335</f>
        <v>-59492</v>
      </c>
      <c r="G343" s="21">
        <f>-1*'[1]ישיר מתוקן'!$AL335</f>
        <v>-54292</v>
      </c>
      <c r="H343" s="18">
        <v>29508</v>
      </c>
      <c r="I343" s="35">
        <f>[2]monthly!$AC442</f>
        <v>560.29999999999995</v>
      </c>
    </row>
    <row r="344" spans="1:9" ht="15.75" x14ac:dyDescent="0.25">
      <c r="A344" s="26">
        <v>45108</v>
      </c>
      <c r="B344" s="2">
        <f>'[1]ישיר מתוקן'!$G336</f>
        <v>1297374</v>
      </c>
      <c r="C344" s="2">
        <f>'[1]ישיר מתוקן'!$N336</f>
        <v>6261</v>
      </c>
      <c r="D344" s="2">
        <f>'[1]ישיר מתוקן'!$P336</f>
        <v>555003</v>
      </c>
      <c r="E344" s="2">
        <f>'[1]ישיר מתוקן'!$R336</f>
        <v>742964</v>
      </c>
      <c r="F344" s="21">
        <f>-1*'[1]ישיר מתוקן'!$AK336</f>
        <v>-89049</v>
      </c>
      <c r="G344" s="21">
        <f>-1*'[1]ישיר מתוקן'!$AL336</f>
        <v>-54677</v>
      </c>
      <c r="H344" s="18">
        <v>29424</v>
      </c>
      <c r="I344" s="35">
        <f>[2]monthly!$AC443</f>
        <v>559.20000000000005</v>
      </c>
    </row>
    <row r="345" spans="1:9" ht="15.75" x14ac:dyDescent="0.25">
      <c r="A345" s="26">
        <v>45139</v>
      </c>
      <c r="B345" s="2">
        <f>'[1]ישיר מתוקן'!$G337</f>
        <v>1276564</v>
      </c>
      <c r="C345" s="2">
        <f>'[1]ישיר מתוקן'!$N337</f>
        <v>631</v>
      </c>
      <c r="D345" s="2">
        <f>'[1]ישיר מתוקן'!$P337</f>
        <v>505765</v>
      </c>
      <c r="E345" s="2">
        <f>'[1]ישיר מתוקן'!$R337</f>
        <v>777130</v>
      </c>
      <c r="F345" s="21">
        <f>-1*'[1]ישיר מתוקן'!$AK337</f>
        <v>-77429</v>
      </c>
      <c r="G345" s="21">
        <f>-1*'[1]ישיר מתוקן'!$AL337</f>
        <v>-41250</v>
      </c>
      <c r="H345" s="18">
        <v>37284</v>
      </c>
      <c r="I345" s="35">
        <f>[2]monthly!$AC444</f>
        <v>558.6</v>
      </c>
    </row>
    <row r="346" spans="1:9" ht="15.75" x14ac:dyDescent="0.25">
      <c r="A346" s="26">
        <v>45170</v>
      </c>
      <c r="B346" s="2">
        <f>'[1]ישיר מתוקן'!$G338</f>
        <v>998363</v>
      </c>
      <c r="C346" s="2">
        <f>'[1]ישיר מתוקן'!$N338</f>
        <v>416</v>
      </c>
      <c r="D346" s="2">
        <f>'[1]ישיר מתוקן'!$P338</f>
        <v>378114</v>
      </c>
      <c r="E346" s="2">
        <f>'[1]ישיר מתוקן'!$R338</f>
        <v>625730</v>
      </c>
      <c r="F346" s="21">
        <f>-1*'[1]ישיר מתוקן'!$AK338</f>
        <v>-49746</v>
      </c>
      <c r="G346" s="21">
        <f>-1*'[1]ישיר מתוקן'!$AL338</f>
        <v>-33101</v>
      </c>
      <c r="H346" s="18">
        <v>34152</v>
      </c>
      <c r="I346" s="35">
        <f>[2]monthly!$AC445</f>
        <v>557.5</v>
      </c>
    </row>
    <row r="347" spans="1:9" ht="15.75" x14ac:dyDescent="0.25">
      <c r="A347" s="26">
        <v>45200</v>
      </c>
      <c r="B347" s="2">
        <f>'[1]ישיר מתוקן'!$G339</f>
        <v>1140675</v>
      </c>
      <c r="C347" s="2">
        <f>'[1]ישיר מתוקן'!$N339</f>
        <v>656</v>
      </c>
      <c r="D347" s="2">
        <f>'[1]ישיר מתוקן'!$P339</f>
        <v>506935</v>
      </c>
      <c r="E347" s="2">
        <f>'[1]ישיר מתוקן'!$R339</f>
        <v>641813</v>
      </c>
      <c r="F347" s="21">
        <f>-1*'[1]ישיר מתוקן'!$AK339</f>
        <v>-65433</v>
      </c>
      <c r="G347" s="21">
        <f>-1*'[1]ישיר מתוקן'!$AL339</f>
        <v>-32702</v>
      </c>
      <c r="H347" s="18">
        <v>12252</v>
      </c>
      <c r="I347" s="35">
        <f>[2]monthly!$AC446</f>
        <v>554.70000000000005</v>
      </c>
    </row>
    <row r="348" spans="1:9" ht="15.75" x14ac:dyDescent="0.25">
      <c r="A348" s="26">
        <v>45231</v>
      </c>
      <c r="B348" s="2">
        <f>'[1]ישיר מתוקן'!$G340</f>
        <v>920769</v>
      </c>
      <c r="C348" s="2">
        <f>'[1]ישיר מתוקן'!$N340</f>
        <v>1150</v>
      </c>
      <c r="D348" s="2">
        <f>'[1]ישיר מתוקן'!$P340</f>
        <v>358116</v>
      </c>
      <c r="E348" s="2">
        <f>'[1]ישיר מתוקן'!$R340</f>
        <v>568918</v>
      </c>
      <c r="F348" s="21">
        <f>-1*'[1]ישיר מתוקן'!$AK340</f>
        <v>-60970</v>
      </c>
      <c r="G348" s="21">
        <f>-1*'[1]ישיר מתוקן'!$AL340</f>
        <v>-44445</v>
      </c>
      <c r="H348" s="18">
        <v>18384</v>
      </c>
      <c r="I348" s="35">
        <f>[2]monthly!$AC447</f>
        <v>558</v>
      </c>
    </row>
    <row r="349" spans="1:9" ht="15.75" x14ac:dyDescent="0.25">
      <c r="A349" s="26">
        <v>45261</v>
      </c>
      <c r="B349" s="2">
        <f>'[1]ישיר מתוקן'!$G341</f>
        <v>834029</v>
      </c>
      <c r="C349" s="2">
        <f>'[1]ישיר מתוקן'!$N341</f>
        <v>1593</v>
      </c>
      <c r="D349" s="2">
        <f>'[1]ישיר מתוקן'!$P341</f>
        <v>336232</v>
      </c>
      <c r="E349" s="2">
        <f>'[1]ישיר מתוקן'!$R341</f>
        <v>501205</v>
      </c>
      <c r="F349" s="21">
        <f>-1*'[1]ישיר מתוקן'!$AK341</f>
        <v>-48722</v>
      </c>
      <c r="G349" s="21">
        <f>-1*'[1]ישיר מתוקן'!$AL341</f>
        <v>-48929</v>
      </c>
      <c r="H349" s="18">
        <v>30264</v>
      </c>
      <c r="I349" s="35">
        <f>[2]monthly!$AC448</f>
        <v>563</v>
      </c>
    </row>
    <row r="350" spans="1:9" ht="15.75" x14ac:dyDescent="0.25">
      <c r="A350" s="26">
        <v>45292</v>
      </c>
      <c r="B350" s="2">
        <f>'[1]ישיר מתוקן'!$G342</f>
        <v>1378118</v>
      </c>
      <c r="C350" s="2">
        <f>'[1]ישיר מתוקן'!$N342</f>
        <v>2545</v>
      </c>
      <c r="D350" s="2">
        <f>'[1]ישיר מתוקן'!$P342</f>
        <v>640472</v>
      </c>
      <c r="E350" s="2">
        <f>'[1]ישיר מתוקן'!$R342</f>
        <v>740239</v>
      </c>
      <c r="F350" s="21">
        <f>-1*'[1]ישיר מתוקן'!$AK342</f>
        <v>-45431</v>
      </c>
      <c r="G350" s="21">
        <f>-1*'[1]ישיר מתוקן'!$AL342</f>
        <v>-42671</v>
      </c>
      <c r="H350" s="18">
        <v>45888</v>
      </c>
      <c r="I350" s="35">
        <f>[2]monthly!$AC449</f>
        <v>569.20000000000005</v>
      </c>
    </row>
    <row r="351" spans="1:9" ht="15.75" x14ac:dyDescent="0.25">
      <c r="A351" s="26">
        <v>45323</v>
      </c>
      <c r="B351" s="2">
        <f>'[1]ישיר מתוקן'!$G343</f>
        <v>1316586</v>
      </c>
      <c r="C351" s="2">
        <f>'[1]ישיר מתוקן'!$N343</f>
        <v>866</v>
      </c>
      <c r="D351" s="2">
        <f>'[1]ישיר מתוקן'!$P343</f>
        <v>458005</v>
      </c>
      <c r="E351" s="2">
        <f>'[1]ישיר מתוקן'!$R343</f>
        <v>863156</v>
      </c>
      <c r="F351" s="21">
        <f>-1*'[1]ישיר מתוקן'!$AK343</f>
        <v>-80625</v>
      </c>
      <c r="G351" s="21">
        <f>-1*'[1]ישיר מתוקן'!$AL343</f>
        <v>-54224</v>
      </c>
      <c r="H351" s="18">
        <v>45672</v>
      </c>
      <c r="I351" s="35">
        <f>[2]monthly!$AC450</f>
        <v>574.9</v>
      </c>
    </row>
    <row r="352" spans="1:9" ht="15.75" x14ac:dyDescent="0.25">
      <c r="A352" s="26">
        <v>45352</v>
      </c>
      <c r="B352" s="2">
        <f>'[1]ישיר מתוקן'!$G344</f>
        <v>1303246</v>
      </c>
      <c r="C352" s="2">
        <f>'[1]ישיר מתוקן'!$N344</f>
        <v>1284</v>
      </c>
      <c r="D352" s="2">
        <f>'[1]ישיר מתוקן'!$P344</f>
        <v>539385</v>
      </c>
      <c r="E352" s="2">
        <f>'[1]ישיר מתוקן'!$R344</f>
        <v>766451</v>
      </c>
      <c r="F352" s="21">
        <f>-1*'[1]ישיר מתוקן'!$AK344</f>
        <v>-62654</v>
      </c>
      <c r="G352" s="21">
        <f>-1*'[1]ישיר מתוקן'!$AL344</f>
        <v>-36029</v>
      </c>
      <c r="H352" s="18">
        <v>45756</v>
      </c>
      <c r="I352" s="35">
        <f>[2]monthly!$AC451</f>
        <v>579.5</v>
      </c>
    </row>
    <row r="353" spans="1:9" ht="15.75" x14ac:dyDescent="0.25">
      <c r="A353" s="26">
        <v>45383</v>
      </c>
      <c r="B353" s="2">
        <f>'[1]ישיר מתוקן'!$G345</f>
        <v>1143120</v>
      </c>
      <c r="C353" s="2">
        <f>'[1]ישיר מתוקן'!$N345</f>
        <v>853</v>
      </c>
      <c r="D353" s="2">
        <f>'[1]ישיר מתוקן'!$P345</f>
        <v>376593</v>
      </c>
      <c r="E353" s="2">
        <f>'[1]ישיר מתוקן'!$R345</f>
        <v>768653</v>
      </c>
      <c r="F353" s="21">
        <f>-1*'[1]ישיר מתוקן'!$AK345</f>
        <v>-29365</v>
      </c>
      <c r="G353" s="21">
        <f>-1*'[1]ישיר מתוקן'!$AL345</f>
        <v>-41110</v>
      </c>
      <c r="H353" s="18">
        <v>46644</v>
      </c>
      <c r="I353" s="35">
        <f>[2]monthly!$AC452</f>
        <v>583.6</v>
      </c>
    </row>
    <row r="354" spans="1:9" ht="15.75" x14ac:dyDescent="0.25">
      <c r="A354" s="26">
        <v>45413</v>
      </c>
      <c r="B354" s="2">
        <f>'[1]ישיר מתוקן'!$G346</f>
        <v>1482902</v>
      </c>
      <c r="C354" s="2">
        <f>'[1]ישיר מתוקן'!$N346</f>
        <v>719</v>
      </c>
      <c r="D354" s="2">
        <f>'[1]ישיר מתוקן'!$P346</f>
        <v>559351</v>
      </c>
      <c r="E354" s="2">
        <f>'[1]ישיר מתוקן'!$R346</f>
        <v>928000</v>
      </c>
      <c r="F354" s="21">
        <f>-1*'[1]ישיר מתוקן'!$AK346</f>
        <v>-46033</v>
      </c>
      <c r="G354" s="21">
        <f>-1*'[1]ישיר מתוקן'!$AL346</f>
        <v>-40858</v>
      </c>
      <c r="H354" s="18">
        <v>46620</v>
      </c>
      <c r="I354" s="35">
        <f>[2]monthly!$AC453</f>
        <v>587.1</v>
      </c>
    </row>
    <row r="355" spans="1:9" ht="15.75" x14ac:dyDescent="0.25">
      <c r="A355" s="26">
        <v>45444</v>
      </c>
      <c r="B355" s="2">
        <f>'[1]ישיר מתוקן'!$G347</f>
        <v>1335212</v>
      </c>
      <c r="C355" s="2">
        <f>'[1]ישיר מתוקן'!$N347</f>
        <v>1383</v>
      </c>
      <c r="D355" s="2">
        <f>'[1]ישיר מתוקן'!$P347</f>
        <v>463559</v>
      </c>
      <c r="E355" s="2">
        <f>'[1]ישיר מתוקן'!$R347</f>
        <v>881539</v>
      </c>
      <c r="F355" s="21">
        <f>-1*'[1]ישיר מתוקן'!$AK347</f>
        <v>-40397</v>
      </c>
      <c r="G355" s="21">
        <f>-1*'[1]ישיר מתוקן'!$AL347</f>
        <v>-40921</v>
      </c>
      <c r="H355" s="18">
        <v>46440</v>
      </c>
      <c r="I355" s="35">
        <f>[2]monthly!$AC454</f>
        <v>591.79999999999995</v>
      </c>
    </row>
    <row r="356" spans="1:9" ht="15.75" x14ac:dyDescent="0.25">
      <c r="A356" s="26">
        <v>45474</v>
      </c>
      <c r="B356" s="2">
        <f>'[1]ישיר מתוקן'!$G348</f>
        <v>1606821</v>
      </c>
      <c r="C356" s="2">
        <f>'[1]ישיר מתוקן'!$N348</f>
        <v>1867</v>
      </c>
      <c r="D356" s="2">
        <f>'[1]ישיר מתוקן'!$P348</f>
        <v>576376</v>
      </c>
      <c r="E356" s="2">
        <f>'[1]ישיר מתוקן'!$R348</f>
        <v>1035680</v>
      </c>
      <c r="F356" s="21">
        <f>-1*'[1]ישיר מתוקן'!$AK348</f>
        <v>-134732</v>
      </c>
      <c r="G356" s="21">
        <f>-1*'[1]ישיר מתוקן'!$AL348</f>
        <v>-27679</v>
      </c>
      <c r="H356" s="18">
        <v>48528</v>
      </c>
      <c r="I356" s="35">
        <f>[2]monthly!$AC455</f>
        <v>593</v>
      </c>
    </row>
    <row r="357" spans="1:9" ht="15.75" x14ac:dyDescent="0.25">
      <c r="A357" s="26">
        <v>45505</v>
      </c>
      <c r="B357" s="2">
        <f>'[1]ישיר מתוקן'!$G349</f>
        <v>1464178</v>
      </c>
      <c r="C357" s="2">
        <f>'[1]ישיר מתוקן'!$N349</f>
        <v>1173</v>
      </c>
      <c r="D357" s="2">
        <f>'[1]ישיר מתוקן'!$P349</f>
        <v>505891</v>
      </c>
      <c r="E357" s="2">
        <f>'[1]ישיר מתוקן'!$R349</f>
        <v>965787</v>
      </c>
      <c r="F357" s="21">
        <f>-1*'[1]ישיר מתוקן'!$AK349</f>
        <v>-79462</v>
      </c>
      <c r="G357" s="21">
        <f>-1*'[1]ישיר מתוקן'!$AL349</f>
        <v>-44205</v>
      </c>
      <c r="H357" s="18">
        <v>44808</v>
      </c>
      <c r="I357" s="35">
        <f>[2]monthly!$AC456</f>
        <v>592.4</v>
      </c>
    </row>
    <row r="358" spans="1:9" ht="15.75" x14ac:dyDescent="0.25">
      <c r="A358" s="26">
        <v>45536</v>
      </c>
      <c r="B358" s="2">
        <f>'[1]ישיר מתוקן'!$G350</f>
        <v>1478648</v>
      </c>
      <c r="C358" s="2">
        <f>'[1]ישיר מתוקן'!$N350</f>
        <v>945</v>
      </c>
      <c r="D358" s="2">
        <f>'[1]ישיר מתוקן'!$P350</f>
        <v>535850</v>
      </c>
      <c r="E358" s="2">
        <f>'[1]ישיר מתוקן'!$R350</f>
        <v>948202</v>
      </c>
      <c r="F358" s="21">
        <f>-1*'[1]ישיר מתוקן'!$AK350</f>
        <v>-59013</v>
      </c>
      <c r="G358" s="21">
        <f>-1*'[1]ישיר מתוקן'!$AL350</f>
        <v>-33060</v>
      </c>
      <c r="H358" s="18">
        <v>41688</v>
      </c>
      <c r="I358" s="35">
        <f>[2]monthly!$AC457</f>
        <v>593.6</v>
      </c>
    </row>
    <row r="359" spans="1:9" ht="15.75" x14ac:dyDescent="0.25">
      <c r="A359" s="26">
        <v>45566</v>
      </c>
      <c r="B359" s="2">
        <f>'[1]ישיר מתוקן'!$G351</f>
        <v>1275300</v>
      </c>
      <c r="C359" s="2">
        <f>'[1]ישיר מתוקן'!$N351</f>
        <v>861</v>
      </c>
      <c r="D359" s="2">
        <f>'[1]ישיר מתוקן'!$P351</f>
        <v>465174</v>
      </c>
      <c r="E359" s="2">
        <f>'[1]ישיר מתוקן'!$R351</f>
        <v>812934</v>
      </c>
      <c r="F359" s="21">
        <f>-1*'[1]ישיר מתוקן'!$AK351</f>
        <v>-36035</v>
      </c>
      <c r="G359" s="21">
        <f>-1*'[1]ישיר מתוקן'!$AL351</f>
        <v>-30540</v>
      </c>
      <c r="H359" s="18">
        <v>40524</v>
      </c>
      <c r="I359" s="35">
        <f>[2]monthly!$AC458</f>
        <v>596.6</v>
      </c>
    </row>
    <row r="360" spans="1:9" ht="15.75" x14ac:dyDescent="0.25">
      <c r="A360" s="26">
        <v>45597</v>
      </c>
      <c r="B360" s="2">
        <f>'[1]ישיר מתוקן'!$G352</f>
        <v>1578441</v>
      </c>
      <c r="C360" s="2">
        <f>'[1]ישיר מתוקן'!$N352</f>
        <v>1725</v>
      </c>
      <c r="D360" s="2">
        <f>'[1]ישיר מתוקן'!$P352</f>
        <v>511691</v>
      </c>
      <c r="E360" s="2">
        <f>'[1]ישיר מתוקן'!$R352</f>
        <v>1069951</v>
      </c>
      <c r="F360" s="21">
        <f>-1*'[1]ישיר מתוקן'!$AK352</f>
        <v>-54116</v>
      </c>
      <c r="G360" s="21">
        <f>-1*'[1]ישיר מתוקן'!$AL352</f>
        <v>-47704</v>
      </c>
      <c r="H360" s="18">
        <v>37080</v>
      </c>
      <c r="I360" s="35">
        <f>[2]monthly!$AC459</f>
        <v>599</v>
      </c>
    </row>
    <row r="361" spans="1:9" ht="15.75" x14ac:dyDescent="0.25">
      <c r="A361" s="26">
        <v>45627</v>
      </c>
      <c r="B361" s="2">
        <f>'[1]ישיר מתוקן'!$G353</f>
        <v>1493267</v>
      </c>
      <c r="C361" s="2">
        <f>'[1]ישיר מתוקן'!$N353</f>
        <v>11689</v>
      </c>
      <c r="D361" s="2">
        <f>'[1]ישיר מתוקן'!$P353</f>
        <v>524749</v>
      </c>
      <c r="E361" s="2">
        <f>'[1]ישיר מתוקן'!$R353</f>
        <v>961136</v>
      </c>
      <c r="F361" s="21">
        <f>-1*'[1]ישיר מתוקן'!$AK353</f>
        <v>-52383</v>
      </c>
      <c r="G361" s="21">
        <f>-1*'[1]ישיר מתוקן'!$AL353</f>
        <v>-44149</v>
      </c>
      <c r="H361" s="18">
        <v>58596</v>
      </c>
      <c r="I361" s="35">
        <f>[2]monthly!$AC460</f>
        <v>606.20000000000005</v>
      </c>
    </row>
    <row r="362" spans="1:9" ht="15.75" x14ac:dyDescent="0.25">
      <c r="A362" s="26">
        <v>45658</v>
      </c>
      <c r="B362" s="2">
        <f>'[1]ישיר מתוקן'!$G354</f>
        <v>1858078</v>
      </c>
      <c r="C362" s="2">
        <f>'[1]ישיר מתוקן'!$N354</f>
        <v>975</v>
      </c>
      <c r="D362" s="2">
        <f>'[1]ישיר מתוקן'!$P354</f>
        <v>696010</v>
      </c>
      <c r="E362" s="2">
        <f>'[1]ישיר מתוקן'!$R354</f>
        <v>1166750</v>
      </c>
      <c r="F362" s="21">
        <f>-1*'[1]ישיר מתוקן'!$AK354</f>
        <v>-64714</v>
      </c>
      <c r="G362" s="21">
        <f>-1*'[1]ישיר מתוקן'!$AL354</f>
        <v>-43691</v>
      </c>
      <c r="H362" s="18">
        <v>58597</v>
      </c>
      <c r="I362" s="35">
        <f>[2]monthly!$AC461</f>
        <v>609.79999999999995</v>
      </c>
    </row>
    <row r="363" spans="1:9" ht="15.75" x14ac:dyDescent="0.25">
      <c r="A363" s="26">
        <v>45689</v>
      </c>
      <c r="B363" s="2">
        <f>'[1]ישיר מתוקן'!$G355</f>
        <v>2128562</v>
      </c>
      <c r="C363" s="2">
        <f>'[1]ישיר מתוקן'!$N355</f>
        <v>705</v>
      </c>
      <c r="D363" s="2">
        <f>'[1]ישיר מתוקן'!$P355</f>
        <v>821617</v>
      </c>
      <c r="E363" s="2">
        <f>'[1]ישיר מתוקן'!$R355</f>
        <v>1313088</v>
      </c>
      <c r="F363" s="21">
        <f>-1*'[1]ישיר מתוקן'!$AK355</f>
        <v>-61882</v>
      </c>
      <c r="G363" s="21">
        <f>-1*'[1]ישיר מתוקן'!$AL355</f>
        <v>-42977</v>
      </c>
      <c r="H363" s="18">
        <v>58598</v>
      </c>
      <c r="I363" s="35">
        <f>[2]monthly!$AC462</f>
        <v>608.6</v>
      </c>
    </row>
    <row r="364" spans="1:9" ht="15.75" x14ac:dyDescent="0.25">
      <c r="A364" s="26">
        <v>45717</v>
      </c>
      <c r="B364" s="2">
        <f>'[1]ישיר מתוקן'!$G356</f>
        <v>1754009</v>
      </c>
      <c r="C364" s="2">
        <f>'[1]ישיר מתוקן'!$N356</f>
        <v>514</v>
      </c>
      <c r="D364" s="2">
        <f>'[1]ישיר מתוקן'!$P356</f>
        <v>702504</v>
      </c>
      <c r="E364" s="2">
        <f>'[1]ישיר מתוקן'!$R356</f>
        <v>1059773</v>
      </c>
      <c r="F364" s="21">
        <f>-1*'[1]ישיר מתוקן'!$AK356</f>
        <v>-73482</v>
      </c>
      <c r="G364" s="21">
        <f>-1*'[1]ישיר מתוקן'!$AL356</f>
        <v>-43468</v>
      </c>
      <c r="H364" s="18">
        <v>58599</v>
      </c>
      <c r="I364" s="35">
        <f>[2]monthly!$AC463</f>
        <v>607.4</v>
      </c>
    </row>
    <row r="365" spans="1:9" ht="15.75" x14ac:dyDescent="0.25">
      <c r="A365" s="26">
        <v>45748</v>
      </c>
      <c r="B365" s="2">
        <f>'[1]ישיר מתוקן'!$G357</f>
        <v>1661148</v>
      </c>
      <c r="C365" s="2">
        <f>'[1]ישיר מתוקן'!$N357</f>
        <v>774</v>
      </c>
      <c r="D365" s="2">
        <f>'[1]ישיר מתוקן'!$P357</f>
        <v>668519</v>
      </c>
      <c r="E365" s="2">
        <f>'[1]ישיר מתוקן'!$R357</f>
        <v>997441</v>
      </c>
      <c r="F365" s="21">
        <f>-1*'[1]ישיר מתוקן'!$AK357</f>
        <v>-60656</v>
      </c>
      <c r="G365" s="21">
        <f>-1*'[1]ישיר מתוקן'!$AL357</f>
        <v>-53981</v>
      </c>
      <c r="H365" s="18">
        <v>58600</v>
      </c>
      <c r="I365" s="35">
        <f>[2]monthly!$AC464</f>
        <v>605</v>
      </c>
    </row>
    <row r="366" spans="1:9" ht="15.75" x14ac:dyDescent="0.25">
      <c r="A366" s="26">
        <v>45778</v>
      </c>
      <c r="B366" s="2">
        <f>'[1]ישיר מתוקן'!$G358</f>
        <v>1915685</v>
      </c>
      <c r="C366" s="2">
        <f>'[1]ישיר מתוקן'!$N358</f>
        <v>673</v>
      </c>
      <c r="D366" s="2">
        <f>'[1]ישיר מתוקן'!$P358</f>
        <v>793689</v>
      </c>
      <c r="E366" s="2">
        <f>'[1]ישיר מתוקן'!$R358</f>
        <v>1126717</v>
      </c>
      <c r="F366" s="21">
        <f>-1*'[1]ישיר מתוקן'!$AK358</f>
        <v>-64743</v>
      </c>
      <c r="G366" s="21">
        <f>-1*'[1]ישיר מתוקן'!$AL358</f>
        <v>-36756</v>
      </c>
      <c r="H366" s="18">
        <v>58601</v>
      </c>
      <c r="I366" s="35">
        <f>[2]monthly!$AC465</f>
        <v>602.6</v>
      </c>
    </row>
    <row r="367" spans="1:9" ht="15.75" x14ac:dyDescent="0.25">
      <c r="A367" s="26">
        <v>45809</v>
      </c>
      <c r="B367" s="2">
        <f>'[1]ישיר מתוקן'!$G359</f>
        <v>1415216</v>
      </c>
      <c r="C367" s="2">
        <f>'[1]ישיר מתוקן'!$N359</f>
        <v>354</v>
      </c>
      <c r="D367" s="2">
        <f>'[1]ישיר מתוקן'!$P359</f>
        <v>485118</v>
      </c>
      <c r="E367" s="2">
        <f>'[1]ישיר מתוקן'!$R359</f>
        <v>936797</v>
      </c>
      <c r="F367" s="21">
        <f>-1*'[1]ישיר מתוקן'!$AK359</f>
        <v>-73447</v>
      </c>
      <c r="G367" s="21">
        <f>-1*'[1]ישיר מתוקן'!$AL359</f>
        <v>-40816</v>
      </c>
      <c r="H367" s="18">
        <v>58602</v>
      </c>
      <c r="I367" s="35">
        <f>[2]monthly!$AC466</f>
        <v>602</v>
      </c>
    </row>
    <row r="368" spans="1:9" ht="15.75" x14ac:dyDescent="0.25">
      <c r="A368" s="26">
        <v>45839</v>
      </c>
      <c r="B368" s="2">
        <f>'[1]ישיר מתוקן'!$G360</f>
        <v>1922465</v>
      </c>
      <c r="C368" s="2">
        <f>'[1]ישיר מתוקן'!$N360</f>
        <v>1786</v>
      </c>
      <c r="D368" s="2">
        <f>'[1]ישיר מתוקן'!$P360</f>
        <v>873753</v>
      </c>
      <c r="E368" s="2">
        <f>'[1]ישיר מתוקן'!$R360</f>
        <v>1050895</v>
      </c>
      <c r="F368" s="21">
        <f>-1*'[1]ישיר מתוקן'!$AK360</f>
        <v>-61074</v>
      </c>
      <c r="G368" s="21">
        <f>-1*'[1]ישיר מתוקן'!$AL360</f>
        <v>-44523</v>
      </c>
      <c r="H368" s="18">
        <v>58603</v>
      </c>
      <c r="I368" s="35">
        <f>[2]monthly!$AC467</f>
        <v>600.79999999999995</v>
      </c>
    </row>
    <row r="369" spans="1:9" ht="15.75" x14ac:dyDescent="0.25">
      <c r="A369" s="26">
        <v>45870</v>
      </c>
      <c r="B369" s="2">
        <f>'[1]ישיר מתוקן'!$G361</f>
        <v>1933789</v>
      </c>
      <c r="C369" s="2">
        <f>'[1]ישיר מתוקן'!$N361</f>
        <v>1431</v>
      </c>
      <c r="D369" s="2">
        <f>'[1]ישיר מתוקן'!$P361</f>
        <v>629858</v>
      </c>
      <c r="E369" s="2">
        <f>'[1]ישיר מתוקן'!$R361</f>
        <v>1306780</v>
      </c>
      <c r="F369" s="21">
        <f>-1*'[1]ישיר מתוקן'!$AK361</f>
        <v>-102926</v>
      </c>
      <c r="G369" s="21">
        <f>-1*'[1]ישיר מתוקן'!$AL361</f>
        <v>-41716</v>
      </c>
      <c r="H369" s="18">
        <v>58604</v>
      </c>
      <c r="I369" s="35">
        <f>[2]monthly!$AC468</f>
        <v>597.20000000000005</v>
      </c>
    </row>
    <row r="370" spans="1:9" ht="15.75" x14ac:dyDescent="0.25">
      <c r="A370" s="26">
        <v>45901</v>
      </c>
      <c r="B370" s="2">
        <f>'[1]ישיר מתוקן'!$G362</f>
        <v>1669972</v>
      </c>
      <c r="C370" s="2">
        <f>'[1]ישיר מתוקן'!$N362</f>
        <v>1209</v>
      </c>
      <c r="D370" s="2">
        <f>'[1]ישיר מתוקן'!$P362</f>
        <v>634719</v>
      </c>
      <c r="E370" s="2">
        <f>'[1]ישיר מתוקן'!$R362</f>
        <v>1038796</v>
      </c>
      <c r="F370" s="21">
        <f>-1*'[1]ישיר מתוקן'!$AK362</f>
        <v>-57091</v>
      </c>
      <c r="G370" s="21">
        <f>-1*'[1]ישיר מתוקן'!$AL362</f>
        <v>-37743</v>
      </c>
      <c r="H370" s="18">
        <v>58605</v>
      </c>
      <c r="I370" s="35">
        <f>[2]monthly!$AC469</f>
        <v>593</v>
      </c>
    </row>
    <row r="371" spans="1:9" ht="15.75" x14ac:dyDescent="0.25">
      <c r="A371" s="26">
        <v>45931</v>
      </c>
      <c r="B371" s="2">
        <f>'[1]ישיר מתוקן'!$G363</f>
        <v>1335369</v>
      </c>
      <c r="C371" s="2">
        <f>'[1]ישיר מתוקן'!$N363</f>
        <v>710</v>
      </c>
      <c r="D371" s="2">
        <f>'[1]ישיר מתוקן'!$P363</f>
        <v>482405</v>
      </c>
      <c r="E371" s="2">
        <f>'[1]ישיר מתוקן'!$R363</f>
        <v>859140</v>
      </c>
      <c r="F371" s="21">
        <f>-1*'[1]ישיר מתוקן'!$AK363</f>
        <v>-38300</v>
      </c>
      <c r="G371" s="21">
        <f>-1*'[1]ישיר מתוקן'!$AL363</f>
        <v>-20711</v>
      </c>
      <c r="H371" s="18">
        <v>58606</v>
      </c>
      <c r="I371" s="35">
        <f>[2]monthly!$AC470</f>
        <v>596</v>
      </c>
    </row>
    <row r="372" spans="1:9" ht="15.75" x14ac:dyDescent="0.25">
      <c r="A372" s="26">
        <v>45962</v>
      </c>
      <c r="B372" s="2">
        <f>'[1]ישיר מתוקן'!$G364</f>
        <v>1378498</v>
      </c>
      <c r="C372" s="2">
        <f>'[1]ישיר מתוקן'!$N364</f>
        <v>1080</v>
      </c>
      <c r="D372" s="2">
        <f>'[1]ישיר מתוקן'!$P364</f>
        <v>547056</v>
      </c>
      <c r="E372" s="2">
        <f>'[1]ישיר מתוקן'!$R364</f>
        <v>834656</v>
      </c>
      <c r="F372" s="21">
        <f>-1*'[1]ישיר מתוקן'!$AK364</f>
        <v>-63723</v>
      </c>
      <c r="G372" s="21">
        <f>-1*'[1]ישיר מתוקן'!$AL364</f>
        <v>-44052</v>
      </c>
      <c r="H372" s="18">
        <v>58607</v>
      </c>
      <c r="I372" s="35">
        <f>[2]monthly!$AC471</f>
        <v>600.79999999999995</v>
      </c>
    </row>
    <row r="373" spans="1:9" ht="15.75" x14ac:dyDescent="0.25">
      <c r="A373" s="26">
        <v>45992</v>
      </c>
      <c r="B373" s="2">
        <f>'[1]ישיר מתוקן'!$G365</f>
        <v>1576872</v>
      </c>
      <c r="C373" s="2">
        <f>'[1]ישיר מתוקן'!$N365</f>
        <v>1782</v>
      </c>
      <c r="D373" s="2">
        <f>'[1]ישיר מתוקן'!$P365</f>
        <v>656825</v>
      </c>
      <c r="E373" s="2">
        <f>'[1]ישיר מתוקן'!$R365</f>
        <v>924101</v>
      </c>
      <c r="F373" s="21">
        <f>-1*'[1]ישיר מתוקן'!$AK365</f>
        <v>-58207</v>
      </c>
      <c r="G373" s="21">
        <f>-1*'[1]ישיר מתוקן'!$AL365</f>
        <v>-51395</v>
      </c>
      <c r="H373" s="18">
        <v>58608</v>
      </c>
      <c r="I373" s="35">
        <f>[2]monthly!$AC472</f>
        <v>600.20000000000005</v>
      </c>
    </row>
    <row r="374" spans="1:9" ht="15.75" x14ac:dyDescent="0.25">
      <c r="A374" s="26">
        <v>46023</v>
      </c>
      <c r="B374" s="2">
        <f>'[1]ישיר מתוקן'!$G366</f>
        <v>1863523</v>
      </c>
      <c r="C374" s="2">
        <f>'[1]ישיר מתוקן'!$N366</f>
        <v>1617</v>
      </c>
      <c r="D374" s="2">
        <f>'[1]ישיר מתוקן'!$P366</f>
        <v>730825</v>
      </c>
      <c r="E374" s="2">
        <f>'[1]ישיר מתוקן'!$R366</f>
        <v>1138118</v>
      </c>
      <c r="F374" s="21">
        <f>-1*'[1]ישיר מתוקן'!$AK366</f>
        <v>-126400</v>
      </c>
      <c r="G374" s="21">
        <f>-1*'[1]ישיר מתוקן'!$AL366</f>
        <v>-58311</v>
      </c>
      <c r="H374" s="18">
        <v>58609</v>
      </c>
      <c r="I374" s="35">
        <f>[2]monthly!$AC473</f>
        <v>599.6</v>
      </c>
    </row>
    <row r="375" spans="1:9" ht="15.75" x14ac:dyDescent="0.25">
      <c r="A375" s="26">
        <v>46054</v>
      </c>
      <c r="B375" s="2">
        <f>'[1]ישיר מתוקן'!$G367</f>
        <v>2183983</v>
      </c>
      <c r="C375" s="2">
        <f>'[1]ישיר מתוקן'!$N367</f>
        <v>2729</v>
      </c>
      <c r="D375" s="2">
        <f>'[1]ישיר מתוקן'!$P367</f>
        <v>777969</v>
      </c>
      <c r="E375" s="2">
        <f>'[1]ישיר מתוקן'!$R367</f>
        <v>1407911</v>
      </c>
      <c r="F375" s="21">
        <f>-1*'[1]ישיר מתוקן'!$AK367</f>
        <v>-58017</v>
      </c>
      <c r="G375" s="21">
        <f>-1*'[1]ישיר מתוקן'!$AL367</f>
        <v>-52032</v>
      </c>
      <c r="H375" s="18">
        <v>58610</v>
      </c>
      <c r="I375" s="35"/>
    </row>
    <row r="376" spans="1:9" ht="15.75" x14ac:dyDescent="0.25">
      <c r="A376" s="26">
        <v>46082</v>
      </c>
      <c r="B376" s="2">
        <f>'[1]ישיר מתוקן'!$G368</f>
        <v>1938982</v>
      </c>
      <c r="C376" s="2">
        <f>'[1]ישיר מתוקן'!$N368</f>
        <v>740</v>
      </c>
      <c r="D376" s="2">
        <f>'[1]ישיר מתוקן'!$P368</f>
        <v>743538</v>
      </c>
      <c r="E376" s="2">
        <f>'[1]ישיר מתוקן'!$R368</f>
        <v>1201709</v>
      </c>
      <c r="F376" s="21">
        <f>-1*'[1]ישיר מתוקן'!$AK368</f>
        <v>-64771</v>
      </c>
      <c r="G376" s="21">
        <f>-1*'[1]ישיר מתוקן'!$AL368</f>
        <v>-44970</v>
      </c>
      <c r="H376" s="18">
        <v>58611</v>
      </c>
      <c r="I376" s="35"/>
    </row>
    <row r="377" spans="1:9" ht="15.75" x14ac:dyDescent="0.25">
      <c r="A377" s="26">
        <v>46113</v>
      </c>
      <c r="B377" s="2">
        <f>'[1]ישיר מתוקן'!$G369</f>
        <v>1209282</v>
      </c>
      <c r="C377" s="2">
        <f>'[1]ישיר מתוקן'!$N369</f>
        <v>908</v>
      </c>
      <c r="D377" s="2">
        <f>'[1]ישיר מתוקן'!$P369</f>
        <v>435343</v>
      </c>
      <c r="E377" s="2">
        <f>'[1]ישיר מתוקן'!$R369</f>
        <v>779261</v>
      </c>
      <c r="F377" s="21">
        <f>-1*'[1]ישיר מתוקן'!$AK369</f>
        <v>-46488</v>
      </c>
      <c r="G377" s="21">
        <f>-1*'[1]ישיר מתוקן'!$AL369</f>
        <v>-36882</v>
      </c>
      <c r="H377" s="18">
        <v>58612</v>
      </c>
      <c r="I377" s="3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3A0A-1062-4FBF-9D78-2197CA05B4AA}">
  <dimension ref="A1:G377"/>
  <sheetViews>
    <sheetView topLeftCell="A352" workbookViewId="0">
      <selection activeCell="E362" sqref="E362"/>
    </sheetView>
  </sheetViews>
  <sheetFormatPr defaultRowHeight="14.25" x14ac:dyDescent="0.2"/>
  <cols>
    <col min="1" max="1" width="10.375" style="26" bestFit="1" customWidth="1"/>
    <col min="2" max="2" width="8.875" style="2"/>
    <col min="3" max="3" width="15.5" style="2" bestFit="1" customWidth="1"/>
    <col min="4" max="4" width="22.25" style="2" bestFit="1" customWidth="1"/>
    <col min="5" max="5" width="12.625" style="2" bestFit="1" customWidth="1"/>
    <col min="6" max="6" width="30.125" style="2" customWidth="1"/>
    <col min="7" max="7" width="12.125" bestFit="1" customWidth="1"/>
  </cols>
  <sheetData>
    <row r="1" spans="1:7" ht="28.5" x14ac:dyDescent="0.2">
      <c r="A1" s="9" t="s">
        <v>42</v>
      </c>
      <c r="B1" s="40" t="s">
        <v>33</v>
      </c>
      <c r="C1" s="41" t="s">
        <v>55</v>
      </c>
      <c r="D1" s="41" t="s">
        <v>31</v>
      </c>
      <c r="E1" s="41" t="s">
        <v>56</v>
      </c>
      <c r="F1" s="41" t="s">
        <v>32</v>
      </c>
      <c r="G1" s="9" t="s">
        <v>43</v>
      </c>
    </row>
    <row r="2" spans="1:7" x14ac:dyDescent="0.2">
      <c r="A2" s="27">
        <v>34700</v>
      </c>
      <c r="B2" s="33"/>
      <c r="C2" s="42">
        <v>36.023229999999998</v>
      </c>
      <c r="E2" s="44">
        <v>47.048070639484202</v>
      </c>
      <c r="F2" s="45">
        <v>43.630310000000001</v>
      </c>
      <c r="G2" s="9">
        <f>[2]monthly!$D101</f>
        <v>18.039523809523807</v>
      </c>
    </row>
    <row r="3" spans="1:7" x14ac:dyDescent="0.2">
      <c r="A3" s="27">
        <v>34731</v>
      </c>
      <c r="B3" s="33"/>
      <c r="C3" s="42">
        <v>36.22936</v>
      </c>
      <c r="E3" s="44">
        <v>48.042746549795702</v>
      </c>
      <c r="F3" s="45">
        <v>43.858800000000002</v>
      </c>
      <c r="G3" s="9">
        <f>[2]monthly!$D102</f>
        <v>18.569999999999993</v>
      </c>
    </row>
    <row r="4" spans="1:7" x14ac:dyDescent="0.2">
      <c r="A4" s="27">
        <v>34759</v>
      </c>
      <c r="B4" s="33"/>
      <c r="C4" s="42">
        <v>36.447569999999999</v>
      </c>
      <c r="E4" s="44">
        <v>48.765420685328102</v>
      </c>
      <c r="F4" s="45">
        <v>43.663539999999998</v>
      </c>
      <c r="G4" s="9">
        <f>[2]monthly!$D103</f>
        <v>18.53913043478261</v>
      </c>
    </row>
    <row r="5" spans="1:7" x14ac:dyDescent="0.2">
      <c r="A5" s="27">
        <v>34790</v>
      </c>
      <c r="B5" s="33"/>
      <c r="C5" s="42">
        <v>36.78331</v>
      </c>
      <c r="E5" s="44">
        <v>48.433906048855299</v>
      </c>
      <c r="F5" s="45">
        <v>44.53219</v>
      </c>
      <c r="G5" s="9">
        <f>[2]monthly!$D104</f>
        <v>19.896315789473686</v>
      </c>
    </row>
    <row r="6" spans="1:7" x14ac:dyDescent="0.2">
      <c r="A6" s="27">
        <v>34820</v>
      </c>
      <c r="B6" s="33"/>
      <c r="C6" s="42">
        <v>37.033610000000003</v>
      </c>
      <c r="E6" s="44">
        <v>48.355160139102701</v>
      </c>
      <c r="F6" s="45">
        <v>45.48883</v>
      </c>
      <c r="G6" s="9">
        <f>[2]monthly!$D105</f>
        <v>19.741818181818179</v>
      </c>
    </row>
    <row r="7" spans="1:7" x14ac:dyDescent="0.2">
      <c r="A7" s="27">
        <v>34851</v>
      </c>
      <c r="B7" s="33"/>
      <c r="C7" s="42">
        <v>37.25403</v>
      </c>
      <c r="E7" s="44">
        <v>48.147140237466999</v>
      </c>
      <c r="F7" s="45">
        <v>44.36347</v>
      </c>
      <c r="G7" s="9">
        <f>[2]monthly!$D106</f>
        <v>18.44590909090909</v>
      </c>
    </row>
    <row r="8" spans="1:7" x14ac:dyDescent="0.2">
      <c r="A8" s="27">
        <v>34881</v>
      </c>
      <c r="B8" s="33"/>
      <c r="C8" s="42">
        <v>37.448999999999998</v>
      </c>
      <c r="E8" s="44">
        <v>48.809950408369197</v>
      </c>
      <c r="F8" s="45">
        <v>45.747450000000001</v>
      </c>
      <c r="G8" s="9">
        <f>[2]monthly!$D107</f>
        <v>17.325499999999998</v>
      </c>
    </row>
    <row r="9" spans="1:7" x14ac:dyDescent="0.2">
      <c r="A9" s="27">
        <v>34912</v>
      </c>
      <c r="B9" s="33"/>
      <c r="C9" s="42">
        <v>37.61636</v>
      </c>
      <c r="E9" s="44">
        <v>49.985691910641499</v>
      </c>
      <c r="F9" s="45">
        <v>46.126890000000003</v>
      </c>
      <c r="G9" s="9">
        <f>[2]monthly!$D108</f>
        <v>18.020869565217396</v>
      </c>
    </row>
    <row r="10" spans="1:7" x14ac:dyDescent="0.2">
      <c r="A10" s="27">
        <v>34943</v>
      </c>
      <c r="B10" s="33"/>
      <c r="C10" s="42">
        <v>37.779130000000002</v>
      </c>
      <c r="E10" s="44">
        <v>49.795655727146404</v>
      </c>
      <c r="F10" s="45">
        <v>45.651960000000003</v>
      </c>
      <c r="G10" s="9">
        <f>[2]monthly!$D109</f>
        <v>18.225500000000004</v>
      </c>
    </row>
    <row r="11" spans="1:7" x14ac:dyDescent="0.2">
      <c r="A11" s="27">
        <v>34973</v>
      </c>
      <c r="B11" s="33"/>
      <c r="C11" s="42">
        <v>37.931019999999997</v>
      </c>
      <c r="E11" s="44">
        <v>50.802585335944599</v>
      </c>
      <c r="F11" s="45">
        <v>45.963160000000002</v>
      </c>
      <c r="G11" s="9">
        <f>[2]monthly!$D110</f>
        <v>17.433181818181822</v>
      </c>
    </row>
    <row r="12" spans="1:7" x14ac:dyDescent="0.2">
      <c r="A12" s="27">
        <v>35004</v>
      </c>
      <c r="B12" s="33"/>
      <c r="C12" s="42">
        <v>38.0852</v>
      </c>
      <c r="E12" s="44">
        <v>51.288368338522602</v>
      </c>
      <c r="F12" s="45">
        <v>45.929340000000003</v>
      </c>
      <c r="G12" s="9">
        <f>[2]monthly!$D111</f>
        <v>17.9925</v>
      </c>
    </row>
    <row r="13" spans="1:7" x14ac:dyDescent="0.2">
      <c r="A13" s="27">
        <v>35034</v>
      </c>
      <c r="B13" s="33"/>
      <c r="C13" s="42">
        <v>38.244999999999997</v>
      </c>
      <c r="E13" s="44">
        <v>54.993202897924803</v>
      </c>
      <c r="F13" s="45">
        <v>46.918610000000001</v>
      </c>
      <c r="G13" s="9">
        <f>[2]monthly!$D112</f>
        <v>19.026500000000002</v>
      </c>
    </row>
    <row r="14" spans="1:7" x14ac:dyDescent="0.2">
      <c r="A14" s="27">
        <v>35065</v>
      </c>
      <c r="B14" s="33"/>
      <c r="C14" s="42">
        <v>38.368609999999997</v>
      </c>
      <c r="E14" s="44">
        <v>52.064804991525797</v>
      </c>
      <c r="F14" s="45">
        <v>46.622680000000003</v>
      </c>
      <c r="G14" s="9">
        <f>[2]monthly!$D113</f>
        <v>18.854545454545452</v>
      </c>
    </row>
    <row r="15" spans="1:7" x14ac:dyDescent="0.2">
      <c r="A15" s="27">
        <v>35096</v>
      </c>
      <c r="B15" s="33"/>
      <c r="C15" s="42">
        <v>38.378929999999997</v>
      </c>
      <c r="D15" s="43">
        <v>22.661180000000002</v>
      </c>
      <c r="E15" s="44">
        <v>51.949355217165198</v>
      </c>
      <c r="F15" s="45">
        <v>46.82253</v>
      </c>
      <c r="G15" s="9">
        <f>[2]monthly!$D114</f>
        <v>19.093499999999999</v>
      </c>
    </row>
    <row r="16" spans="1:7" x14ac:dyDescent="0.2">
      <c r="A16" s="27">
        <v>35125</v>
      </c>
      <c r="B16" s="33"/>
      <c r="C16" s="42">
        <v>38.329839999999997</v>
      </c>
      <c r="D16" s="43">
        <v>22.780539999999998</v>
      </c>
      <c r="E16" s="44">
        <v>52.238659351039402</v>
      </c>
      <c r="F16" s="45">
        <v>47.322600000000001</v>
      </c>
      <c r="G16" s="9">
        <f>[2]monthly!$D115</f>
        <v>21.332380952380952</v>
      </c>
    </row>
    <row r="17" spans="1:7" x14ac:dyDescent="0.2">
      <c r="A17" s="27">
        <v>35156</v>
      </c>
      <c r="B17" s="33"/>
      <c r="C17" s="42">
        <v>38.274039999999999</v>
      </c>
      <c r="D17" s="43">
        <v>22.839320000000001</v>
      </c>
      <c r="E17" s="44">
        <v>52.380950598175502</v>
      </c>
      <c r="F17" s="45">
        <v>47.325699999999998</v>
      </c>
      <c r="G17" s="9">
        <f>[2]monthly!$D116</f>
        <v>23.497142857142858</v>
      </c>
    </row>
    <row r="18" spans="1:7" x14ac:dyDescent="0.2">
      <c r="A18" s="27">
        <v>35186</v>
      </c>
      <c r="B18" s="33"/>
      <c r="C18" s="42">
        <v>38.25835</v>
      </c>
      <c r="D18" s="43">
        <v>23.262170000000001</v>
      </c>
      <c r="E18" s="44">
        <v>53.413450269892301</v>
      </c>
      <c r="F18" s="45">
        <v>46.764159999999997</v>
      </c>
      <c r="G18" s="9">
        <f>[2]monthly!$D117</f>
        <v>21.165454545454541</v>
      </c>
    </row>
    <row r="19" spans="1:7" x14ac:dyDescent="0.2">
      <c r="A19" s="27">
        <v>35217</v>
      </c>
      <c r="B19" s="33"/>
      <c r="C19" s="42">
        <v>38.294930000000001</v>
      </c>
      <c r="D19" s="43">
        <v>22.983470000000001</v>
      </c>
      <c r="E19" s="44">
        <v>52.743007476286003</v>
      </c>
      <c r="F19" s="45">
        <v>47.685789999999997</v>
      </c>
      <c r="G19" s="9">
        <f>[2]monthly!$D118</f>
        <v>20.423500000000004</v>
      </c>
    </row>
    <row r="20" spans="1:7" x14ac:dyDescent="0.2">
      <c r="A20" s="27">
        <v>35247</v>
      </c>
      <c r="B20" s="33"/>
      <c r="C20" s="42">
        <v>38.373069999999998</v>
      </c>
      <c r="D20" s="43">
        <v>23.04468</v>
      </c>
      <c r="E20" s="44">
        <v>52.891319380057602</v>
      </c>
      <c r="F20" s="45">
        <v>46.409660000000002</v>
      </c>
      <c r="G20" s="9">
        <f>[2]monthly!$D119</f>
        <v>21.302272727272729</v>
      </c>
    </row>
    <row r="21" spans="1:7" x14ac:dyDescent="0.2">
      <c r="A21" s="27">
        <v>35278</v>
      </c>
      <c r="B21" s="33"/>
      <c r="C21" s="42">
        <v>38.407510000000002</v>
      </c>
      <c r="D21" s="43">
        <v>22.608129999999999</v>
      </c>
      <c r="E21" s="44">
        <v>51.845424642420198</v>
      </c>
      <c r="F21" s="45">
        <v>47.454610000000002</v>
      </c>
      <c r="G21" s="9">
        <f>[2]monthly!$D120</f>
        <v>21.903181818181817</v>
      </c>
    </row>
    <row r="22" spans="1:7" x14ac:dyDescent="0.2">
      <c r="A22" s="27">
        <v>35309</v>
      </c>
      <c r="B22" s="33"/>
      <c r="C22" s="42">
        <v>38.40043</v>
      </c>
      <c r="D22" s="43">
        <v>23.052250000000001</v>
      </c>
      <c r="E22" s="44">
        <v>52.930398491863997</v>
      </c>
      <c r="F22" s="45">
        <v>48.11083</v>
      </c>
      <c r="G22" s="9">
        <f>[2]monthly!$D121</f>
        <v>23.971500000000002</v>
      </c>
    </row>
    <row r="23" spans="1:7" x14ac:dyDescent="0.2">
      <c r="A23" s="27">
        <v>35339</v>
      </c>
      <c r="B23" s="33"/>
      <c r="C23" s="42">
        <v>38.361879999999999</v>
      </c>
      <c r="D23" s="43">
        <v>22.967469999999999</v>
      </c>
      <c r="E23" s="44">
        <v>52.725547525620001</v>
      </c>
      <c r="F23" s="45">
        <v>47.294370000000001</v>
      </c>
      <c r="G23" s="9">
        <f>[2]monthly!$D122</f>
        <v>24.87913043478261</v>
      </c>
    </row>
    <row r="24" spans="1:7" x14ac:dyDescent="0.2">
      <c r="A24" s="27">
        <v>35370</v>
      </c>
      <c r="B24" s="33"/>
      <c r="C24" s="42">
        <v>38.380600000000001</v>
      </c>
      <c r="D24" s="43">
        <v>22.721229999999998</v>
      </c>
      <c r="E24" s="44">
        <v>52.1329310311909</v>
      </c>
      <c r="F24" s="45">
        <v>46.967700000000001</v>
      </c>
      <c r="G24" s="9">
        <f>[2]monthly!$D123</f>
        <v>23.704999999999995</v>
      </c>
    </row>
    <row r="25" spans="1:7" x14ac:dyDescent="0.2">
      <c r="A25" s="27">
        <v>35400</v>
      </c>
      <c r="B25" s="33"/>
      <c r="C25" s="42">
        <v>38.537570000000002</v>
      </c>
      <c r="D25" s="43">
        <v>22.527570000000001</v>
      </c>
      <c r="E25" s="44">
        <v>51.666554234454402</v>
      </c>
      <c r="F25" s="45">
        <v>47.065489999999997</v>
      </c>
      <c r="G25" s="9">
        <f>[2]monthly!$D124</f>
        <v>25.228571428571431</v>
      </c>
    </row>
    <row r="26" spans="1:7" x14ac:dyDescent="0.2">
      <c r="A26" s="27">
        <v>35431</v>
      </c>
      <c r="B26" s="33"/>
      <c r="C26" s="42">
        <v>38.638019999999997</v>
      </c>
      <c r="D26" s="43">
        <v>23.429880000000001</v>
      </c>
      <c r="E26" s="44">
        <v>53.895099696195103</v>
      </c>
      <c r="F26" s="45">
        <v>47.997190000000003</v>
      </c>
      <c r="G26" s="9">
        <f>[2]monthly!$D125</f>
        <v>25.131818181818179</v>
      </c>
    </row>
    <row r="27" spans="1:7" x14ac:dyDescent="0.2">
      <c r="A27" s="27">
        <v>35462</v>
      </c>
      <c r="B27" s="33"/>
      <c r="C27" s="42">
        <v>38.670699999999997</v>
      </c>
      <c r="D27" s="43">
        <v>23.40455</v>
      </c>
      <c r="E27" s="44">
        <v>53.833703337416402</v>
      </c>
      <c r="F27" s="45">
        <v>47.522649999999999</v>
      </c>
      <c r="G27" s="9">
        <f>[2]monthly!$D126</f>
        <v>22.176315789473687</v>
      </c>
    </row>
    <row r="28" spans="1:7" x14ac:dyDescent="0.2">
      <c r="A28" s="27">
        <v>35490</v>
      </c>
      <c r="B28" s="33"/>
      <c r="C28" s="42">
        <v>38.732999999999997</v>
      </c>
      <c r="D28" s="43">
        <v>23.57658</v>
      </c>
      <c r="E28" s="44">
        <v>54.252499564221097</v>
      </c>
      <c r="F28" s="45">
        <v>48.527990000000003</v>
      </c>
      <c r="G28" s="9">
        <f>[2]monthly!$D127</f>
        <v>20.965</v>
      </c>
    </row>
    <row r="29" spans="1:7" x14ac:dyDescent="0.2">
      <c r="A29" s="27">
        <v>35521</v>
      </c>
      <c r="B29" s="33"/>
      <c r="C29" s="42">
        <v>38.805889999999998</v>
      </c>
      <c r="D29" s="43">
        <v>23.405080000000002</v>
      </c>
      <c r="E29" s="44">
        <v>53.838013393619804</v>
      </c>
      <c r="F29" s="45">
        <v>48.465530000000001</v>
      </c>
      <c r="G29" s="9">
        <f>[2]monthly!$D128</f>
        <v>19.695454545454545</v>
      </c>
    </row>
    <row r="30" spans="1:7" x14ac:dyDescent="0.2">
      <c r="A30" s="27">
        <v>35551</v>
      </c>
      <c r="B30" s="33"/>
      <c r="C30" s="42">
        <v>38.869639999999997</v>
      </c>
      <c r="D30" s="43">
        <v>23.854970000000002</v>
      </c>
      <c r="E30" s="44">
        <v>54.940230543400901</v>
      </c>
      <c r="F30" s="45">
        <v>48.887880000000003</v>
      </c>
      <c r="G30" s="9">
        <f>[2]monthly!$D129</f>
        <v>20.81904761904762</v>
      </c>
    </row>
    <row r="31" spans="1:7" x14ac:dyDescent="0.2">
      <c r="A31" s="27">
        <v>35582</v>
      </c>
      <c r="B31" s="33"/>
      <c r="C31" s="42">
        <v>38.927340000000001</v>
      </c>
      <c r="D31" s="43">
        <v>24.303360000000001</v>
      </c>
      <c r="E31" s="44">
        <v>56.0398660522361</v>
      </c>
      <c r="F31" s="45">
        <v>48.774239999999999</v>
      </c>
      <c r="G31" s="9">
        <f>[2]monthly!$D130</f>
        <v>19.259999999999998</v>
      </c>
    </row>
    <row r="32" spans="1:7" x14ac:dyDescent="0.2">
      <c r="A32" s="27">
        <v>35612</v>
      </c>
      <c r="B32" s="33"/>
      <c r="C32" s="42">
        <v>39.020910000000001</v>
      </c>
      <c r="D32" s="43">
        <v>24.071490000000001</v>
      </c>
      <c r="E32" s="44">
        <v>55.478982317227597</v>
      </c>
      <c r="F32" s="45">
        <v>48.79898</v>
      </c>
      <c r="G32" s="9">
        <f>[2]monthly!$D131</f>
        <v>19.66363636363636</v>
      </c>
    </row>
    <row r="33" spans="1:7" x14ac:dyDescent="0.2">
      <c r="A33" s="27">
        <v>35643</v>
      </c>
      <c r="B33" s="33"/>
      <c r="C33" s="42">
        <v>39.088140000000003</v>
      </c>
      <c r="D33" s="43">
        <v>23.483499999999999</v>
      </c>
      <c r="E33" s="44">
        <v>54.068453122546202</v>
      </c>
      <c r="F33" s="45">
        <v>48.08708</v>
      </c>
      <c r="G33" s="9">
        <f>[2]monthly!$D132</f>
        <v>19.952857142857141</v>
      </c>
    </row>
    <row r="34" spans="1:7" x14ac:dyDescent="0.2">
      <c r="A34" s="27">
        <v>35674</v>
      </c>
      <c r="B34" s="33"/>
      <c r="C34" s="42">
        <v>39.211120000000001</v>
      </c>
      <c r="D34" s="43">
        <v>23.727429999999998</v>
      </c>
      <c r="E34" s="44">
        <v>54.663828245601003</v>
      </c>
      <c r="F34" s="45">
        <v>48.416840000000001</v>
      </c>
      <c r="G34" s="9">
        <f>[2]monthly!$D133</f>
        <v>19.803333333333331</v>
      </c>
    </row>
    <row r="35" spans="1:7" x14ac:dyDescent="0.2">
      <c r="A35" s="27">
        <v>35704</v>
      </c>
      <c r="B35" s="33"/>
      <c r="C35" s="42">
        <v>39.291420000000002</v>
      </c>
      <c r="D35" s="43">
        <v>23.884409999999999</v>
      </c>
      <c r="E35" s="44">
        <v>55.046466614789701</v>
      </c>
      <c r="F35" s="45">
        <v>48.817740000000001</v>
      </c>
      <c r="G35" s="9">
        <f>[2]monthly!$D134</f>
        <v>21.325217391304353</v>
      </c>
    </row>
    <row r="36" spans="1:7" x14ac:dyDescent="0.2">
      <c r="A36" s="27">
        <v>35735</v>
      </c>
      <c r="B36" s="33"/>
      <c r="C36" s="42">
        <v>39.363520000000001</v>
      </c>
      <c r="D36" s="43">
        <v>24.282520000000002</v>
      </c>
      <c r="E36" s="44">
        <v>56.022377348325698</v>
      </c>
      <c r="F36" s="45">
        <v>49.793840000000003</v>
      </c>
      <c r="G36" s="9">
        <f>[2]monthly!$D135</f>
        <v>20.193888888888889</v>
      </c>
    </row>
    <row r="37" spans="1:7" x14ac:dyDescent="0.2">
      <c r="A37" s="27">
        <v>35765</v>
      </c>
      <c r="B37" s="33"/>
      <c r="C37" s="42">
        <v>39.48621</v>
      </c>
      <c r="D37" s="43">
        <v>24.089089999999999</v>
      </c>
      <c r="E37" s="44">
        <v>55.553843202337603</v>
      </c>
      <c r="F37" s="45">
        <v>48.160919999999997</v>
      </c>
      <c r="G37" s="9">
        <f>[2]monthly!$D136</f>
        <v>18.332727272727272</v>
      </c>
    </row>
    <row r="38" spans="1:7" x14ac:dyDescent="0.2">
      <c r="A38" s="27">
        <v>35796</v>
      </c>
      <c r="B38" s="33"/>
      <c r="C38" s="42">
        <v>39.665790000000001</v>
      </c>
      <c r="D38" s="43">
        <v>24.325479999999999</v>
      </c>
      <c r="E38" s="44">
        <v>56.131584636656498</v>
      </c>
      <c r="F38" s="45">
        <v>47.93862</v>
      </c>
      <c r="G38" s="9">
        <f>[2]monthly!$D137</f>
        <v>16.724</v>
      </c>
    </row>
    <row r="39" spans="1:7" x14ac:dyDescent="0.2">
      <c r="A39" s="27">
        <v>35827</v>
      </c>
      <c r="B39" s="33"/>
      <c r="C39" s="42">
        <v>39.777050000000003</v>
      </c>
      <c r="D39" s="43">
        <v>24.896419999999999</v>
      </c>
      <c r="E39" s="44">
        <v>57.537935297290602</v>
      </c>
      <c r="F39" s="45">
        <v>50.931179999999998</v>
      </c>
      <c r="G39" s="9">
        <f>[2]monthly!$D138</f>
        <v>16.059999999999999</v>
      </c>
    </row>
    <row r="40" spans="1:7" x14ac:dyDescent="0.2">
      <c r="A40" s="27">
        <v>35855</v>
      </c>
      <c r="B40" s="33"/>
      <c r="C40" s="42">
        <v>39.919310000000003</v>
      </c>
      <c r="D40" s="43">
        <v>24.580410000000001</v>
      </c>
      <c r="E40" s="44">
        <v>56.773078454929802</v>
      </c>
      <c r="F40" s="45">
        <v>50.114319999999999</v>
      </c>
      <c r="G40" s="9">
        <f>[2]monthly!$D139</f>
        <v>15.115454545454543</v>
      </c>
    </row>
    <row r="41" spans="1:7" x14ac:dyDescent="0.2">
      <c r="A41" s="27">
        <v>35886</v>
      </c>
      <c r="B41" s="33"/>
      <c r="C41" s="42">
        <v>39.989069999999998</v>
      </c>
      <c r="D41" s="43">
        <v>24.887090000000001</v>
      </c>
      <c r="E41" s="44">
        <v>57.524818102027197</v>
      </c>
      <c r="F41" s="45">
        <v>49.165059999999997</v>
      </c>
      <c r="G41" s="9">
        <f>[2]monthly!$D140</f>
        <v>15.353809523809522</v>
      </c>
    </row>
    <row r="42" spans="1:7" x14ac:dyDescent="0.2">
      <c r="A42" s="27">
        <v>35916</v>
      </c>
      <c r="B42" s="33"/>
      <c r="C42" s="42">
        <v>40.039810000000003</v>
      </c>
      <c r="D42" s="43">
        <v>24.6631</v>
      </c>
      <c r="E42" s="44">
        <v>56.981523808834702</v>
      </c>
      <c r="F42" s="45">
        <v>49.328589999999998</v>
      </c>
      <c r="G42" s="9">
        <f>[2]monthly!$D141</f>
        <v>14.914000000000001</v>
      </c>
    </row>
    <row r="43" spans="1:7" x14ac:dyDescent="0.2">
      <c r="A43" s="27">
        <v>35947</v>
      </c>
      <c r="B43" s="33"/>
      <c r="C43" s="42">
        <v>40.151820000000001</v>
      </c>
      <c r="D43" s="43">
        <v>24.45016</v>
      </c>
      <c r="E43" s="44">
        <v>56.465181924875701</v>
      </c>
      <c r="F43" s="45">
        <v>50.903939999999999</v>
      </c>
      <c r="G43" s="9">
        <f>[2]monthly!$D142</f>
        <v>13.721818181818181</v>
      </c>
    </row>
    <row r="44" spans="1:7" x14ac:dyDescent="0.2">
      <c r="A44" s="27">
        <v>35977</v>
      </c>
      <c r="B44" s="33"/>
      <c r="C44" s="42">
        <v>40.237589999999997</v>
      </c>
      <c r="D44" s="43">
        <v>24.627130000000001</v>
      </c>
      <c r="E44" s="44">
        <v>56.897738624623699</v>
      </c>
      <c r="F44" s="45">
        <v>49.852809999999998</v>
      </c>
      <c r="G44" s="9">
        <f>[2]monthly!$D143</f>
        <v>14.172727272727274</v>
      </c>
    </row>
    <row r="45" spans="1:7" x14ac:dyDescent="0.2">
      <c r="A45" s="27">
        <v>36008</v>
      </c>
      <c r="B45" s="33"/>
      <c r="C45" s="42">
        <v>40.356569999999998</v>
      </c>
      <c r="D45" s="43">
        <v>25.11562</v>
      </c>
      <c r="E45" s="44">
        <v>58.100154825051199</v>
      </c>
      <c r="F45" s="45">
        <v>50.049970000000002</v>
      </c>
      <c r="G45" s="9">
        <f>[2]monthly!$D144</f>
        <v>13.471904761904764</v>
      </c>
    </row>
    <row r="46" spans="1:7" x14ac:dyDescent="0.2">
      <c r="A46" s="27">
        <v>36039</v>
      </c>
      <c r="B46" s="33"/>
      <c r="C46" s="42">
        <v>40.402320000000003</v>
      </c>
      <c r="D46" s="43">
        <v>24.89828</v>
      </c>
      <c r="E46" s="44">
        <v>57.572467972790697</v>
      </c>
      <c r="F46" s="45">
        <v>50.248510000000003</v>
      </c>
      <c r="G46" s="9">
        <f>[2]monthly!$D145</f>
        <v>15.031428571428572</v>
      </c>
    </row>
    <row r="47" spans="1:7" x14ac:dyDescent="0.2">
      <c r="A47" s="27">
        <v>36069</v>
      </c>
      <c r="B47" s="33"/>
      <c r="C47" s="42">
        <v>40.582039999999999</v>
      </c>
      <c r="D47" s="43">
        <v>25.493839999999999</v>
      </c>
      <c r="E47" s="44">
        <v>59.0428508029851</v>
      </c>
      <c r="F47" s="45">
        <v>49.926049999999996</v>
      </c>
      <c r="G47" s="9">
        <f>[2]monthly!$D146</f>
        <v>14.460909090909091</v>
      </c>
    </row>
    <row r="48" spans="1:7" x14ac:dyDescent="0.2">
      <c r="A48" s="27">
        <v>36100</v>
      </c>
      <c r="B48" s="33"/>
      <c r="C48" s="42">
        <v>40.638440000000003</v>
      </c>
      <c r="D48" s="43">
        <v>25.24888</v>
      </c>
      <c r="E48" s="44">
        <v>58.4477449913473</v>
      </c>
      <c r="F48" s="45">
        <v>50.086489999999998</v>
      </c>
      <c r="G48" s="9">
        <f>[2]monthly!$D147</f>
        <v>13.002105263157892</v>
      </c>
    </row>
    <row r="49" spans="1:7" x14ac:dyDescent="0.2">
      <c r="A49" s="27">
        <v>36130</v>
      </c>
      <c r="B49" s="33"/>
      <c r="C49" s="42">
        <v>40.69361</v>
      </c>
      <c r="D49" s="43">
        <v>25.122990000000001</v>
      </c>
      <c r="E49" s="44">
        <v>58.141292825831897</v>
      </c>
      <c r="F49" s="45">
        <v>49.762720000000002</v>
      </c>
      <c r="G49" s="9">
        <f>[2]monthly!$D148</f>
        <v>11.347272727272726</v>
      </c>
    </row>
    <row r="50" spans="1:7" x14ac:dyDescent="0.2">
      <c r="A50" s="27">
        <v>36161</v>
      </c>
      <c r="B50" s="33"/>
      <c r="C50" s="42">
        <v>40.689480000000003</v>
      </c>
      <c r="D50" s="43">
        <v>24.754729999999999</v>
      </c>
      <c r="E50" s="44">
        <v>57.249674941004102</v>
      </c>
      <c r="F50" s="45">
        <v>48.654209999999999</v>
      </c>
      <c r="G50" s="9">
        <f>[2]monthly!$D149</f>
        <v>12.514736842105263</v>
      </c>
    </row>
    <row r="51" spans="1:7" x14ac:dyDescent="0.2">
      <c r="A51" s="27">
        <v>36192</v>
      </c>
      <c r="B51" s="33"/>
      <c r="C51" s="42">
        <v>40.901530000000001</v>
      </c>
      <c r="D51" s="43">
        <v>25.45928</v>
      </c>
      <c r="E51" s="44">
        <v>58.993599861050399</v>
      </c>
      <c r="F51" s="45">
        <v>49.479750000000003</v>
      </c>
      <c r="G51" s="9">
        <f>[2]monthly!$D150</f>
        <v>12.013684210526316</v>
      </c>
    </row>
    <row r="52" spans="1:7" x14ac:dyDescent="0.2">
      <c r="A52" s="27">
        <v>36220</v>
      </c>
      <c r="B52" s="33"/>
      <c r="C52" s="42">
        <v>41.091790000000003</v>
      </c>
      <c r="D52" s="43">
        <v>25.78229</v>
      </c>
      <c r="E52" s="44">
        <v>59.788020783467303</v>
      </c>
      <c r="F52" s="45">
        <v>48.184669999999997</v>
      </c>
      <c r="G52" s="9">
        <f>[2]monthly!$D151</f>
        <v>14.676521739130438</v>
      </c>
    </row>
    <row r="53" spans="1:7" x14ac:dyDescent="0.2">
      <c r="A53" s="27">
        <v>36251</v>
      </c>
      <c r="B53" s="33"/>
      <c r="C53" s="42">
        <v>41.222389999999997</v>
      </c>
      <c r="D53" s="43">
        <v>25.48537</v>
      </c>
      <c r="E53" s="44">
        <v>59.066454750389298</v>
      </c>
      <c r="F53" s="45">
        <v>49.093519999999998</v>
      </c>
      <c r="G53" s="9">
        <f>[2]monthly!$D152</f>
        <v>17.312380952380952</v>
      </c>
    </row>
    <row r="54" spans="1:7" x14ac:dyDescent="0.2">
      <c r="A54" s="27">
        <v>36281</v>
      </c>
      <c r="B54" s="33"/>
      <c r="C54" s="42">
        <v>41.31297</v>
      </c>
      <c r="D54" s="43">
        <v>25.482949999999999</v>
      </c>
      <c r="E54" s="44">
        <v>59.060546466423297</v>
      </c>
      <c r="F54" s="45">
        <v>49.088529999999999</v>
      </c>
      <c r="G54" s="9">
        <f>[2]monthly!$D153</f>
        <v>17.718499999999999</v>
      </c>
    </row>
    <row r="55" spans="1:7" x14ac:dyDescent="0.2">
      <c r="A55" s="27">
        <v>36312</v>
      </c>
      <c r="B55" s="33"/>
      <c r="C55" s="42">
        <v>41.452710000000003</v>
      </c>
      <c r="D55" s="43">
        <v>25.929970000000001</v>
      </c>
      <c r="E55" s="44">
        <v>60.163017433945797</v>
      </c>
      <c r="F55" s="45">
        <v>49.754429999999999</v>
      </c>
      <c r="G55" s="9">
        <f>[2]monthly!$D154</f>
        <v>17.923181818181821</v>
      </c>
    </row>
    <row r="56" spans="1:7" x14ac:dyDescent="0.2">
      <c r="A56" s="27">
        <v>36342</v>
      </c>
      <c r="B56" s="33"/>
      <c r="C56" s="42">
        <v>41.682360000000003</v>
      </c>
      <c r="D56" s="43">
        <v>26.164850000000001</v>
      </c>
      <c r="E56" s="44">
        <v>60.7403466030283</v>
      </c>
      <c r="F56" s="45">
        <v>50.577480000000001</v>
      </c>
      <c r="G56" s="9">
        <f>[2]monthly!$D155</f>
        <v>20.103333333333332</v>
      </c>
    </row>
    <row r="57" spans="1:7" x14ac:dyDescent="0.2">
      <c r="A57" s="27">
        <v>36373</v>
      </c>
      <c r="B57" s="33"/>
      <c r="C57" s="42">
        <v>42.030850000000001</v>
      </c>
      <c r="D57" s="43">
        <v>26.891760000000001</v>
      </c>
      <c r="E57" s="44">
        <v>62.5457930208471</v>
      </c>
      <c r="F57" s="45">
        <v>50.931980000000003</v>
      </c>
      <c r="G57" s="9">
        <f>[2]monthly!$D156</f>
        <v>21.278636363636366</v>
      </c>
    </row>
    <row r="58" spans="1:7" x14ac:dyDescent="0.2">
      <c r="A58" s="27">
        <v>36404</v>
      </c>
      <c r="B58" s="33"/>
      <c r="C58" s="42">
        <v>42.480449999999998</v>
      </c>
      <c r="D58" s="43">
        <v>28.58989</v>
      </c>
      <c r="E58" s="44">
        <v>66.8516188995698</v>
      </c>
      <c r="F58" s="45">
        <v>51.890520000000002</v>
      </c>
      <c r="G58" s="9">
        <f>[2]monthly!$D157</f>
        <v>23.796666666666667</v>
      </c>
    </row>
    <row r="59" spans="1:7" x14ac:dyDescent="0.2">
      <c r="A59" s="27">
        <v>36434</v>
      </c>
      <c r="B59" s="33"/>
      <c r="C59" s="42">
        <v>42.59836</v>
      </c>
      <c r="D59" s="43">
        <v>27.548100000000002</v>
      </c>
      <c r="E59" s="44">
        <v>64.3320141084303</v>
      </c>
      <c r="F59" s="45">
        <v>51.733179999999997</v>
      </c>
      <c r="G59" s="9">
        <f>[2]monthly!$D158</f>
        <v>22.691428571428577</v>
      </c>
    </row>
    <row r="60" spans="1:7" x14ac:dyDescent="0.2">
      <c r="A60" s="27">
        <v>36465</v>
      </c>
      <c r="B60" s="33"/>
      <c r="C60" s="42">
        <v>42.839320000000001</v>
      </c>
      <c r="D60" s="43">
        <v>27.60331</v>
      </c>
      <c r="E60" s="44">
        <v>64.468073474290193</v>
      </c>
      <c r="F60" s="45">
        <v>52.642029999999998</v>
      </c>
      <c r="G60" s="9">
        <f>[2]monthly!$D159</f>
        <v>25.00238095238095</v>
      </c>
    </row>
    <row r="61" spans="1:7" x14ac:dyDescent="0.2">
      <c r="A61" s="27">
        <v>36495</v>
      </c>
      <c r="B61" s="33"/>
      <c r="C61" s="42">
        <v>42.942210000000003</v>
      </c>
      <c r="D61" s="43">
        <v>27.840530000000001</v>
      </c>
      <c r="E61" s="44">
        <v>65.054873921447296</v>
      </c>
      <c r="F61" s="45">
        <v>53.404209999999999</v>
      </c>
      <c r="G61" s="9">
        <f>[2]monthly!$D160</f>
        <v>26.102380952380951</v>
      </c>
    </row>
    <row r="62" spans="1:7" x14ac:dyDescent="0.2">
      <c r="A62" s="27">
        <v>36526</v>
      </c>
      <c r="B62" s="33"/>
      <c r="C62" s="42">
        <v>42.959159999999997</v>
      </c>
      <c r="D62" s="43">
        <v>27.583659999999998</v>
      </c>
      <c r="E62" s="44">
        <v>64.425111136732397</v>
      </c>
      <c r="F62" s="45">
        <v>51.185009999999998</v>
      </c>
      <c r="G62" s="9">
        <f>[2]monthly!$D161</f>
        <v>27.259473684210523</v>
      </c>
    </row>
    <row r="63" spans="1:7" x14ac:dyDescent="0.2">
      <c r="A63" s="27">
        <v>36557</v>
      </c>
      <c r="B63" s="33"/>
      <c r="C63" s="42">
        <v>43.22936</v>
      </c>
      <c r="D63" s="43">
        <v>27.56531</v>
      </c>
      <c r="E63" s="44">
        <v>64.379926501247297</v>
      </c>
      <c r="F63" s="45">
        <v>53.87256</v>
      </c>
      <c r="G63" s="9">
        <f>[2]monthly!$D162</f>
        <v>29.366000000000007</v>
      </c>
    </row>
    <row r="64" spans="1:7" x14ac:dyDescent="0.2">
      <c r="A64" s="27">
        <v>36586</v>
      </c>
      <c r="B64" s="33"/>
      <c r="C64" s="42">
        <v>43.687890000000003</v>
      </c>
      <c r="D64" s="43">
        <v>28.082660000000001</v>
      </c>
      <c r="E64" s="44">
        <v>65.666532549356404</v>
      </c>
      <c r="F64" s="45">
        <v>54.948630000000001</v>
      </c>
      <c r="G64" s="9">
        <f>[2]monthly!$D163</f>
        <v>29.841739130434789</v>
      </c>
    </row>
    <row r="65" spans="1:7" x14ac:dyDescent="0.2">
      <c r="A65" s="27">
        <v>36617</v>
      </c>
      <c r="B65" s="33"/>
      <c r="C65" s="42">
        <v>44.136209999999998</v>
      </c>
      <c r="D65" s="43">
        <v>28.789719999999999</v>
      </c>
      <c r="E65" s="44">
        <v>67.433022237997307</v>
      </c>
      <c r="F65" s="45">
        <v>55.487920000000003</v>
      </c>
      <c r="G65" s="9">
        <f>[2]monthly!$D164</f>
        <v>25.7221052631579</v>
      </c>
    </row>
    <row r="66" spans="1:7" x14ac:dyDescent="0.2">
      <c r="A66" s="27">
        <v>36647</v>
      </c>
      <c r="B66" s="33"/>
      <c r="C66" s="42">
        <v>44.481859999999998</v>
      </c>
      <c r="D66" s="43">
        <v>28.889109999999999</v>
      </c>
      <c r="E66" s="44">
        <v>67.678895698800105</v>
      </c>
      <c r="F66" s="45">
        <v>56.757860000000001</v>
      </c>
      <c r="G66" s="9">
        <f>[2]monthly!$D165</f>
        <v>28.788181818181815</v>
      </c>
    </row>
    <row r="67" spans="1:7" x14ac:dyDescent="0.2">
      <c r="A67" s="27">
        <v>36678</v>
      </c>
      <c r="B67" s="33"/>
      <c r="C67" s="42">
        <v>44.622869999999999</v>
      </c>
      <c r="D67" s="43">
        <v>29.03227</v>
      </c>
      <c r="E67" s="44">
        <v>68.033435561978607</v>
      </c>
      <c r="F67" s="45">
        <v>56.58775</v>
      </c>
      <c r="G67" s="9">
        <f>[2]monthly!$D166</f>
        <v>31.822272727272722</v>
      </c>
    </row>
    <row r="68" spans="1:7" x14ac:dyDescent="0.2">
      <c r="A68" s="27">
        <v>36708</v>
      </c>
      <c r="B68" s="33"/>
      <c r="C68" s="42">
        <v>44.746169999999999</v>
      </c>
      <c r="D68" s="43">
        <v>29.449850000000001</v>
      </c>
      <c r="E68" s="44">
        <v>69.072980300824298</v>
      </c>
      <c r="F68" s="45">
        <v>57.207450000000001</v>
      </c>
      <c r="G68" s="9">
        <f>[2]monthly!$D167</f>
        <v>29.696842105263158</v>
      </c>
    </row>
    <row r="69" spans="1:7" x14ac:dyDescent="0.2">
      <c r="A69" s="27">
        <v>36739</v>
      </c>
      <c r="B69" s="33"/>
      <c r="C69" s="42">
        <v>44.864109999999997</v>
      </c>
      <c r="D69" s="43">
        <v>29.710280000000001</v>
      </c>
      <c r="E69" s="44">
        <v>69.720001357293398</v>
      </c>
      <c r="F69" s="45">
        <v>57.83334</v>
      </c>
      <c r="G69" s="9">
        <f>[2]monthly!$D168</f>
        <v>31.263913043478258</v>
      </c>
    </row>
    <row r="70" spans="1:7" x14ac:dyDescent="0.2">
      <c r="A70" s="27">
        <v>36770</v>
      </c>
      <c r="B70" s="33"/>
      <c r="C70" s="42">
        <v>45.117440000000002</v>
      </c>
      <c r="D70" s="43">
        <v>30.113589999999999</v>
      </c>
      <c r="E70" s="44">
        <v>70.724996592302205</v>
      </c>
      <c r="F70" s="45">
        <v>56.358870000000003</v>
      </c>
      <c r="G70" s="9">
        <f>[2]monthly!$D169</f>
        <v>33.884</v>
      </c>
    </row>
    <row r="71" spans="1:7" x14ac:dyDescent="0.2">
      <c r="A71" s="27">
        <v>36800</v>
      </c>
      <c r="B71" s="33"/>
      <c r="C71" s="42">
        <v>45.30247</v>
      </c>
      <c r="D71" s="43">
        <v>28.83503</v>
      </c>
      <c r="E71" s="44">
        <v>67.628884928446098</v>
      </c>
      <c r="F71" s="45">
        <v>57.365189999999998</v>
      </c>
      <c r="G71" s="9">
        <f>[2]monthly!$D170</f>
        <v>33.108636363636364</v>
      </c>
    </row>
    <row r="72" spans="1:7" x14ac:dyDescent="0.2">
      <c r="A72" s="27">
        <v>36831</v>
      </c>
      <c r="B72" s="33"/>
      <c r="C72" s="42">
        <v>45.50074</v>
      </c>
      <c r="D72" s="43">
        <v>29.2697</v>
      </c>
      <c r="E72" s="44">
        <v>68.712310890065694</v>
      </c>
      <c r="F72" s="45">
        <v>56.264969999999998</v>
      </c>
      <c r="G72" s="9">
        <f>[2]monthly!$D171</f>
        <v>34.417142857142856</v>
      </c>
    </row>
    <row r="73" spans="1:7" x14ac:dyDescent="0.2">
      <c r="A73" s="27">
        <v>36861</v>
      </c>
      <c r="B73" s="33"/>
      <c r="C73" s="42">
        <v>45.591639999999998</v>
      </c>
      <c r="D73" s="43">
        <v>29.350629999999999</v>
      </c>
      <c r="E73" s="44">
        <v>68.912922101933702</v>
      </c>
      <c r="F73" s="45">
        <v>56.68871</v>
      </c>
      <c r="G73" s="9">
        <f>[2]monthly!$D172</f>
        <v>28.436500000000002</v>
      </c>
    </row>
    <row r="74" spans="1:7" x14ac:dyDescent="0.2">
      <c r="A74" s="27">
        <v>36892</v>
      </c>
      <c r="B74" s="33"/>
      <c r="C74" s="42">
        <v>45.656950000000002</v>
      </c>
      <c r="D74" s="43">
        <v>30.288329999999998</v>
      </c>
      <c r="E74" s="44">
        <v>71.273663273977903</v>
      </c>
      <c r="F74" s="45">
        <v>56.494959999999999</v>
      </c>
      <c r="G74" s="9">
        <f>[2]monthly!$D173</f>
        <v>29.585714285714289</v>
      </c>
    </row>
    <row r="75" spans="1:7" x14ac:dyDescent="0.2">
      <c r="A75" s="27">
        <v>36923</v>
      </c>
      <c r="B75" s="33"/>
      <c r="C75" s="42">
        <v>45.411140000000003</v>
      </c>
      <c r="D75" s="43">
        <v>29.699480000000001</v>
      </c>
      <c r="E75" s="44">
        <v>69.827611433364595</v>
      </c>
      <c r="F75" s="45">
        <v>56.212389999999999</v>
      </c>
      <c r="G75" s="9">
        <f>[2]monthly!$D174</f>
        <v>29.609473684210528</v>
      </c>
    </row>
    <row r="76" spans="1:7" x14ac:dyDescent="0.2">
      <c r="A76" s="27">
        <v>36951</v>
      </c>
      <c r="B76" s="33"/>
      <c r="C76" s="42">
        <v>45.246989999999997</v>
      </c>
      <c r="D76" s="43">
        <v>29.937370000000001</v>
      </c>
      <c r="E76" s="44">
        <v>70.419804898224797</v>
      </c>
      <c r="F76" s="45">
        <v>55.324390000000001</v>
      </c>
      <c r="G76" s="9">
        <f>[2]monthly!$D175</f>
        <v>27.244545454545456</v>
      </c>
    </row>
    <row r="77" spans="1:7" x14ac:dyDescent="0.2">
      <c r="A77" s="27">
        <v>36982</v>
      </c>
      <c r="B77" s="33"/>
      <c r="C77" s="42">
        <v>45.043300000000002</v>
      </c>
      <c r="D77" s="43">
        <v>29.98058</v>
      </c>
      <c r="E77" s="44">
        <v>70.527053426184906</v>
      </c>
      <c r="F77" s="45">
        <v>54.238840000000003</v>
      </c>
      <c r="G77" s="9">
        <f>[2]monthly!$D176</f>
        <v>27.49</v>
      </c>
    </row>
    <row r="78" spans="1:7" x14ac:dyDescent="0.2">
      <c r="A78" s="27">
        <v>37012</v>
      </c>
      <c r="B78" s="33"/>
      <c r="C78" s="42">
        <v>44.846769999999999</v>
      </c>
      <c r="D78" s="43">
        <v>29.433499999999999</v>
      </c>
      <c r="E78" s="44">
        <v>69.183149502687399</v>
      </c>
      <c r="F78" s="45">
        <v>53.277799999999999</v>
      </c>
      <c r="G78" s="9">
        <f>[2]monthly!$D177</f>
        <v>28.629090909090909</v>
      </c>
    </row>
    <row r="79" spans="1:7" x14ac:dyDescent="0.2">
      <c r="A79" s="27">
        <v>37043</v>
      </c>
      <c r="B79" s="33"/>
      <c r="C79" s="42">
        <v>44.616399999999999</v>
      </c>
      <c r="D79" s="43">
        <v>28.798359999999999</v>
      </c>
      <c r="E79" s="44">
        <v>67.626942300067299</v>
      </c>
      <c r="F79" s="45">
        <v>51.51437</v>
      </c>
      <c r="G79" s="9">
        <f>[2]monthly!$D178</f>
        <v>27.599047619047617</v>
      </c>
    </row>
    <row r="80" spans="1:7" x14ac:dyDescent="0.2">
      <c r="A80" s="27">
        <v>37073</v>
      </c>
      <c r="B80" s="33"/>
      <c r="C80" s="42">
        <v>44.648040000000002</v>
      </c>
      <c r="D80" s="43">
        <v>29.382010000000001</v>
      </c>
      <c r="E80" s="44">
        <v>69.087512178921997</v>
      </c>
      <c r="F80" s="45">
        <v>52.768839999999997</v>
      </c>
      <c r="G80" s="9">
        <f>[2]monthly!$D179</f>
        <v>26.424761904761901</v>
      </c>
    </row>
    <row r="81" spans="1:7" x14ac:dyDescent="0.2">
      <c r="A81" s="27">
        <v>37104</v>
      </c>
      <c r="B81" s="33"/>
      <c r="C81" s="42">
        <v>44.704239999999999</v>
      </c>
      <c r="D81" s="43">
        <v>29.845759999999999</v>
      </c>
      <c r="E81" s="44">
        <v>70.246808667828702</v>
      </c>
      <c r="F81" s="45">
        <v>52.084389999999999</v>
      </c>
      <c r="G81" s="9">
        <f>[2]monthly!$D180</f>
        <v>27.373913043478261</v>
      </c>
    </row>
    <row r="82" spans="1:7" x14ac:dyDescent="0.2">
      <c r="A82" s="27">
        <v>37135</v>
      </c>
      <c r="B82" s="33"/>
      <c r="C82" s="42">
        <v>44.604309999999998</v>
      </c>
      <c r="D82" s="43">
        <v>29.139659999999999</v>
      </c>
      <c r="E82" s="44">
        <v>68.516286473497601</v>
      </c>
      <c r="F82" s="45">
        <v>52.39</v>
      </c>
      <c r="G82" s="9">
        <f>[2]monthly!$D181</f>
        <v>26.199473684210524</v>
      </c>
    </row>
    <row r="83" spans="1:7" x14ac:dyDescent="0.2">
      <c r="A83" s="27">
        <v>37165</v>
      </c>
      <c r="B83" s="33"/>
      <c r="C83" s="42">
        <v>44.54336</v>
      </c>
      <c r="D83" s="43">
        <v>29.214600000000001</v>
      </c>
      <c r="E83" s="44">
        <v>68.702321415276202</v>
      </c>
      <c r="F83" s="45">
        <v>51.92474</v>
      </c>
      <c r="G83" s="9">
        <f>[2]monthly!$D182</f>
        <v>22.169565217391305</v>
      </c>
    </row>
    <row r="84" spans="1:7" x14ac:dyDescent="0.2">
      <c r="A84" s="27">
        <v>37196</v>
      </c>
      <c r="B84" s="33"/>
      <c r="C84" s="42">
        <v>44.558329999999998</v>
      </c>
      <c r="D84" s="43">
        <v>29.25461</v>
      </c>
      <c r="E84" s="44">
        <v>68.801598447154205</v>
      </c>
      <c r="F84" s="45">
        <v>51.320300000000003</v>
      </c>
      <c r="G84" s="9">
        <f>[2]monthly!$D183</f>
        <v>19.634999999999998</v>
      </c>
    </row>
    <row r="85" spans="1:7" x14ac:dyDescent="0.2">
      <c r="A85" s="27">
        <v>37226</v>
      </c>
      <c r="B85" s="33"/>
      <c r="C85" s="42">
        <v>44.766269999999999</v>
      </c>
      <c r="D85" s="43">
        <v>28.83764</v>
      </c>
      <c r="E85" s="44">
        <v>67.775427332606995</v>
      </c>
      <c r="F85" s="45">
        <v>51.245480000000001</v>
      </c>
      <c r="G85" s="9">
        <f>[2]monthly!$D184</f>
        <v>19.388947368421054</v>
      </c>
    </row>
    <row r="86" spans="1:7" x14ac:dyDescent="0.2">
      <c r="A86" s="27">
        <v>37257</v>
      </c>
      <c r="B86" s="33"/>
      <c r="C86" s="42">
        <v>45.24503</v>
      </c>
      <c r="D86" s="43">
        <v>29.873159999999999</v>
      </c>
      <c r="E86" s="44">
        <v>70.390501773446005</v>
      </c>
      <c r="F86" s="45">
        <v>50.878399999999999</v>
      </c>
      <c r="G86" s="9">
        <f>[2]monthly!$D185</f>
        <v>19.714761904761907</v>
      </c>
    </row>
    <row r="87" spans="1:7" x14ac:dyDescent="0.2">
      <c r="A87" s="27">
        <v>37288</v>
      </c>
      <c r="B87" s="33"/>
      <c r="C87" s="42">
        <v>45.421149999999997</v>
      </c>
      <c r="D87" s="43">
        <v>29.520849999999999</v>
      </c>
      <c r="E87" s="44">
        <v>70.401447010720602</v>
      </c>
      <c r="F87" s="45">
        <v>51.294170000000001</v>
      </c>
      <c r="G87" s="9">
        <f>[2]monthly!$D186</f>
        <v>20.723684210526315</v>
      </c>
    </row>
    <row r="88" spans="1:7" x14ac:dyDescent="0.2">
      <c r="A88" s="27">
        <v>37316</v>
      </c>
      <c r="B88" s="33"/>
      <c r="C88" s="42">
        <v>45.42859</v>
      </c>
      <c r="D88" s="43">
        <v>28.573540000000001</v>
      </c>
      <c r="E88" s="44">
        <v>67.366873295787002</v>
      </c>
      <c r="F88" s="45">
        <v>52.082799999999999</v>
      </c>
      <c r="G88" s="9">
        <f>[2]monthly!$D187</f>
        <v>24.530999999999999</v>
      </c>
    </row>
    <row r="89" spans="1:7" ht="15.75" x14ac:dyDescent="0.25">
      <c r="A89" s="27">
        <v>37347</v>
      </c>
      <c r="B89" s="18">
        <f>[7]monthly!$CH188</f>
        <v>100</v>
      </c>
      <c r="C89" s="42">
        <v>45.535980000000002</v>
      </c>
      <c r="D89" s="43">
        <v>29.17511</v>
      </c>
      <c r="E89" s="44">
        <v>68.594966984851894</v>
      </c>
      <c r="F89" s="45">
        <v>52.459739999999996</v>
      </c>
      <c r="G89" s="9">
        <f>[2]monthly!$D188</f>
        <v>26.179090909090917</v>
      </c>
    </row>
    <row r="90" spans="1:7" ht="15.75" x14ac:dyDescent="0.25">
      <c r="A90" s="27">
        <v>37377</v>
      </c>
      <c r="B90" s="18">
        <f>[7]monthly!$CH189</f>
        <v>97.8</v>
      </c>
      <c r="C90" s="42">
        <v>45.600079999999998</v>
      </c>
      <c r="D90" s="43">
        <v>29.460360000000001</v>
      </c>
      <c r="E90" s="44">
        <v>68.787684981418195</v>
      </c>
      <c r="F90" s="45">
        <v>51.920059999999999</v>
      </c>
      <c r="G90" s="9">
        <f>[2]monthly!$D189</f>
        <v>27.041363636363641</v>
      </c>
    </row>
    <row r="91" spans="1:7" ht="15.75" x14ac:dyDescent="0.25">
      <c r="A91" s="27">
        <v>37408</v>
      </c>
      <c r="B91" s="18">
        <f>[7]monthly!$CH190</f>
        <v>95.6</v>
      </c>
      <c r="C91" s="42">
        <v>45.795259999999999</v>
      </c>
      <c r="D91" s="43">
        <v>29.8279</v>
      </c>
      <c r="E91" s="44">
        <v>69.358040168587493</v>
      </c>
      <c r="F91" s="45">
        <v>51.957569999999997</v>
      </c>
      <c r="G91" s="9">
        <f>[2]monthly!$D190</f>
        <v>25.5185</v>
      </c>
    </row>
    <row r="92" spans="1:7" ht="15.75" x14ac:dyDescent="0.25">
      <c r="A92" s="27">
        <v>37438</v>
      </c>
      <c r="B92" s="18">
        <f>[7]monthly!$CH191</f>
        <v>94.6</v>
      </c>
      <c r="C92" s="42">
        <v>45.993490000000001</v>
      </c>
      <c r="D92" s="43">
        <v>30.49605</v>
      </c>
      <c r="E92" s="44">
        <v>67.348811674052996</v>
      </c>
      <c r="F92" s="45">
        <v>51.329189999999997</v>
      </c>
      <c r="G92" s="9">
        <f>[2]monthly!$D191</f>
        <v>26.966190476190473</v>
      </c>
    </row>
    <row r="93" spans="1:7" ht="15.75" x14ac:dyDescent="0.25">
      <c r="A93" s="27">
        <v>37469</v>
      </c>
      <c r="B93" s="18">
        <f>[7]monthly!$CH192</f>
        <v>89.4</v>
      </c>
      <c r="C93" s="42">
        <v>46.18412</v>
      </c>
      <c r="D93" s="43">
        <v>29.992719999999998</v>
      </c>
      <c r="E93" s="44">
        <v>67.980951925565904</v>
      </c>
      <c r="F93" s="45">
        <v>51.41789</v>
      </c>
      <c r="G93" s="9">
        <f>[2]monthly!$D192</f>
        <v>28.385000000000005</v>
      </c>
    </row>
    <row r="94" spans="1:7" ht="15.75" x14ac:dyDescent="0.25">
      <c r="A94" s="27">
        <v>37500</v>
      </c>
      <c r="B94" s="18">
        <f>[7]monthly!$CH193</f>
        <v>99.6</v>
      </c>
      <c r="C94" s="42">
        <v>46.266370000000002</v>
      </c>
      <c r="D94" s="43">
        <v>29.79457</v>
      </c>
      <c r="E94" s="44">
        <v>68.409410809254297</v>
      </c>
      <c r="F94" s="45">
        <v>51.744750000000003</v>
      </c>
      <c r="G94" s="9">
        <f>[2]monthly!$D193</f>
        <v>29.663499999999999</v>
      </c>
    </row>
    <row r="95" spans="1:7" ht="15.75" x14ac:dyDescent="0.25">
      <c r="A95" s="27">
        <v>37530</v>
      </c>
      <c r="B95" s="18">
        <f>[7]monthly!$CH194</f>
        <v>89.8</v>
      </c>
      <c r="C95" s="42">
        <v>46.348089999999999</v>
      </c>
      <c r="D95" s="43">
        <v>30.2165</v>
      </c>
      <c r="E95" s="44">
        <v>67.671422466558099</v>
      </c>
      <c r="F95" s="45">
        <v>51.229810000000001</v>
      </c>
      <c r="G95" s="9">
        <f>[2]monthly!$D194</f>
        <v>28.836521739130436</v>
      </c>
    </row>
    <row r="96" spans="1:7" ht="15.75" x14ac:dyDescent="0.25">
      <c r="A96" s="27">
        <v>37561</v>
      </c>
      <c r="B96" s="18">
        <f>[7]monthly!$CH195</f>
        <v>91</v>
      </c>
      <c r="C96" s="42">
        <v>46.358319999999999</v>
      </c>
      <c r="D96" s="43">
        <v>30.00421</v>
      </c>
      <c r="E96" s="44">
        <v>67.470404618242199</v>
      </c>
      <c r="F96" s="45">
        <v>50.928489999999996</v>
      </c>
      <c r="G96" s="9">
        <f>[2]monthly!$D195</f>
        <v>26.352105263157895</v>
      </c>
    </row>
    <row r="97" spans="1:7" ht="15.75" x14ac:dyDescent="0.25">
      <c r="A97" s="27">
        <v>37591</v>
      </c>
      <c r="B97" s="18">
        <f>[7]monthly!$CH196</f>
        <v>93</v>
      </c>
      <c r="C97" s="42">
        <v>46.541870000000003</v>
      </c>
      <c r="D97" s="43">
        <v>29.503589999999999</v>
      </c>
      <c r="E97" s="44">
        <v>69.746608321393197</v>
      </c>
      <c r="F97" s="45">
        <v>51.8994</v>
      </c>
      <c r="G97" s="9">
        <f>[2]monthly!$D196</f>
        <v>29.460952380952378</v>
      </c>
    </row>
    <row r="98" spans="1:7" ht="15.75" x14ac:dyDescent="0.25">
      <c r="A98" s="27">
        <v>37622</v>
      </c>
      <c r="B98" s="18">
        <f>[7]monthly!$CH197</f>
        <v>95</v>
      </c>
      <c r="C98" s="42">
        <v>46.60886</v>
      </c>
      <c r="D98" s="43">
        <v>32.655769999999997</v>
      </c>
      <c r="E98" s="44">
        <v>67.028518549721497</v>
      </c>
      <c r="F98" s="45">
        <v>51.881039999999999</v>
      </c>
      <c r="G98" s="9">
        <f>[2]monthly!$D197</f>
        <v>32.94714285714285</v>
      </c>
    </row>
    <row r="99" spans="1:7" ht="15.75" x14ac:dyDescent="0.25">
      <c r="A99" s="27">
        <v>37653</v>
      </c>
      <c r="B99" s="18">
        <f>[7]monthly!$CH198</f>
        <v>97</v>
      </c>
      <c r="C99" s="42">
        <v>46.633290000000002</v>
      </c>
      <c r="D99" s="43">
        <v>32.671930000000003</v>
      </c>
      <c r="E99" s="44">
        <v>66.114402919502297</v>
      </c>
      <c r="F99" s="45">
        <v>51.637689999999999</v>
      </c>
      <c r="G99" s="9">
        <f>[2]monthly!$D198</f>
        <v>35.828421052631583</v>
      </c>
    </row>
    <row r="100" spans="1:7" ht="15.75" x14ac:dyDescent="0.25">
      <c r="A100" s="27">
        <v>37681</v>
      </c>
      <c r="B100" s="18">
        <f>[7]monthly!$CH199</f>
        <v>102.2</v>
      </c>
      <c r="C100" s="42">
        <v>46.586399999999998</v>
      </c>
      <c r="D100" s="43">
        <v>32.644979999999997</v>
      </c>
      <c r="E100" s="44">
        <v>64.822617515538496</v>
      </c>
      <c r="F100" s="45">
        <v>51.06438</v>
      </c>
      <c r="G100" s="9">
        <f>[2]monthly!$D199</f>
        <v>33.513333333333335</v>
      </c>
    </row>
    <row r="101" spans="1:7" ht="15.75" x14ac:dyDescent="0.25">
      <c r="A101" s="27">
        <v>37712</v>
      </c>
      <c r="B101" s="18">
        <f>[7]monthly!$CH200</f>
        <v>95.9</v>
      </c>
      <c r="C101" s="42">
        <v>46.624279999999999</v>
      </c>
      <c r="D101" s="43">
        <v>33.357889999999998</v>
      </c>
      <c r="E101" s="44">
        <v>66.369662414149801</v>
      </c>
      <c r="F101" s="45">
        <v>51.600969999999997</v>
      </c>
      <c r="G101" s="9">
        <f>[2]monthly!$D200</f>
        <v>28.170476190476197</v>
      </c>
    </row>
    <row r="102" spans="1:7" ht="15.75" x14ac:dyDescent="0.25">
      <c r="A102" s="27">
        <v>37742</v>
      </c>
      <c r="B102" s="18">
        <f>[7]monthly!$CH201</f>
        <v>98.1</v>
      </c>
      <c r="C102" s="42">
        <v>46.686140000000002</v>
      </c>
      <c r="D102" s="43">
        <v>33.378509999999999</v>
      </c>
      <c r="E102" s="44">
        <v>66.611302561767701</v>
      </c>
      <c r="F102" s="45">
        <v>51.254759999999997</v>
      </c>
      <c r="G102" s="9">
        <f>[2]monthly!$D201</f>
        <v>28.108571428571423</v>
      </c>
    </row>
    <row r="103" spans="1:7" ht="15.75" x14ac:dyDescent="0.25">
      <c r="A103" s="27">
        <v>37773</v>
      </c>
      <c r="B103" s="18">
        <f>[7]monthly!$CH202</f>
        <v>109.2</v>
      </c>
      <c r="C103" s="42">
        <v>46.992019999999997</v>
      </c>
      <c r="D103" s="43">
        <v>34.098579999999998</v>
      </c>
      <c r="E103" s="44">
        <v>67.995137662185002</v>
      </c>
      <c r="F103" s="45">
        <v>50.575890000000001</v>
      </c>
      <c r="G103" s="9">
        <f>[2]monthly!$D202</f>
        <v>30.662380952380946</v>
      </c>
    </row>
    <row r="104" spans="1:7" ht="15.75" x14ac:dyDescent="0.25">
      <c r="A104" s="27">
        <v>37803</v>
      </c>
      <c r="B104" s="18">
        <f>[7]monthly!$CH203</f>
        <v>109.5</v>
      </c>
      <c r="C104" s="42">
        <v>47.356020000000001</v>
      </c>
      <c r="D104" s="43">
        <v>34.473280000000003</v>
      </c>
      <c r="E104" s="44">
        <v>71.306753383830497</v>
      </c>
      <c r="F104" s="45">
        <v>51.411900000000003</v>
      </c>
      <c r="G104" s="9">
        <f>[2]monthly!$D203</f>
        <v>30.754545454545454</v>
      </c>
    </row>
    <row r="105" spans="1:7" ht="15.75" x14ac:dyDescent="0.25">
      <c r="A105" s="27">
        <v>37834</v>
      </c>
      <c r="B105" s="18">
        <f>[7]monthly!$CH204</f>
        <v>108.3</v>
      </c>
      <c r="C105" s="42">
        <v>47.49024</v>
      </c>
      <c r="D105" s="43">
        <v>34.792830000000002</v>
      </c>
      <c r="E105" s="44">
        <v>68.459000174844206</v>
      </c>
      <c r="F105" s="45">
        <v>50.832799999999999</v>
      </c>
      <c r="G105" s="9">
        <f>[2]monthly!$D204</f>
        <v>31.573809523809516</v>
      </c>
    </row>
    <row r="106" spans="1:7" ht="15.75" x14ac:dyDescent="0.25">
      <c r="A106" s="27">
        <v>37865</v>
      </c>
      <c r="B106" s="18">
        <f>[7]monthly!$CH205</f>
        <v>103.2</v>
      </c>
      <c r="C106" s="42">
        <v>47.635210000000001</v>
      </c>
      <c r="D106" s="43">
        <v>34.909939999999999</v>
      </c>
      <c r="E106" s="44">
        <v>68.421682293552095</v>
      </c>
      <c r="F106" s="45">
        <v>50.91572</v>
      </c>
      <c r="G106" s="9">
        <f>[2]monthly!$D205</f>
        <v>28.311428571428575</v>
      </c>
    </row>
    <row r="107" spans="1:7" ht="15.75" x14ac:dyDescent="0.25">
      <c r="A107" s="27">
        <v>37895</v>
      </c>
      <c r="B107" s="18">
        <f>[7]monthly!$CH206</f>
        <v>106.2</v>
      </c>
      <c r="C107" s="42">
        <v>47.799149999999997</v>
      </c>
      <c r="D107" s="43">
        <v>35.184139999999999</v>
      </c>
      <c r="E107" s="44">
        <v>69.527531781795005</v>
      </c>
      <c r="F107" s="45">
        <v>53.683489999999999</v>
      </c>
      <c r="G107" s="9">
        <f>[2]monthly!$D206</f>
        <v>30.338260869565222</v>
      </c>
    </row>
    <row r="108" spans="1:7" ht="15.75" x14ac:dyDescent="0.25">
      <c r="A108" s="27">
        <v>37926</v>
      </c>
      <c r="B108" s="18">
        <f>[7]monthly!$CH207</f>
        <v>101.8</v>
      </c>
      <c r="C108" s="42">
        <v>47.816569999999999</v>
      </c>
      <c r="D108" s="43">
        <v>34.981819999999999</v>
      </c>
      <c r="E108" s="44">
        <v>68.116829603417401</v>
      </c>
      <c r="F108" s="45">
        <v>50.832410000000003</v>
      </c>
      <c r="G108" s="9">
        <f>[2]monthly!$D207</f>
        <v>31.108333333333334</v>
      </c>
    </row>
    <row r="109" spans="1:7" ht="15.75" x14ac:dyDescent="0.25">
      <c r="A109" s="27">
        <v>37956</v>
      </c>
      <c r="B109" s="18">
        <f>[7]monthly!$CH208</f>
        <v>102.9</v>
      </c>
      <c r="C109" s="42">
        <v>48.02122</v>
      </c>
      <c r="D109" s="43">
        <v>35.31776</v>
      </c>
      <c r="E109" s="44">
        <v>71.097912651054699</v>
      </c>
      <c r="F109" s="45">
        <v>52.164009999999998</v>
      </c>
      <c r="G109" s="9">
        <f>[2]monthly!$D208</f>
        <v>32.129047619047618</v>
      </c>
    </row>
    <row r="110" spans="1:7" ht="15.75" x14ac:dyDescent="0.25">
      <c r="A110" s="27">
        <v>37987</v>
      </c>
      <c r="B110" s="18">
        <f>[7]monthly!$CH209</f>
        <v>103.2</v>
      </c>
      <c r="C110" s="42">
        <v>47.899180000000001</v>
      </c>
      <c r="D110" s="43">
        <v>32.608739999999997</v>
      </c>
      <c r="E110" s="44">
        <v>70.550704956054702</v>
      </c>
      <c r="F110" s="45">
        <v>56.882240000000003</v>
      </c>
      <c r="G110" s="9">
        <f>[2]monthly!$D209</f>
        <v>34.31</v>
      </c>
    </row>
    <row r="111" spans="1:7" ht="15.75" x14ac:dyDescent="0.25">
      <c r="A111" s="27">
        <v>38018</v>
      </c>
      <c r="B111" s="18">
        <f>[7]monthly!$CH210</f>
        <v>107.2</v>
      </c>
      <c r="C111" s="42">
        <v>47.875549999999997</v>
      </c>
      <c r="D111" s="43">
        <v>32.608739999999997</v>
      </c>
      <c r="E111" s="44">
        <v>71.715423583984403</v>
      </c>
      <c r="F111" s="45">
        <v>56.110520000000001</v>
      </c>
      <c r="G111" s="9">
        <f>[2]monthly!$D210</f>
        <v>34.684736842105259</v>
      </c>
    </row>
    <row r="112" spans="1:7" ht="15.75" x14ac:dyDescent="0.25">
      <c r="A112" s="27">
        <v>38047</v>
      </c>
      <c r="B112" s="18">
        <f>[7]monthly!$CH211</f>
        <v>109.4</v>
      </c>
      <c r="C112" s="42">
        <v>47.940600000000003</v>
      </c>
      <c r="D112" s="43">
        <v>32.667020000000001</v>
      </c>
      <c r="E112" s="44">
        <v>72.701965332031193</v>
      </c>
      <c r="F112" s="45">
        <v>57.266640000000002</v>
      </c>
      <c r="G112" s="9">
        <f>[2]monthly!$D211</f>
        <v>36.741304347826073</v>
      </c>
    </row>
    <row r="113" spans="1:7" ht="15.75" x14ac:dyDescent="0.25">
      <c r="A113" s="27">
        <v>38078</v>
      </c>
      <c r="B113" s="18">
        <f>[7]monthly!$CH212</f>
        <v>115.2</v>
      </c>
      <c r="C113" s="42">
        <v>48.172179999999997</v>
      </c>
      <c r="D113" s="43">
        <v>33.187849999999997</v>
      </c>
      <c r="E113" s="44">
        <v>73.802688598632798</v>
      </c>
      <c r="F113" s="45">
        <v>56.345010000000002</v>
      </c>
      <c r="G113" s="9">
        <f>[2]monthly!$D212</f>
        <v>36.75</v>
      </c>
    </row>
    <row r="114" spans="1:7" ht="15.75" x14ac:dyDescent="0.25">
      <c r="A114" s="27">
        <v>38108</v>
      </c>
      <c r="B114" s="18">
        <f>[7]monthly!$CH213</f>
        <v>116.1</v>
      </c>
      <c r="C114" s="42">
        <v>48.346170000000001</v>
      </c>
      <c r="D114" s="43">
        <v>33.187849999999997</v>
      </c>
      <c r="E114" s="44">
        <v>73.052963256835895</v>
      </c>
      <c r="F114" s="45">
        <v>56.356810000000003</v>
      </c>
      <c r="G114" s="9">
        <f>[2]monthly!$D213</f>
        <v>40.274999999999999</v>
      </c>
    </row>
    <row r="115" spans="1:7" ht="15.75" x14ac:dyDescent="0.25">
      <c r="A115" s="27">
        <v>38139</v>
      </c>
      <c r="B115" s="18">
        <f>[7]monthly!$CH214</f>
        <v>115.1</v>
      </c>
      <c r="C115" s="42">
        <v>48.424329999999998</v>
      </c>
      <c r="D115" s="43">
        <v>33.937559999999998</v>
      </c>
      <c r="E115" s="44">
        <v>74.6876220703125</v>
      </c>
      <c r="F115" s="45">
        <v>57.368090000000002</v>
      </c>
      <c r="G115" s="9">
        <f>[2]monthly!$D214</f>
        <v>38.025238095238088</v>
      </c>
    </row>
    <row r="116" spans="1:7" ht="15.75" x14ac:dyDescent="0.25">
      <c r="A116" s="27">
        <v>38169</v>
      </c>
      <c r="B116" s="18">
        <f>[7]monthly!$CH215</f>
        <v>117.9</v>
      </c>
      <c r="C116" s="42">
        <v>48.337760000000003</v>
      </c>
      <c r="D116" s="43">
        <v>34.515729999999998</v>
      </c>
      <c r="E116" s="44">
        <v>74.903633117675795</v>
      </c>
      <c r="F116" s="45">
        <v>56.51735</v>
      </c>
      <c r="G116" s="9">
        <f>[2]monthly!$D215</f>
        <v>40.778095238095254</v>
      </c>
    </row>
    <row r="117" spans="1:7" ht="15.75" x14ac:dyDescent="0.25">
      <c r="A117" s="27">
        <v>38200</v>
      </c>
      <c r="B117" s="18">
        <f>[7]monthly!$CH216</f>
        <v>114.3</v>
      </c>
      <c r="C117" s="42">
        <v>48.627229999999997</v>
      </c>
      <c r="D117" s="43">
        <v>34.95026</v>
      </c>
      <c r="E117" s="44">
        <v>75.010330200195298</v>
      </c>
      <c r="F117" s="45">
        <v>57.717680000000001</v>
      </c>
      <c r="G117" s="9">
        <f>[2]monthly!$D216</f>
        <v>44.903181818181821</v>
      </c>
    </row>
    <row r="118" spans="1:7" ht="15.75" x14ac:dyDescent="0.25">
      <c r="A118" s="27">
        <v>38231</v>
      </c>
      <c r="B118" s="18">
        <f>[7]monthly!$CH217</f>
        <v>116.8</v>
      </c>
      <c r="C118" s="42">
        <v>49.00367</v>
      </c>
      <c r="D118" s="43">
        <v>34.833469999999998</v>
      </c>
      <c r="E118" s="44">
        <v>76.31689453125</v>
      </c>
      <c r="F118" s="45">
        <v>57.330509999999997</v>
      </c>
      <c r="G118" s="9">
        <f>[2]monthly!$D217</f>
        <v>45.93571428571429</v>
      </c>
    </row>
    <row r="119" spans="1:7" ht="15.75" x14ac:dyDescent="0.25">
      <c r="A119" s="27">
        <v>38261</v>
      </c>
      <c r="B119" s="18">
        <f>[7]monthly!$CH218</f>
        <v>116.5</v>
      </c>
      <c r="C119" s="42">
        <v>49.480150000000002</v>
      </c>
      <c r="D119" s="43">
        <v>34.570129999999999</v>
      </c>
      <c r="E119" s="44">
        <v>75.354171752929702</v>
      </c>
      <c r="F119" s="45">
        <v>60.226210000000002</v>
      </c>
      <c r="G119" s="9">
        <f>[2]monthly!$D218</f>
        <v>53.280476190476186</v>
      </c>
    </row>
    <row r="120" spans="1:7" ht="15.75" x14ac:dyDescent="0.25">
      <c r="A120" s="27">
        <v>38292</v>
      </c>
      <c r="B120" s="18">
        <f>[7]monthly!$CH219</f>
        <v>114.6</v>
      </c>
      <c r="C120" s="42">
        <v>49.789360000000002</v>
      </c>
      <c r="D120" s="43">
        <v>34.71557</v>
      </c>
      <c r="E120" s="44">
        <v>75.598167419433594</v>
      </c>
      <c r="F120" s="45">
        <v>58.062950000000001</v>
      </c>
      <c r="G120" s="9">
        <f>[2]monthly!$D219</f>
        <v>48.469000000000001</v>
      </c>
    </row>
    <row r="121" spans="1:7" ht="15.75" x14ac:dyDescent="0.25">
      <c r="A121" s="27">
        <v>38322</v>
      </c>
      <c r="B121" s="18">
        <f>[7]monthly!$CH220</f>
        <v>116.9</v>
      </c>
      <c r="C121" s="42">
        <v>49.99203</v>
      </c>
      <c r="D121" s="43">
        <v>35.265009999999997</v>
      </c>
      <c r="E121" s="44">
        <v>77.875511169433594</v>
      </c>
      <c r="F121" s="45">
        <v>56.857100000000003</v>
      </c>
      <c r="G121" s="9">
        <f>[2]monthly!$D220</f>
        <v>43.149523809523807</v>
      </c>
    </row>
    <row r="122" spans="1:7" ht="15.75" x14ac:dyDescent="0.25">
      <c r="A122" s="27">
        <v>38353</v>
      </c>
      <c r="B122" s="18">
        <f>[7]monthly!$CH221</f>
        <v>118.6</v>
      </c>
      <c r="C122" s="42">
        <v>50.034239999999997</v>
      </c>
      <c r="D122" s="43">
        <v>36.100239999999999</v>
      </c>
      <c r="E122" s="44">
        <v>75.868850708007798</v>
      </c>
      <c r="F122" s="45">
        <v>59.818480000000001</v>
      </c>
      <c r="G122" s="9">
        <f>[2]monthly!$D221</f>
        <v>46.836999999999982</v>
      </c>
    </row>
    <row r="123" spans="1:7" ht="15.75" x14ac:dyDescent="0.25">
      <c r="A123" s="27">
        <v>38384</v>
      </c>
      <c r="B123" s="18">
        <f>[7]monthly!$CH222</f>
        <v>122</v>
      </c>
      <c r="C123" s="42">
        <v>49.934080000000002</v>
      </c>
      <c r="D123" s="43">
        <v>35.866390000000003</v>
      </c>
      <c r="E123" s="44">
        <v>77.467514038085895</v>
      </c>
      <c r="F123" s="45">
        <v>59.642890000000001</v>
      </c>
      <c r="G123" s="9">
        <f>[2]monthly!$D222</f>
        <v>48.148947368421055</v>
      </c>
    </row>
    <row r="124" spans="1:7" ht="15.75" x14ac:dyDescent="0.25">
      <c r="A124" s="27">
        <v>38412</v>
      </c>
      <c r="B124" s="18">
        <f>[7]monthly!$CH223</f>
        <v>122.2</v>
      </c>
      <c r="C124" s="42">
        <v>50.08426</v>
      </c>
      <c r="D124" s="43">
        <v>36.956809999999997</v>
      </c>
      <c r="E124" s="44">
        <v>76.798187255859403</v>
      </c>
      <c r="F124" s="45">
        <v>58.927489999999999</v>
      </c>
      <c r="G124" s="9">
        <f>[2]monthly!$D223</f>
        <v>54.186818181818175</v>
      </c>
    </row>
    <row r="125" spans="1:7" ht="15.75" x14ac:dyDescent="0.25">
      <c r="A125" s="27">
        <v>38443</v>
      </c>
      <c r="B125" s="18">
        <f>[7]monthly!$CH224</f>
        <v>121.9</v>
      </c>
      <c r="C125" s="42">
        <v>50.30921</v>
      </c>
      <c r="D125" s="43">
        <v>36.54683</v>
      </c>
      <c r="E125" s="44">
        <v>77.603019714355497</v>
      </c>
      <c r="F125" s="45">
        <v>60.435510000000001</v>
      </c>
      <c r="G125" s="9">
        <f>[2]monthly!$D224</f>
        <v>52.979047619047627</v>
      </c>
    </row>
    <row r="126" spans="1:7" ht="15.75" x14ac:dyDescent="0.25">
      <c r="A126" s="27">
        <v>38473</v>
      </c>
      <c r="B126" s="18">
        <f>[7]monthly!$CH225</f>
        <v>122.3</v>
      </c>
      <c r="C126" s="42">
        <v>50.593139999999998</v>
      </c>
      <c r="D126" s="43">
        <v>37.353250000000003</v>
      </c>
      <c r="E126" s="44">
        <v>79.274337768554702</v>
      </c>
      <c r="F126" s="45">
        <v>60.061959999999999</v>
      </c>
      <c r="G126" s="9">
        <f>[2]monthly!$D225</f>
        <v>49.833809523809521</v>
      </c>
    </row>
    <row r="127" spans="1:7" ht="15.75" x14ac:dyDescent="0.25">
      <c r="A127" s="27">
        <v>38504</v>
      </c>
      <c r="B127" s="18">
        <f>[7]monthly!$CH226</f>
        <v>118.6</v>
      </c>
      <c r="C127" s="42">
        <v>50.484459999999999</v>
      </c>
      <c r="D127" s="43">
        <v>37.236609999999999</v>
      </c>
      <c r="E127" s="44">
        <v>78.733200073242202</v>
      </c>
      <c r="F127" s="45">
        <v>59.633360000000003</v>
      </c>
      <c r="G127" s="9">
        <f>[2]monthly!$D226</f>
        <v>56.352272727272727</v>
      </c>
    </row>
    <row r="128" spans="1:7" ht="15.75" x14ac:dyDescent="0.25">
      <c r="A128" s="27">
        <v>38534</v>
      </c>
      <c r="B128" s="18">
        <f>[7]monthly!$CH227</f>
        <v>120.4</v>
      </c>
      <c r="C128" s="42">
        <v>50.374780000000001</v>
      </c>
      <c r="D128" s="43">
        <v>37.265709999999999</v>
      </c>
      <c r="E128" s="44">
        <v>82.041015625</v>
      </c>
      <c r="F128" s="45">
        <v>59.742510000000003</v>
      </c>
      <c r="G128" s="9">
        <f>[2]monthly!$D227</f>
        <v>58.995500000000007</v>
      </c>
    </row>
    <row r="129" spans="1:7" ht="15.75" x14ac:dyDescent="0.25">
      <c r="A129" s="27">
        <v>38565</v>
      </c>
      <c r="B129" s="18">
        <f>[7]monthly!$CH228</f>
        <v>121.2</v>
      </c>
      <c r="C129" s="42">
        <v>50.23104</v>
      </c>
      <c r="D129" s="43">
        <v>37.468960000000003</v>
      </c>
      <c r="E129" s="44">
        <v>80.965225219726605</v>
      </c>
      <c r="F129" s="45">
        <v>59.983710000000002</v>
      </c>
      <c r="G129" s="9">
        <f>[2]monthly!$D228</f>
        <v>64.985217391304346</v>
      </c>
    </row>
    <row r="130" spans="1:7" ht="15.75" x14ac:dyDescent="0.25">
      <c r="A130" s="27">
        <v>38596</v>
      </c>
      <c r="B130" s="18">
        <f>[7]monthly!$CH229</f>
        <v>118.4</v>
      </c>
      <c r="C130" s="42">
        <v>50.449480000000001</v>
      </c>
      <c r="D130" s="43">
        <v>36.911679999999997</v>
      </c>
      <c r="E130" s="44">
        <v>79.813751220703097</v>
      </c>
      <c r="F130" s="45">
        <v>60.351590000000002</v>
      </c>
      <c r="G130" s="9">
        <f>[2]monthly!$D229</f>
        <v>65.586666666666673</v>
      </c>
    </row>
    <row r="131" spans="1:7" ht="15.75" x14ac:dyDescent="0.25">
      <c r="A131" s="27">
        <v>38626</v>
      </c>
      <c r="B131" s="18">
        <f>[7]monthly!$CH230</f>
        <v>123.7</v>
      </c>
      <c r="C131" s="42">
        <v>51.139400000000002</v>
      </c>
      <c r="D131" s="43">
        <v>38.534739999999999</v>
      </c>
      <c r="E131" s="44">
        <v>82.377212524414105</v>
      </c>
      <c r="F131" s="45">
        <v>60.420479999999998</v>
      </c>
      <c r="G131" s="9">
        <f>[2]monthly!$D230</f>
        <v>62.259999999999977</v>
      </c>
    </row>
    <row r="132" spans="1:7" ht="15.75" x14ac:dyDescent="0.25">
      <c r="A132" s="27">
        <v>38657</v>
      </c>
      <c r="B132" s="18">
        <f>[7]monthly!$CH231</f>
        <v>124.3</v>
      </c>
      <c r="C132" s="42">
        <v>51.736109999999996</v>
      </c>
      <c r="D132" s="43">
        <v>38.389049999999997</v>
      </c>
      <c r="E132" s="44">
        <v>81.872253417968807</v>
      </c>
      <c r="F132" s="45">
        <v>61.767960000000002</v>
      </c>
      <c r="G132" s="9">
        <f>[2]monthly!$D231</f>
        <v>58.322499999999991</v>
      </c>
    </row>
    <row r="133" spans="1:7" ht="15.75" x14ac:dyDescent="0.25">
      <c r="A133" s="27">
        <v>38687</v>
      </c>
      <c r="B133" s="18">
        <f>[7]monthly!$CH232</f>
        <v>118.2</v>
      </c>
      <c r="C133" s="42">
        <v>52.302190000000003</v>
      </c>
      <c r="D133" s="43">
        <v>38.851579999999998</v>
      </c>
      <c r="E133" s="44">
        <v>84.347686767578097</v>
      </c>
      <c r="F133" s="45">
        <v>61.5364</v>
      </c>
      <c r="G133" s="9">
        <f>[2]monthly!$D232</f>
        <v>59.411904761904758</v>
      </c>
    </row>
    <row r="134" spans="1:7" ht="15.75" x14ac:dyDescent="0.25">
      <c r="A134" s="27">
        <v>38718</v>
      </c>
      <c r="B134" s="18">
        <f>[7]monthly!$CH233</f>
        <v>121.3</v>
      </c>
      <c r="C134" s="42">
        <v>52.625729999999997</v>
      </c>
      <c r="D134" s="43">
        <v>38.471679999999999</v>
      </c>
      <c r="E134" s="44">
        <v>85.148704528808594</v>
      </c>
      <c r="F134" s="45">
        <v>61.373860000000001</v>
      </c>
      <c r="G134" s="9">
        <f>[2]monthly!$D233</f>
        <v>65.484999999999985</v>
      </c>
    </row>
    <row r="135" spans="1:7" ht="15.75" x14ac:dyDescent="0.25">
      <c r="A135" s="27">
        <v>38749</v>
      </c>
      <c r="B135" s="18">
        <f>[7]monthly!$CH234</f>
        <v>123.8</v>
      </c>
      <c r="C135" s="42">
        <v>52.860340000000001</v>
      </c>
      <c r="D135" s="43">
        <v>39.476219999999998</v>
      </c>
      <c r="E135" s="44">
        <v>84.331375122070298</v>
      </c>
      <c r="F135" s="45">
        <v>62.581620000000001</v>
      </c>
      <c r="G135" s="9">
        <f>[2]monthly!$D234</f>
        <v>61.631052631578939</v>
      </c>
    </row>
    <row r="136" spans="1:7" ht="15.75" x14ac:dyDescent="0.25">
      <c r="A136" s="27">
        <v>38777</v>
      </c>
      <c r="B136" s="18">
        <f>[7]monthly!$CH235</f>
        <v>124.5</v>
      </c>
      <c r="C136" s="42">
        <v>53.094909999999999</v>
      </c>
      <c r="D136" s="43">
        <v>39.708089999999999</v>
      </c>
      <c r="E136" s="44">
        <v>85.358589172363295</v>
      </c>
      <c r="F136" s="45">
        <v>62.101930000000003</v>
      </c>
      <c r="G136" s="9">
        <f>[2]monthly!$D235</f>
        <v>62.685217391304356</v>
      </c>
    </row>
    <row r="137" spans="1:7" ht="15.75" x14ac:dyDescent="0.25">
      <c r="A137" s="27">
        <v>38808</v>
      </c>
      <c r="B137" s="18">
        <f>[7]monthly!$CH236</f>
        <v>127.5</v>
      </c>
      <c r="C137" s="42">
        <v>53.411119999999997</v>
      </c>
      <c r="D137" s="43">
        <v>40.342509999999997</v>
      </c>
      <c r="E137" s="44">
        <v>85.438362121582003</v>
      </c>
      <c r="F137" s="45">
        <v>62.040649999999999</v>
      </c>
      <c r="G137" s="9">
        <f>[2]monthly!$D236</f>
        <v>69.443684210526314</v>
      </c>
    </row>
    <row r="138" spans="1:7" ht="15.75" x14ac:dyDescent="0.25">
      <c r="A138" s="27">
        <v>38838</v>
      </c>
      <c r="B138" s="18">
        <f>[7]monthly!$CH237</f>
        <v>127.2</v>
      </c>
      <c r="C138" s="42">
        <v>53.640779999999999</v>
      </c>
      <c r="D138" s="43">
        <v>39.845359999999999</v>
      </c>
      <c r="E138" s="44">
        <v>84.969741821289105</v>
      </c>
      <c r="F138" s="45">
        <v>63.469459999999998</v>
      </c>
      <c r="G138" s="9">
        <f>[2]monthly!$D237</f>
        <v>70.844090909090909</v>
      </c>
    </row>
    <row r="139" spans="1:7" ht="15.75" x14ac:dyDescent="0.25">
      <c r="A139" s="27">
        <v>38869</v>
      </c>
      <c r="B139" s="18">
        <f>[7]monthly!$CH238</f>
        <v>127.9</v>
      </c>
      <c r="C139" s="42">
        <v>53.727960000000003</v>
      </c>
      <c r="D139" s="43">
        <v>40.650919999999999</v>
      </c>
      <c r="E139" s="44">
        <v>85.926963806152301</v>
      </c>
      <c r="F139" s="45">
        <v>65.002809999999997</v>
      </c>
      <c r="G139" s="9">
        <f>[2]monthly!$D238</f>
        <v>70.950909090909107</v>
      </c>
    </row>
    <row r="140" spans="1:7" ht="15.75" x14ac:dyDescent="0.25">
      <c r="A140" s="27">
        <v>38899</v>
      </c>
      <c r="B140" s="18">
        <f>[7]monthly!$CH239</f>
        <v>129</v>
      </c>
      <c r="C140" s="42">
        <v>53.466589999999997</v>
      </c>
      <c r="D140" s="43">
        <v>39.351869999999998</v>
      </c>
      <c r="E140" s="44">
        <v>84.596466064453097</v>
      </c>
      <c r="F140" s="45">
        <v>63.966999999999999</v>
      </c>
      <c r="G140" s="9">
        <f>[2]monthly!$D239</f>
        <v>74.41105263157894</v>
      </c>
    </row>
    <row r="141" spans="1:7" ht="15.75" x14ac:dyDescent="0.25">
      <c r="A141" s="27">
        <v>38930</v>
      </c>
      <c r="B141" s="18">
        <f>[7]monthly!$CH240</f>
        <v>130.1</v>
      </c>
      <c r="C141" s="42">
        <v>53.69491</v>
      </c>
      <c r="D141" s="43">
        <v>40.805819999999997</v>
      </c>
      <c r="E141" s="44">
        <v>86.848564147949205</v>
      </c>
      <c r="F141" s="45">
        <v>65.765439999999998</v>
      </c>
      <c r="G141" s="9">
        <f>[2]monthly!$D240</f>
        <v>73.043043478260884</v>
      </c>
    </row>
    <row r="142" spans="1:7" ht="15.75" x14ac:dyDescent="0.25">
      <c r="A142" s="27">
        <v>38961</v>
      </c>
      <c r="B142" s="18">
        <f>[7]monthly!$CH241</f>
        <v>126</v>
      </c>
      <c r="C142" s="42">
        <v>54.047780000000003</v>
      </c>
      <c r="D142" s="43">
        <v>42.287750000000003</v>
      </c>
      <c r="E142" s="44">
        <v>88.898696899414105</v>
      </c>
      <c r="F142" s="45">
        <v>66.101489999999998</v>
      </c>
      <c r="G142" s="9">
        <f>[2]monthly!$D241</f>
        <v>63.798000000000016</v>
      </c>
    </row>
    <row r="143" spans="1:7" ht="15.75" x14ac:dyDescent="0.25">
      <c r="A143" s="27">
        <v>38991</v>
      </c>
      <c r="B143" s="18">
        <f>[7]monthly!$CH242</f>
        <v>130.19999999999999</v>
      </c>
      <c r="C143" s="42">
        <v>54.324930000000002</v>
      </c>
      <c r="D143" s="43">
        <v>41.821120000000001</v>
      </c>
      <c r="E143" s="44">
        <v>88.602554321289105</v>
      </c>
      <c r="F143" s="45">
        <v>66.84948</v>
      </c>
      <c r="G143" s="9">
        <f>[2]monthly!$D242</f>
        <v>58.893181818181809</v>
      </c>
    </row>
    <row r="144" spans="1:7" ht="15.75" x14ac:dyDescent="0.25">
      <c r="A144" s="27">
        <v>39022</v>
      </c>
      <c r="B144" s="18">
        <f>[7]monthly!$CH243</f>
        <v>127.6</v>
      </c>
      <c r="C144" s="42">
        <v>54.606439999999999</v>
      </c>
      <c r="D144" s="43">
        <v>42.425780000000003</v>
      </c>
      <c r="E144" s="44">
        <v>89.805366516113295</v>
      </c>
      <c r="F144" s="45">
        <v>68.882670000000005</v>
      </c>
      <c r="G144" s="9">
        <f>[2]monthly!$D243</f>
        <v>59.082499999999996</v>
      </c>
    </row>
    <row r="145" spans="1:7" ht="15.75" x14ac:dyDescent="0.25">
      <c r="A145" s="27">
        <v>39052</v>
      </c>
      <c r="B145" s="18">
        <f>[7]monthly!$CH244</f>
        <v>128.30000000000001</v>
      </c>
      <c r="C145" s="42">
        <v>54.842700000000001</v>
      </c>
      <c r="D145" s="43">
        <v>42.801099999999998</v>
      </c>
      <c r="E145" s="44">
        <v>89.412658691406193</v>
      </c>
      <c r="F145" s="45">
        <v>67.736429999999999</v>
      </c>
      <c r="G145" s="9">
        <f>[2]monthly!$D244</f>
        <v>61.958999999999989</v>
      </c>
    </row>
    <row r="146" spans="1:7" ht="15.75" x14ac:dyDescent="0.25">
      <c r="A146" s="27">
        <v>39083</v>
      </c>
      <c r="B146" s="18">
        <f>[7]monthly!$CH245</f>
        <v>128.19999999999999</v>
      </c>
      <c r="C146" s="42">
        <v>55.162939999999999</v>
      </c>
      <c r="D146" s="43">
        <v>43.118899999999996</v>
      </c>
      <c r="E146" s="44">
        <v>90.793594360351605</v>
      </c>
      <c r="F146" s="45">
        <v>67.327179999999998</v>
      </c>
      <c r="G146" s="9">
        <f>[2]monthly!$D245</f>
        <v>54.506190476190483</v>
      </c>
    </row>
    <row r="147" spans="1:7" ht="15.75" x14ac:dyDescent="0.25">
      <c r="A147" s="27">
        <v>39114</v>
      </c>
      <c r="B147" s="18">
        <f>[7]monthly!$CH246</f>
        <v>132.69999999999999</v>
      </c>
      <c r="C147" s="42">
        <v>55.490580000000001</v>
      </c>
      <c r="D147" s="43">
        <v>43.723579999999998</v>
      </c>
      <c r="E147" s="44">
        <v>94.496597290039105</v>
      </c>
      <c r="F147" s="45">
        <v>67.706999999999994</v>
      </c>
      <c r="G147" s="9">
        <f>[2]monthly!$D246</f>
        <v>59.278947368421051</v>
      </c>
    </row>
    <row r="148" spans="1:7" ht="15.75" x14ac:dyDescent="0.25">
      <c r="A148" s="27">
        <v>39142</v>
      </c>
      <c r="B148" s="18">
        <f>[7]monthly!$CH247</f>
        <v>136.4</v>
      </c>
      <c r="C148" s="42">
        <v>55.782319999999999</v>
      </c>
      <c r="D148" s="43">
        <v>43.926070000000003</v>
      </c>
      <c r="E148" s="44">
        <v>91.892463684082003</v>
      </c>
      <c r="F148" s="45">
        <v>69.118520000000004</v>
      </c>
      <c r="G148" s="9">
        <f>[2]monthly!$D247</f>
        <v>60.441818181818185</v>
      </c>
    </row>
    <row r="149" spans="1:7" ht="15.75" x14ac:dyDescent="0.25">
      <c r="A149" s="27">
        <v>39173</v>
      </c>
      <c r="B149" s="18">
        <f>[7]monthly!$CH248</f>
        <v>131.1</v>
      </c>
      <c r="C149" s="42">
        <v>55.971060000000001</v>
      </c>
      <c r="D149" s="43">
        <v>43.926070000000003</v>
      </c>
      <c r="E149" s="44">
        <v>91.490943908691406</v>
      </c>
      <c r="F149" s="45">
        <v>68.009780000000006</v>
      </c>
      <c r="G149" s="9">
        <f>[2]monthly!$D248</f>
        <v>63.976999999999997</v>
      </c>
    </row>
    <row r="150" spans="1:7" ht="15.75" x14ac:dyDescent="0.25">
      <c r="A150" s="27">
        <v>39203</v>
      </c>
      <c r="B150" s="18">
        <f>[7]monthly!$CH249</f>
        <v>132.19999999999999</v>
      </c>
      <c r="C150" s="42">
        <v>56.408000000000001</v>
      </c>
      <c r="D150" s="43">
        <v>44.985959999999999</v>
      </c>
      <c r="E150" s="44">
        <v>92.797767639160199</v>
      </c>
      <c r="F150" s="45">
        <v>69.617230000000006</v>
      </c>
      <c r="G150" s="9">
        <f>[2]monthly!$D249</f>
        <v>63.454545454545453</v>
      </c>
    </row>
    <row r="151" spans="1:7" ht="15.75" x14ac:dyDescent="0.25">
      <c r="A151" s="27">
        <v>39234</v>
      </c>
      <c r="B151" s="18">
        <f>[7]monthly!$CH250</f>
        <v>137.19999999999999</v>
      </c>
      <c r="C151" s="42">
        <v>56.455649999999999</v>
      </c>
      <c r="D151" s="43">
        <v>44.048720000000003</v>
      </c>
      <c r="E151" s="44">
        <v>92.909523010253906</v>
      </c>
      <c r="F151" s="45">
        <v>67.711960000000005</v>
      </c>
      <c r="G151" s="9">
        <f>[2]monthly!$D250</f>
        <v>67.489047619047611</v>
      </c>
    </row>
    <row r="152" spans="1:7" ht="15.75" x14ac:dyDescent="0.25">
      <c r="A152" s="27">
        <v>39264</v>
      </c>
      <c r="B152" s="18">
        <f>[7]monthly!$CH251</f>
        <v>133.80000000000001</v>
      </c>
      <c r="C152" s="42">
        <v>56.813899999999997</v>
      </c>
      <c r="D152" s="43">
        <v>44.452570000000001</v>
      </c>
      <c r="E152" s="44">
        <v>94.279472351074205</v>
      </c>
      <c r="F152" s="45">
        <v>69.488659999999996</v>
      </c>
      <c r="G152" s="9">
        <f>[2]monthly!$D251</f>
        <v>74.117619047619044</v>
      </c>
    </row>
    <row r="153" spans="1:7" ht="15.75" x14ac:dyDescent="0.25">
      <c r="A153" s="27">
        <v>39295</v>
      </c>
      <c r="B153" s="18">
        <f>[7]monthly!$CH252</f>
        <v>132.4</v>
      </c>
      <c r="C153" s="42">
        <v>56.933810000000001</v>
      </c>
      <c r="D153" s="43">
        <v>45.990490000000001</v>
      </c>
      <c r="E153" s="44">
        <v>94.604820251464801</v>
      </c>
      <c r="F153" s="45">
        <v>68.884410000000003</v>
      </c>
      <c r="G153" s="9">
        <f>[2]monthly!$D252</f>
        <v>72.356086956521736</v>
      </c>
    </row>
    <row r="154" spans="1:7" ht="15.75" x14ac:dyDescent="0.25">
      <c r="A154" s="27">
        <v>39326</v>
      </c>
      <c r="B154" s="18">
        <f>[7]monthly!$CH253</f>
        <v>139.19999999999999</v>
      </c>
      <c r="C154" s="42">
        <v>56.994500000000002</v>
      </c>
      <c r="D154" s="43">
        <v>45.08381</v>
      </c>
      <c r="E154" s="44">
        <v>92.384071350097699</v>
      </c>
      <c r="F154" s="45">
        <v>70.747510000000005</v>
      </c>
      <c r="G154" s="9">
        <f>[2]monthly!$D253</f>
        <v>79.914736842105242</v>
      </c>
    </row>
    <row r="155" spans="1:7" ht="15.75" x14ac:dyDescent="0.25">
      <c r="A155" s="27">
        <v>39356</v>
      </c>
      <c r="B155" s="18">
        <f>[7]monthly!$CH254</f>
        <v>129.69999999999999</v>
      </c>
      <c r="C155" s="42">
        <v>57.241630000000001</v>
      </c>
      <c r="D155" s="43">
        <v>45.08381</v>
      </c>
      <c r="E155" s="44">
        <v>93.919845581054702</v>
      </c>
      <c r="F155" s="45">
        <v>70.354209999999995</v>
      </c>
      <c r="G155" s="9">
        <f>[2]monthly!$D254</f>
        <v>85.798695652173905</v>
      </c>
    </row>
    <row r="156" spans="1:7" ht="15.75" x14ac:dyDescent="0.25">
      <c r="A156" s="27">
        <v>39387</v>
      </c>
      <c r="B156" s="18">
        <f>[7]monthly!$CH255</f>
        <v>129.5</v>
      </c>
      <c r="C156" s="42">
        <v>57.632959999999997</v>
      </c>
      <c r="D156" s="43">
        <v>46.396470000000001</v>
      </c>
      <c r="E156" s="44">
        <v>95.985076904296903</v>
      </c>
      <c r="F156" s="45">
        <v>71.337159999999997</v>
      </c>
      <c r="G156" s="9">
        <f>[2]monthly!$D255</f>
        <v>94.772380952380956</v>
      </c>
    </row>
    <row r="157" spans="1:7" ht="15.75" x14ac:dyDescent="0.25">
      <c r="A157" s="27">
        <v>39417</v>
      </c>
      <c r="B157" s="18">
        <f>[7]monthly!$CH256</f>
        <v>127</v>
      </c>
      <c r="C157" s="42">
        <v>57.929470000000002</v>
      </c>
      <c r="D157" s="43">
        <v>46.540959999999998</v>
      </c>
      <c r="E157" s="44">
        <v>97.121665954589801</v>
      </c>
      <c r="F157" s="45">
        <v>71.500309999999999</v>
      </c>
      <c r="G157" s="9">
        <f>[2]monthly!$D256</f>
        <v>91.687000000000012</v>
      </c>
    </row>
    <row r="158" spans="1:7" ht="15.75" x14ac:dyDescent="0.25">
      <c r="A158" s="27">
        <v>39448</v>
      </c>
      <c r="B158" s="18">
        <f>[7]monthly!$CH257</f>
        <v>132.4</v>
      </c>
      <c r="C158" s="42">
        <v>58.162239999999997</v>
      </c>
      <c r="D158" s="43">
        <v>46.221490000000003</v>
      </c>
      <c r="E158" s="44">
        <v>95.630844116210895</v>
      </c>
      <c r="F158" s="45">
        <v>73.364429999999999</v>
      </c>
      <c r="G158" s="9">
        <f>[2]monthly!$D257</f>
        <v>92.970476190476205</v>
      </c>
    </row>
    <row r="159" spans="1:7" ht="15.75" x14ac:dyDescent="0.25">
      <c r="A159" s="27">
        <v>39479</v>
      </c>
      <c r="B159" s="18">
        <f>[7]monthly!$CH258</f>
        <v>133.4</v>
      </c>
      <c r="C159" s="42">
        <v>58.335970000000003</v>
      </c>
      <c r="D159" s="43">
        <v>46.939450000000001</v>
      </c>
      <c r="E159" s="44">
        <v>95.077301025390597</v>
      </c>
      <c r="F159" s="45">
        <v>73.224919999999997</v>
      </c>
      <c r="G159" s="9">
        <f>[2]monthly!$D258</f>
        <v>95.385999999999981</v>
      </c>
    </row>
    <row r="160" spans="1:7" ht="15.75" x14ac:dyDescent="0.25">
      <c r="A160" s="27">
        <v>39508</v>
      </c>
      <c r="B160" s="18">
        <f>[7]monthly!$CH259</f>
        <v>127.7</v>
      </c>
      <c r="C160" s="42">
        <v>58.620139999999999</v>
      </c>
      <c r="D160" s="43">
        <v>46.794530000000002</v>
      </c>
      <c r="E160" s="44">
        <v>96.791549682617202</v>
      </c>
      <c r="F160" s="45">
        <v>76.081909999999993</v>
      </c>
      <c r="G160" s="9">
        <f>[2]monthly!$D259</f>
        <v>105.45399999999999</v>
      </c>
    </row>
    <row r="161" spans="1:7" ht="15.75" x14ac:dyDescent="0.25">
      <c r="A161" s="27">
        <v>39539</v>
      </c>
      <c r="B161" s="18">
        <f>[7]monthly!$CH260</f>
        <v>123.2</v>
      </c>
      <c r="C161" s="42">
        <v>58.768389999999997</v>
      </c>
      <c r="D161" s="43">
        <v>46.794530000000002</v>
      </c>
      <c r="E161" s="44">
        <v>96.026359558105497</v>
      </c>
      <c r="F161" s="45">
        <v>75.708110000000005</v>
      </c>
      <c r="G161" s="9">
        <f>[2]monthly!$D260</f>
        <v>112.58045454545453</v>
      </c>
    </row>
    <row r="162" spans="1:7" ht="15.75" x14ac:dyDescent="0.25">
      <c r="A162" s="27">
        <v>39569</v>
      </c>
      <c r="B162" s="18">
        <f>[7]monthly!$CH261</f>
        <v>127.6</v>
      </c>
      <c r="C162" s="42">
        <v>58.573630000000001</v>
      </c>
      <c r="D162" s="43">
        <v>44.814300000000003</v>
      </c>
      <c r="E162" s="44">
        <v>91.529586791992202</v>
      </c>
      <c r="F162" s="45">
        <v>72.656030000000001</v>
      </c>
      <c r="G162" s="9">
        <f>[2]monthly!$D261</f>
        <v>125.39761904761905</v>
      </c>
    </row>
    <row r="163" spans="1:7" ht="15.75" x14ac:dyDescent="0.25">
      <c r="A163" s="27">
        <v>39600</v>
      </c>
      <c r="B163" s="18">
        <f>[7]monthly!$CH262</f>
        <v>128.19999999999999</v>
      </c>
      <c r="C163" s="42">
        <v>58.838360000000002</v>
      </c>
      <c r="D163" s="43">
        <v>47.398290000000003</v>
      </c>
      <c r="E163" s="44">
        <v>93.362739562988295</v>
      </c>
      <c r="F163" s="45">
        <v>75.670670000000001</v>
      </c>
      <c r="G163" s="9">
        <f>[2]monthly!$D262</f>
        <v>133.88</v>
      </c>
    </row>
    <row r="164" spans="1:7" ht="15.75" x14ac:dyDescent="0.25">
      <c r="A164" s="27">
        <v>39630</v>
      </c>
      <c r="B164" s="18">
        <f>[7]monthly!$CH263</f>
        <v>124.3</v>
      </c>
      <c r="C164" s="42">
        <v>59.097230000000003</v>
      </c>
      <c r="D164" s="43">
        <v>49.127209999999998</v>
      </c>
      <c r="E164" s="44">
        <v>97.319198608398395</v>
      </c>
      <c r="F164" s="45">
        <v>75.205399999999997</v>
      </c>
      <c r="G164" s="9">
        <f>[2]monthly!$D263</f>
        <v>133.37090909090909</v>
      </c>
    </row>
    <row r="165" spans="1:7" ht="15.75" x14ac:dyDescent="0.25">
      <c r="A165" s="27">
        <v>39661</v>
      </c>
      <c r="B165" s="18">
        <f>[7]monthly!$CH264</f>
        <v>127.8</v>
      </c>
      <c r="C165" s="42">
        <v>58.837739999999997</v>
      </c>
      <c r="D165" s="43">
        <v>47.335230000000003</v>
      </c>
      <c r="E165" s="44">
        <v>91.890403747558594</v>
      </c>
      <c r="F165" s="45">
        <v>75.867689999999996</v>
      </c>
      <c r="G165" s="9">
        <f>[2]monthly!$D264</f>
        <v>116.66619047619049</v>
      </c>
    </row>
    <row r="166" spans="1:7" ht="15.75" x14ac:dyDescent="0.25">
      <c r="A166" s="27">
        <v>39692</v>
      </c>
      <c r="B166" s="18">
        <f>[7]monthly!$CH265</f>
        <v>129.19999999999999</v>
      </c>
      <c r="C166" s="42">
        <v>58.651240000000001</v>
      </c>
      <c r="D166" s="43">
        <v>48.418199999999999</v>
      </c>
      <c r="E166" s="44">
        <v>92.642951965332003</v>
      </c>
      <c r="F166" s="45">
        <v>71.120959999999997</v>
      </c>
      <c r="G166" s="9">
        <f>[2]monthly!$D265</f>
        <v>104.1142857142857</v>
      </c>
    </row>
    <row r="167" spans="1:7" ht="15.75" x14ac:dyDescent="0.25">
      <c r="A167" s="27">
        <v>39722</v>
      </c>
      <c r="B167" s="18">
        <f>[7]monthly!$CH266</f>
        <v>121.4</v>
      </c>
      <c r="C167" s="42">
        <v>58.2806</v>
      </c>
      <c r="D167" s="43">
        <v>47.8675</v>
      </c>
      <c r="E167" s="44">
        <v>91.8343505859375</v>
      </c>
      <c r="F167" s="45">
        <v>73.235550000000003</v>
      </c>
      <c r="G167" s="9">
        <f>[2]monthly!$D266</f>
        <v>76.608695652173907</v>
      </c>
    </row>
    <row r="168" spans="1:7" ht="15.75" x14ac:dyDescent="0.25">
      <c r="A168" s="27">
        <v>39753</v>
      </c>
      <c r="B168" s="18">
        <f>[7]monthly!$CH267</f>
        <v>121.8</v>
      </c>
      <c r="C168" s="42">
        <v>57.934060000000002</v>
      </c>
      <c r="D168" s="43">
        <v>47.636389999999999</v>
      </c>
      <c r="E168" s="44">
        <v>91.448265075683594</v>
      </c>
      <c r="F168" s="45">
        <v>72.344769999999997</v>
      </c>
      <c r="G168" s="9">
        <f>[2]monthly!$D267</f>
        <v>57.309473684210523</v>
      </c>
    </row>
    <row r="169" spans="1:7" ht="15.75" x14ac:dyDescent="0.25">
      <c r="A169" s="27">
        <v>39783</v>
      </c>
      <c r="B169" s="18">
        <f>[7]monthly!$CH268</f>
        <v>113.4</v>
      </c>
      <c r="C169" s="42">
        <v>57.329050000000002</v>
      </c>
      <c r="D169" s="43">
        <v>47.20214</v>
      </c>
      <c r="E169" s="44">
        <v>88.056640625</v>
      </c>
      <c r="F169" s="45">
        <v>72.9495</v>
      </c>
      <c r="G169" s="9">
        <f>[2]monthly!$D268</f>
        <v>41.121818181818178</v>
      </c>
    </row>
    <row r="170" spans="1:7" ht="15.75" x14ac:dyDescent="0.25">
      <c r="A170" s="27">
        <v>39814</v>
      </c>
      <c r="B170" s="18">
        <f>[7]monthly!$CH269</f>
        <v>121.3</v>
      </c>
      <c r="C170" s="42">
        <v>56.7744</v>
      </c>
      <c r="D170" s="43">
        <v>47.632429999999999</v>
      </c>
      <c r="E170" s="44">
        <v>87.184516906738295</v>
      </c>
      <c r="F170" s="45">
        <v>70.242289999999997</v>
      </c>
      <c r="G170" s="9">
        <f>[2]monthly!$D269</f>
        <v>41.71</v>
      </c>
    </row>
    <row r="171" spans="1:7" ht="15.75" x14ac:dyDescent="0.25">
      <c r="A171" s="27">
        <v>39845</v>
      </c>
      <c r="B171" s="18">
        <f>[7]monthly!$CH270</f>
        <v>111.3</v>
      </c>
      <c r="C171" s="42">
        <v>56.355040000000002</v>
      </c>
      <c r="D171" s="43">
        <v>47.574770000000001</v>
      </c>
      <c r="E171" s="44">
        <v>87.397628784179702</v>
      </c>
      <c r="F171" s="45">
        <v>70.047700000000006</v>
      </c>
      <c r="G171" s="9">
        <f>[2]monthly!$D270</f>
        <v>39.087368421052631</v>
      </c>
    </row>
    <row r="172" spans="1:7" ht="15.75" x14ac:dyDescent="0.25">
      <c r="A172" s="27">
        <v>39873</v>
      </c>
      <c r="B172" s="18">
        <f>[7]monthly!$CH271</f>
        <v>107.3</v>
      </c>
      <c r="C172" s="42">
        <v>56.292259999999999</v>
      </c>
      <c r="D172" s="43">
        <v>47.198680000000003</v>
      </c>
      <c r="E172" s="44">
        <v>89.570571899414105</v>
      </c>
      <c r="F172" s="45">
        <v>66.442160000000001</v>
      </c>
      <c r="G172" s="9">
        <f>[2]monthly!$D271</f>
        <v>47.939090909090915</v>
      </c>
    </row>
    <row r="173" spans="1:7" ht="15.75" x14ac:dyDescent="0.25">
      <c r="A173" s="27">
        <v>39904</v>
      </c>
      <c r="B173" s="18">
        <f>[7]monthly!$CH272</f>
        <v>115.47</v>
      </c>
      <c r="C173" s="42">
        <v>56.673310000000001</v>
      </c>
      <c r="D173" s="43">
        <v>49.613889999999998</v>
      </c>
      <c r="E173" s="44">
        <v>89.413993835449205</v>
      </c>
      <c r="F173" s="45">
        <v>67.193070000000006</v>
      </c>
      <c r="G173" s="9">
        <f>[2]monthly!$D272</f>
        <v>49.646666666666661</v>
      </c>
    </row>
    <row r="174" spans="1:7" ht="15.75" x14ac:dyDescent="0.25">
      <c r="A174" s="27">
        <v>39934</v>
      </c>
      <c r="B174" s="18">
        <f>[7]monthly!$CH273</f>
        <v>118.13</v>
      </c>
      <c r="C174" s="42">
        <v>57.229210000000002</v>
      </c>
      <c r="D174" s="43">
        <v>49.671410000000002</v>
      </c>
      <c r="E174" s="44">
        <v>89.866073608398395</v>
      </c>
      <c r="F174" s="45">
        <v>66.94417</v>
      </c>
      <c r="G174" s="9">
        <f>[2]monthly!$D273</f>
        <v>59.028499999999994</v>
      </c>
    </row>
    <row r="175" spans="1:7" ht="15.75" x14ac:dyDescent="0.25">
      <c r="A175" s="27">
        <v>39965</v>
      </c>
      <c r="B175" s="18">
        <f>[7]monthly!$CH274</f>
        <v>121.1</v>
      </c>
      <c r="C175" s="42">
        <v>57.749749999999999</v>
      </c>
      <c r="D175" s="43">
        <v>49.237850000000002</v>
      </c>
      <c r="E175" s="44">
        <v>91.593414306640597</v>
      </c>
      <c r="F175" s="45">
        <v>68.659570000000002</v>
      </c>
      <c r="G175" s="9">
        <f>[2]monthly!$D274</f>
        <v>69.640909090909091</v>
      </c>
    </row>
    <row r="176" spans="1:7" ht="15.75" x14ac:dyDescent="0.25">
      <c r="A176" s="27">
        <v>39995</v>
      </c>
      <c r="B176" s="18">
        <f>[7]monthly!$CH275</f>
        <v>125.2</v>
      </c>
      <c r="C176" s="42">
        <v>57.974130000000002</v>
      </c>
      <c r="D176" s="43">
        <v>49.381529999999998</v>
      </c>
      <c r="E176" s="44">
        <v>88.188468933105497</v>
      </c>
      <c r="F176" s="45">
        <v>65.038070000000005</v>
      </c>
      <c r="G176" s="9">
        <f>[2]monthly!$D275</f>
        <v>64.152272727272731</v>
      </c>
    </row>
    <row r="177" spans="1:7" ht="15.75" x14ac:dyDescent="0.25">
      <c r="A177" s="27">
        <v>40026</v>
      </c>
      <c r="B177" s="18">
        <f>[7]monthly!$CH276</f>
        <v>133.61000000000001</v>
      </c>
      <c r="C177" s="42">
        <v>58.541969999999999</v>
      </c>
      <c r="D177" s="43">
        <v>49.32394</v>
      </c>
      <c r="E177" s="44">
        <v>92.256431579589801</v>
      </c>
      <c r="F177" s="45">
        <v>69.954999999999998</v>
      </c>
      <c r="G177" s="9">
        <f>[2]monthly!$D276</f>
        <v>71.044761904761899</v>
      </c>
    </row>
    <row r="178" spans="1:7" ht="15.75" x14ac:dyDescent="0.25">
      <c r="A178" s="27">
        <v>40057</v>
      </c>
      <c r="B178" s="18">
        <f>[7]monthly!$CH277</f>
        <v>133.78</v>
      </c>
      <c r="C178" s="42">
        <v>58.808779999999999</v>
      </c>
      <c r="D178" s="43">
        <v>49.582259999999998</v>
      </c>
      <c r="E178" s="44">
        <v>91.153541564941406</v>
      </c>
      <c r="F178" s="45">
        <v>70.445329999999998</v>
      </c>
      <c r="G178" s="9">
        <f>[2]monthly!$D277</f>
        <v>69.408095238095243</v>
      </c>
    </row>
    <row r="179" spans="1:7" ht="15.75" x14ac:dyDescent="0.25">
      <c r="A179" s="27">
        <v>40087</v>
      </c>
      <c r="B179" s="18">
        <f>[7]monthly!$CH278</f>
        <v>133.08000000000001</v>
      </c>
      <c r="C179" s="42">
        <v>59.12885</v>
      </c>
      <c r="D179" s="43">
        <v>51.556780000000003</v>
      </c>
      <c r="E179" s="44">
        <v>92.214019775390597</v>
      </c>
      <c r="F179" s="45">
        <v>72.212339999999998</v>
      </c>
      <c r="G179" s="9">
        <f>[2]monthly!$D278</f>
        <v>75.71545454545452</v>
      </c>
    </row>
    <row r="180" spans="1:7" ht="15.75" x14ac:dyDescent="0.25">
      <c r="A180" s="27">
        <v>40118</v>
      </c>
      <c r="B180" s="18">
        <f>[7]monthly!$CH279</f>
        <v>132.71</v>
      </c>
      <c r="C180" s="42">
        <v>59.219580000000001</v>
      </c>
      <c r="D180" s="43">
        <v>50.657600000000002</v>
      </c>
      <c r="E180" s="44">
        <v>92.743820190429702</v>
      </c>
      <c r="F180" s="45">
        <v>71.80368</v>
      </c>
      <c r="G180" s="9">
        <f>[2]monthly!$D279</f>
        <v>77.989999999999995</v>
      </c>
    </row>
    <row r="181" spans="1:7" ht="15.75" x14ac:dyDescent="0.25">
      <c r="A181" s="27">
        <v>40148</v>
      </c>
      <c r="B181" s="18">
        <f>[7]monthly!$CH280</f>
        <v>133.4</v>
      </c>
      <c r="C181" s="42">
        <v>59.335799999999999</v>
      </c>
      <c r="D181" s="43">
        <v>50.628839999999997</v>
      </c>
      <c r="E181" s="44">
        <v>94.001304626464801</v>
      </c>
      <c r="F181" s="45">
        <v>69.535470000000004</v>
      </c>
      <c r="G181" s="9">
        <f>[2]monthly!$D280</f>
        <v>74.47</v>
      </c>
    </row>
    <row r="182" spans="1:7" ht="15.75" x14ac:dyDescent="0.25">
      <c r="A182" s="27">
        <v>40179</v>
      </c>
      <c r="B182" s="18">
        <f>[7]monthly!$CH281</f>
        <v>133.80000000000001</v>
      </c>
      <c r="C182" s="42">
        <v>59.793329999999997</v>
      </c>
      <c r="D182" s="43">
        <v>52.158009999999997</v>
      </c>
      <c r="E182" s="44">
        <v>96.289649963378906</v>
      </c>
      <c r="F182" s="45">
        <v>73.810490000000001</v>
      </c>
      <c r="G182" s="9">
        <f>[2]monthly!$D281</f>
        <v>78.32578947368421</v>
      </c>
    </row>
    <row r="183" spans="1:7" ht="15.75" x14ac:dyDescent="0.25">
      <c r="A183" s="27">
        <v>40210</v>
      </c>
      <c r="B183" s="18">
        <f>[7]monthly!$CH282</f>
        <v>134.9</v>
      </c>
      <c r="C183" s="42">
        <v>60.090290000000003</v>
      </c>
      <c r="D183" s="43">
        <v>50.285629999999998</v>
      </c>
      <c r="E183" s="44">
        <v>95.719245910644503</v>
      </c>
      <c r="F183" s="45">
        <v>73.542810000000003</v>
      </c>
      <c r="G183" s="9">
        <f>[2]monthly!$D282</f>
        <v>76.387368421052642</v>
      </c>
    </row>
    <row r="184" spans="1:7" ht="15.75" x14ac:dyDescent="0.25">
      <c r="A184" s="27">
        <v>40238</v>
      </c>
      <c r="B184" s="18">
        <f>[7]monthly!$CH283</f>
        <v>135</v>
      </c>
      <c r="C184" s="42">
        <v>60.607140000000001</v>
      </c>
      <c r="D184" s="43">
        <v>53.833410000000001</v>
      </c>
      <c r="E184" s="44">
        <v>96.909652709960895</v>
      </c>
      <c r="F184" s="45">
        <v>75.104740000000007</v>
      </c>
      <c r="G184" s="9">
        <f>[2]monthly!$D283</f>
        <v>81.203478260869574</v>
      </c>
    </row>
    <row r="185" spans="1:7" ht="15.75" x14ac:dyDescent="0.25">
      <c r="A185" s="27">
        <v>40269</v>
      </c>
      <c r="B185" s="18">
        <f>[7]monthly!$CH284</f>
        <v>138.93</v>
      </c>
      <c r="C185" s="42">
        <v>60.71264</v>
      </c>
      <c r="D185" s="43">
        <v>51.967849999999999</v>
      </c>
      <c r="E185" s="44">
        <v>95.652046203613295</v>
      </c>
      <c r="F185" s="45">
        <v>77.408630000000002</v>
      </c>
      <c r="G185" s="9">
        <f>[2]monthly!$D284</f>
        <v>84.292857142857144</v>
      </c>
    </row>
    <row r="186" spans="1:7" ht="15.75" x14ac:dyDescent="0.25">
      <c r="A186" s="27">
        <v>40299</v>
      </c>
      <c r="B186" s="18">
        <f>[7]monthly!$CH285</f>
        <v>135</v>
      </c>
      <c r="C186" s="42">
        <v>60.952039999999997</v>
      </c>
      <c r="D186" s="43">
        <v>51.68074</v>
      </c>
      <c r="E186" s="44">
        <v>94.308555603027301</v>
      </c>
      <c r="F186" s="45">
        <v>78.050569999999993</v>
      </c>
      <c r="G186" s="9">
        <f>[2]monthly!$D285</f>
        <v>73.743499999999997</v>
      </c>
    </row>
    <row r="187" spans="1:7" ht="15.75" x14ac:dyDescent="0.25">
      <c r="A187" s="27">
        <v>40330</v>
      </c>
      <c r="B187" s="18">
        <f>[7]monthly!$CH286</f>
        <v>134.72</v>
      </c>
      <c r="C187" s="42">
        <v>61.264409999999998</v>
      </c>
      <c r="D187" s="43">
        <v>52.757460000000002</v>
      </c>
      <c r="E187" s="44">
        <v>97.415588378906193</v>
      </c>
      <c r="F187" s="45">
        <v>78.423609999999996</v>
      </c>
      <c r="G187" s="9">
        <f>[2]monthly!$D286</f>
        <v>75.335909090909098</v>
      </c>
    </row>
    <row r="188" spans="1:7" ht="15.75" x14ac:dyDescent="0.25">
      <c r="A188" s="27">
        <v>40360</v>
      </c>
      <c r="B188" s="18">
        <f>[7]monthly!$CH287</f>
        <v>134</v>
      </c>
      <c r="C188" s="42">
        <v>61.55724</v>
      </c>
      <c r="D188" s="43">
        <v>53.185110000000002</v>
      </c>
      <c r="E188" s="44">
        <v>97.062477111816406</v>
      </c>
      <c r="F188" s="45">
        <v>79.134739999999994</v>
      </c>
      <c r="G188" s="9">
        <f>[2]monthly!$D287</f>
        <v>76.319523809523801</v>
      </c>
    </row>
    <row r="189" spans="1:7" ht="15.75" x14ac:dyDescent="0.25">
      <c r="A189" s="27">
        <v>40391</v>
      </c>
      <c r="B189" s="18">
        <f>[7]monthly!$CH288</f>
        <v>136.1</v>
      </c>
      <c r="C189" s="42">
        <v>61.792769999999997</v>
      </c>
      <c r="D189" s="43">
        <v>54.149560000000001</v>
      </c>
      <c r="E189" s="44">
        <v>96.817253112792997</v>
      </c>
      <c r="F189" s="45">
        <v>74.251729999999995</v>
      </c>
      <c r="G189" s="9">
        <f>[2]monthly!$D288</f>
        <v>76.599090909090918</v>
      </c>
    </row>
    <row r="190" spans="1:7" ht="15.75" x14ac:dyDescent="0.25">
      <c r="A190" s="27">
        <v>40422</v>
      </c>
      <c r="B190" s="18">
        <f>[7]monthly!$CH289</f>
        <v>137.02000000000001</v>
      </c>
      <c r="C190" s="42">
        <v>61.97898</v>
      </c>
      <c r="D190" s="43">
        <v>54.378039999999999</v>
      </c>
      <c r="E190" s="44">
        <v>98.892608642578097</v>
      </c>
      <c r="F190" s="45">
        <v>71.942800000000005</v>
      </c>
      <c r="G190" s="9">
        <f>[2]monthly!$D289</f>
        <v>75.241904761904763</v>
      </c>
    </row>
    <row r="191" spans="1:7" ht="15.75" x14ac:dyDescent="0.25">
      <c r="A191" s="27">
        <v>40452</v>
      </c>
      <c r="B191" s="18">
        <f>[7]monthly!$CH290</f>
        <v>136.4</v>
      </c>
      <c r="C191" s="42">
        <v>62.216909999999999</v>
      </c>
      <c r="D191" s="43">
        <v>53.947029999999998</v>
      </c>
      <c r="E191" s="44">
        <v>98.626594543457003</v>
      </c>
      <c r="F191" s="45">
        <v>72.936549999999997</v>
      </c>
      <c r="G191" s="9">
        <f>[2]monthly!$D290</f>
        <v>81.892857142857153</v>
      </c>
    </row>
    <row r="192" spans="1:7" ht="15.75" x14ac:dyDescent="0.25">
      <c r="A192" s="27">
        <v>40483</v>
      </c>
      <c r="B192" s="18">
        <f>[7]monthly!$CH291</f>
        <v>130.6</v>
      </c>
      <c r="C192" s="42">
        <v>62.413730000000001</v>
      </c>
      <c r="D192" s="43">
        <v>54.089939999999999</v>
      </c>
      <c r="E192" s="44">
        <v>99.345573425292997</v>
      </c>
      <c r="F192" s="45">
        <v>72.682910000000007</v>
      </c>
      <c r="G192" s="9">
        <f>[2]monthly!$D291</f>
        <v>84.252857142857138</v>
      </c>
    </row>
    <row r="193" spans="1:7" ht="15.75" x14ac:dyDescent="0.25">
      <c r="A193" s="27">
        <v>40513</v>
      </c>
      <c r="B193" s="18">
        <f>[7]monthly!$CH292</f>
        <v>135</v>
      </c>
      <c r="C193" s="42">
        <v>62.648800000000001</v>
      </c>
      <c r="D193" s="43">
        <v>53.774209999999997</v>
      </c>
      <c r="E193" s="44">
        <v>100.264602661133</v>
      </c>
      <c r="F193" s="45">
        <v>73.467290000000006</v>
      </c>
      <c r="G193" s="9">
        <f>[2]monthly!$D292</f>
        <v>89.145909090909086</v>
      </c>
    </row>
    <row r="194" spans="1:7" ht="15.75" x14ac:dyDescent="0.25">
      <c r="A194" s="27">
        <v>40544</v>
      </c>
      <c r="B194" s="18">
        <f>[7]monthly!$CH293</f>
        <v>131.80000000000001</v>
      </c>
      <c r="C194" s="42">
        <v>63.107289999999999</v>
      </c>
      <c r="D194" s="43">
        <v>54.03116</v>
      </c>
      <c r="E194" s="44">
        <v>100.408935546875</v>
      </c>
      <c r="F194" s="45">
        <v>76.273250000000004</v>
      </c>
      <c r="G194" s="9">
        <f>[2]monthly!$D293</f>
        <v>89.170500000000004</v>
      </c>
    </row>
    <row r="195" spans="1:7" ht="15.75" x14ac:dyDescent="0.25">
      <c r="A195" s="27">
        <v>40575</v>
      </c>
      <c r="B195" s="18">
        <f>[7]monthly!$CH294</f>
        <v>129.19999999999999</v>
      </c>
      <c r="C195" s="42">
        <v>63.228589999999997</v>
      </c>
      <c r="D195" s="43">
        <v>54.116950000000003</v>
      </c>
      <c r="E195" s="44">
        <v>99.279953002929702</v>
      </c>
      <c r="F195" s="45">
        <v>74.428830000000005</v>
      </c>
      <c r="G195" s="9">
        <f>[2]monthly!$D294</f>
        <v>88.578421052631569</v>
      </c>
    </row>
    <row r="196" spans="1:7" ht="15.75" x14ac:dyDescent="0.25">
      <c r="A196" s="27">
        <v>40603</v>
      </c>
      <c r="B196" s="18">
        <f>[7]monthly!$CH295</f>
        <v>131.6</v>
      </c>
      <c r="C196" s="42">
        <v>63.500779999999999</v>
      </c>
      <c r="D196" s="43">
        <v>54.345410000000001</v>
      </c>
      <c r="E196" s="44">
        <v>100.930046081543</v>
      </c>
      <c r="F196" s="45">
        <v>76.112219999999994</v>
      </c>
      <c r="G196" s="9">
        <f>[2]monthly!$D295</f>
        <v>102.85652173913044</v>
      </c>
    </row>
    <row r="197" spans="1:7" ht="15.75" x14ac:dyDescent="0.25">
      <c r="A197" s="27">
        <v>40634</v>
      </c>
      <c r="B197" s="18">
        <f>[7]monthly!$CH296</f>
        <v>133.6</v>
      </c>
      <c r="C197" s="42">
        <v>63.592930000000003</v>
      </c>
      <c r="D197" s="43">
        <v>54.345410000000001</v>
      </c>
      <c r="E197" s="44">
        <v>99.617897033691406</v>
      </c>
      <c r="F197" s="45">
        <v>75.730890000000002</v>
      </c>
      <c r="G197" s="9">
        <f>[2]monthly!$D296</f>
        <v>109.5325</v>
      </c>
    </row>
    <row r="198" spans="1:7" ht="15.75" x14ac:dyDescent="0.25">
      <c r="A198" s="27">
        <v>40664</v>
      </c>
      <c r="B198" s="18">
        <f>[7]monthly!$CH297</f>
        <v>131.80000000000001</v>
      </c>
      <c r="C198" s="42">
        <v>63.735349999999997</v>
      </c>
      <c r="D198" s="43">
        <v>54.459760000000003</v>
      </c>
      <c r="E198" s="44">
        <v>99.761215209960895</v>
      </c>
      <c r="F198" s="45">
        <v>75.554839999999999</v>
      </c>
      <c r="G198" s="9">
        <f>[2]monthly!$D297</f>
        <v>100.90047619047618</v>
      </c>
    </row>
    <row r="199" spans="1:7" ht="15.75" x14ac:dyDescent="0.25">
      <c r="A199" s="27">
        <v>40695</v>
      </c>
      <c r="B199" s="18">
        <f>[7]monthly!$CH298</f>
        <v>133.9</v>
      </c>
      <c r="C199" s="42">
        <v>63.947719999999997</v>
      </c>
      <c r="D199" s="43">
        <v>55.676630000000003</v>
      </c>
      <c r="E199" s="44">
        <v>101.372833251953</v>
      </c>
      <c r="F199" s="45">
        <v>74.477440000000001</v>
      </c>
      <c r="G199" s="9">
        <f>[2]monthly!$D298</f>
        <v>96.264090909090925</v>
      </c>
    </row>
    <row r="200" spans="1:7" ht="15.75" x14ac:dyDescent="0.25">
      <c r="A200" s="27">
        <v>40725</v>
      </c>
      <c r="B200" s="18">
        <f>[7]monthly!$CH299</f>
        <v>132.78</v>
      </c>
      <c r="C200" s="42">
        <v>64.122159999999994</v>
      </c>
      <c r="D200" s="43">
        <v>56.556579999999997</v>
      </c>
      <c r="E200" s="44">
        <v>100.89923858642599</v>
      </c>
      <c r="F200" s="45">
        <v>75.224199999999996</v>
      </c>
      <c r="G200" s="9">
        <f>[2]monthly!$D299</f>
        <v>97.3035</v>
      </c>
    </row>
    <row r="201" spans="1:7" ht="15.75" x14ac:dyDescent="0.25">
      <c r="A201" s="27">
        <v>40756</v>
      </c>
      <c r="B201" s="18">
        <f>[7]monthly!$CH300</f>
        <v>132.68</v>
      </c>
      <c r="C201" s="42">
        <v>64.1571</v>
      </c>
      <c r="D201" s="43">
        <v>54.665849999999999</v>
      </c>
      <c r="E201" s="44">
        <v>98.768196105957003</v>
      </c>
      <c r="F201" s="45">
        <v>72.186549999999997</v>
      </c>
      <c r="G201" s="9">
        <f>[2]monthly!$D300</f>
        <v>86.333043478260862</v>
      </c>
    </row>
    <row r="202" spans="1:7" ht="15.75" x14ac:dyDescent="0.25">
      <c r="A202" s="27">
        <v>40787</v>
      </c>
      <c r="B202" s="18">
        <f>[7]monthly!$CH301</f>
        <v>130.88999999999999</v>
      </c>
      <c r="C202" s="42">
        <v>64.381069999999994</v>
      </c>
      <c r="D202" s="43">
        <v>55.206400000000002</v>
      </c>
      <c r="E202" s="44">
        <v>100.40853881835901</v>
      </c>
      <c r="F202" s="45">
        <v>74.258719999999997</v>
      </c>
      <c r="G202" s="9">
        <f>[2]monthly!$D301</f>
        <v>85.515238095238118</v>
      </c>
    </row>
    <row r="203" spans="1:7" ht="15.75" x14ac:dyDescent="0.25">
      <c r="A203" s="27">
        <v>40817</v>
      </c>
      <c r="B203" s="18">
        <f>[7]monthly!$CH302</f>
        <v>135.12</v>
      </c>
      <c r="C203" s="42">
        <v>64.472340000000003</v>
      </c>
      <c r="D203" s="43">
        <v>55.463099999999997</v>
      </c>
      <c r="E203" s="44">
        <v>100.12599945068401</v>
      </c>
      <c r="F203" s="45">
        <v>74.08023</v>
      </c>
      <c r="G203" s="9">
        <f>[2]monthly!$D302</f>
        <v>86.322380952380954</v>
      </c>
    </row>
    <row r="204" spans="1:7" ht="15.75" x14ac:dyDescent="0.25">
      <c r="A204" s="27">
        <v>40848</v>
      </c>
      <c r="B204" s="18">
        <f>[7]monthly!$CH303</f>
        <v>131.72999999999999</v>
      </c>
      <c r="C204" s="42">
        <v>64.784210000000002</v>
      </c>
      <c r="D204" s="43">
        <v>56.706980000000001</v>
      </c>
      <c r="E204" s="44">
        <v>100.988090515137</v>
      </c>
      <c r="F204" s="45">
        <v>72.522170000000003</v>
      </c>
      <c r="G204" s="9">
        <f>[2]monthly!$D303</f>
        <v>97.160476190476189</v>
      </c>
    </row>
    <row r="205" spans="1:7" ht="15.75" x14ac:dyDescent="0.25">
      <c r="A205" s="27">
        <v>40878</v>
      </c>
      <c r="B205" s="18">
        <f>[7]monthly!$CH304</f>
        <v>131.59</v>
      </c>
      <c r="C205" s="42">
        <v>64.962230000000005</v>
      </c>
      <c r="D205" s="43">
        <v>56.764110000000002</v>
      </c>
      <c r="E205" s="44">
        <v>101.444747924805</v>
      </c>
      <c r="F205" s="45">
        <v>73.951800000000006</v>
      </c>
      <c r="G205" s="9">
        <f>[2]monthly!$D304</f>
        <v>98.562857142857155</v>
      </c>
    </row>
    <row r="206" spans="1:7" ht="15.75" x14ac:dyDescent="0.25">
      <c r="A206" s="27">
        <v>40909</v>
      </c>
      <c r="B206" s="18">
        <f>[7]monthly!$CH305</f>
        <v>130.04</v>
      </c>
      <c r="C206" s="42">
        <v>65.140230000000003</v>
      </c>
      <c r="D206" s="43">
        <v>57.020769999999999</v>
      </c>
      <c r="E206" s="44">
        <v>100.06381988525401</v>
      </c>
      <c r="F206" s="45">
        <v>75.690299999999993</v>
      </c>
      <c r="G206" s="9">
        <f>[2]monthly!$D305</f>
        <v>100.2735</v>
      </c>
    </row>
    <row r="207" spans="1:7" ht="15.75" x14ac:dyDescent="0.25">
      <c r="A207" s="27">
        <v>40940</v>
      </c>
      <c r="B207" s="18">
        <f>[7]monthly!$CH306</f>
        <v>130.58000000000001</v>
      </c>
      <c r="C207" s="42">
        <v>65.072810000000004</v>
      </c>
      <c r="D207" s="43">
        <v>57.362720000000003</v>
      </c>
      <c r="E207" s="44">
        <v>99.948783874511705</v>
      </c>
      <c r="F207" s="45">
        <v>72.354159999999993</v>
      </c>
      <c r="G207" s="9">
        <f>[2]monthly!$D306</f>
        <v>102.20399999999999</v>
      </c>
    </row>
    <row r="208" spans="1:7" ht="15.75" x14ac:dyDescent="0.25">
      <c r="A208" s="27">
        <v>40969</v>
      </c>
      <c r="B208" s="18">
        <f>[7]monthly!$CH307</f>
        <v>130.34</v>
      </c>
      <c r="C208" s="42">
        <v>65.326040000000006</v>
      </c>
      <c r="D208" s="43">
        <v>56.585790000000003</v>
      </c>
      <c r="E208" s="44">
        <v>100.746879577637</v>
      </c>
      <c r="F208" s="45">
        <v>76.436009999999996</v>
      </c>
      <c r="G208" s="9">
        <f>[2]monthly!$D307</f>
        <v>106.15772727272726</v>
      </c>
    </row>
    <row r="209" spans="1:7" ht="15.75" x14ac:dyDescent="0.25">
      <c r="A209" s="27">
        <v>41000</v>
      </c>
      <c r="B209" s="18">
        <f>[7]monthly!$CH308</f>
        <v>130.82</v>
      </c>
      <c r="C209" s="42">
        <v>65.775300000000001</v>
      </c>
      <c r="D209" s="43">
        <v>58.358199999999997</v>
      </c>
      <c r="E209" s="44">
        <v>103.919555664062</v>
      </c>
      <c r="F209" s="45">
        <v>79.29119</v>
      </c>
      <c r="G209" s="9">
        <f>[2]monthly!$D308</f>
        <v>103.321</v>
      </c>
    </row>
    <row r="210" spans="1:7" ht="15.75" x14ac:dyDescent="0.25">
      <c r="A210" s="27">
        <v>41030</v>
      </c>
      <c r="B210" s="18">
        <f>[7]monthly!$CH309</f>
        <v>128.46</v>
      </c>
      <c r="C210" s="42">
        <v>65.898719999999997</v>
      </c>
      <c r="D210" s="43">
        <v>58.358199999999997</v>
      </c>
      <c r="E210" s="44">
        <v>102.24078369140599</v>
      </c>
      <c r="F210" s="45">
        <v>78.695779999999999</v>
      </c>
      <c r="G210" s="9">
        <f>[2]monthly!$D309</f>
        <v>94.057500000000005</v>
      </c>
    </row>
    <row r="211" spans="1:7" ht="15.75" x14ac:dyDescent="0.25">
      <c r="A211" s="27">
        <v>41061</v>
      </c>
      <c r="B211" s="18">
        <f>[7]monthly!$CH310</f>
        <v>129.91999999999999</v>
      </c>
      <c r="C211" s="42">
        <v>66.010230000000007</v>
      </c>
      <c r="D211" s="43">
        <v>58.329630000000002</v>
      </c>
      <c r="E211" s="44">
        <v>101.49845123291</v>
      </c>
      <c r="F211" s="45">
        <v>77.239289999999997</v>
      </c>
      <c r="G211" s="9">
        <f>[2]monthly!$D310</f>
        <v>84.383571428571429</v>
      </c>
    </row>
    <row r="212" spans="1:7" ht="15.75" x14ac:dyDescent="0.25">
      <c r="A212" s="27">
        <v>41091</v>
      </c>
      <c r="B212" s="18">
        <f>[7]monthly!$CH311</f>
        <v>129</v>
      </c>
      <c r="C212" s="42">
        <v>66.421419999999998</v>
      </c>
      <c r="D212" s="43">
        <v>58.529240000000001</v>
      </c>
      <c r="E212" s="44">
        <v>105.580459594727</v>
      </c>
      <c r="F212" s="45">
        <v>80.663700000000006</v>
      </c>
      <c r="G212" s="9">
        <f>[2]monthly!$D311</f>
        <v>87.349285714285699</v>
      </c>
    </row>
    <row r="213" spans="1:7" ht="15.75" x14ac:dyDescent="0.25">
      <c r="A213" s="27">
        <v>41122</v>
      </c>
      <c r="B213" s="18">
        <f>[7]monthly!$CH312</f>
        <v>125.6</v>
      </c>
      <c r="C213" s="42">
        <v>66.549620000000004</v>
      </c>
      <c r="D213" s="43">
        <v>59.548639999999999</v>
      </c>
      <c r="E213" s="44">
        <v>105.412628173828</v>
      </c>
      <c r="F213" s="45">
        <v>81.146249999999995</v>
      </c>
      <c r="G213" s="9">
        <f>[2]monthly!$D312</f>
        <v>93.196956521739125</v>
      </c>
    </row>
    <row r="214" spans="1:7" ht="15.75" x14ac:dyDescent="0.25">
      <c r="A214" s="27">
        <v>41153</v>
      </c>
      <c r="B214" s="18">
        <f>[7]monthly!$CH313</f>
        <v>124.6</v>
      </c>
      <c r="C214" s="42">
        <v>66.514690000000002</v>
      </c>
      <c r="D214" s="43">
        <v>58.424239999999998</v>
      </c>
      <c r="E214" s="44">
        <v>100.704711914062</v>
      </c>
      <c r="F214" s="45">
        <v>80.366410000000002</v>
      </c>
      <c r="G214" s="9">
        <f>[2]monthly!$D313</f>
        <v>95.534736842105275</v>
      </c>
    </row>
    <row r="215" spans="1:7" ht="15.75" x14ac:dyDescent="0.25">
      <c r="A215" s="27">
        <v>41183</v>
      </c>
      <c r="B215" s="18">
        <f>[7]monthly!$CH314</f>
        <v>123.5</v>
      </c>
      <c r="C215" s="42">
        <v>66.607699999999994</v>
      </c>
      <c r="D215" s="43">
        <v>58.680669999999999</v>
      </c>
      <c r="E215" s="44">
        <v>103.368240356445</v>
      </c>
      <c r="F215" s="45">
        <v>79.433689999999999</v>
      </c>
      <c r="G215" s="9">
        <f>[2]monthly!$D314</f>
        <v>92.001379310344831</v>
      </c>
    </row>
    <row r="216" spans="1:7" ht="15.75" x14ac:dyDescent="0.25">
      <c r="A216" s="27">
        <v>41214</v>
      </c>
      <c r="B216" s="18">
        <f>[7]monthly!$CH315</f>
        <v>126.56</v>
      </c>
      <c r="C216" s="42">
        <v>66.594740000000002</v>
      </c>
      <c r="D216" s="43">
        <v>59.22072</v>
      </c>
      <c r="E216" s="44">
        <v>102.702919006348</v>
      </c>
      <c r="F216" s="45">
        <v>78.895889999999994</v>
      </c>
      <c r="G216" s="9">
        <f>[2]monthly!$D315</f>
        <v>92.795238095238091</v>
      </c>
    </row>
    <row r="217" spans="1:7" ht="15.75" x14ac:dyDescent="0.25">
      <c r="A217" s="27">
        <v>41244</v>
      </c>
      <c r="B217" s="18">
        <f>[7]monthly!$CH316</f>
        <v>126.68</v>
      </c>
      <c r="C217" s="42">
        <v>66.822540000000004</v>
      </c>
      <c r="D217" s="43">
        <v>60.79853</v>
      </c>
      <c r="E217" s="44">
        <v>104.46501922607401</v>
      </c>
      <c r="F217" s="45">
        <v>74.538120000000006</v>
      </c>
      <c r="G217" s="9">
        <f>[2]monthly!$D316</f>
        <v>94.096499999999992</v>
      </c>
    </row>
    <row r="218" spans="1:7" ht="15.75" x14ac:dyDescent="0.25">
      <c r="A218" s="27">
        <v>41275</v>
      </c>
      <c r="B218" s="18">
        <f>[7]monthly!$CH317</f>
        <v>123.52</v>
      </c>
      <c r="C218" s="42">
        <v>67.029110000000003</v>
      </c>
      <c r="D218" s="43">
        <v>59.936129999999999</v>
      </c>
      <c r="E218" s="44">
        <v>102.629348754883</v>
      </c>
      <c r="F218" s="45">
        <v>76.15361</v>
      </c>
      <c r="G218" s="9">
        <f>[2]monthly!$D317</f>
        <v>95.160476190476189</v>
      </c>
    </row>
    <row r="219" spans="1:7" ht="15.75" x14ac:dyDescent="0.25">
      <c r="A219" s="27">
        <v>41306</v>
      </c>
      <c r="B219" s="18">
        <f>[7]monthly!$CH318</f>
        <v>125.7</v>
      </c>
      <c r="C219" s="42">
        <v>67.472160000000002</v>
      </c>
      <c r="D219" s="43">
        <v>60.758150000000001</v>
      </c>
      <c r="E219" s="44">
        <v>106.569496154785</v>
      </c>
      <c r="F219" s="45">
        <v>78.021420000000006</v>
      </c>
      <c r="G219" s="9">
        <f>[2]monthly!$D318</f>
        <v>100.65473684210525</v>
      </c>
    </row>
    <row r="220" spans="1:7" ht="15.75" x14ac:dyDescent="0.25">
      <c r="A220" s="27">
        <v>41334</v>
      </c>
      <c r="B220" s="18">
        <f>[7]monthly!$CH319</f>
        <v>126.61</v>
      </c>
      <c r="C220" s="42">
        <v>67.544759999999997</v>
      </c>
      <c r="D220" s="43">
        <v>60.414720000000003</v>
      </c>
      <c r="E220" s="44">
        <v>104.87818908691401</v>
      </c>
      <c r="F220" s="45">
        <v>76.454589999999996</v>
      </c>
      <c r="G220" s="9">
        <f>[2]monthly!$D319</f>
        <v>105.9365</v>
      </c>
    </row>
    <row r="221" spans="1:7" ht="15.75" x14ac:dyDescent="0.25">
      <c r="A221" s="27">
        <v>41365</v>
      </c>
      <c r="B221" s="18">
        <f>[7]monthly!$CH320</f>
        <v>122.41</v>
      </c>
      <c r="C221" s="42">
        <v>67.727069999999998</v>
      </c>
      <c r="D221" s="43">
        <v>60.357619999999997</v>
      </c>
      <c r="E221" s="44">
        <v>105.41957855224599</v>
      </c>
      <c r="F221" s="45">
        <v>77.121380000000002</v>
      </c>
      <c r="G221" s="9">
        <f>[2]monthly!$D320</f>
        <v>107.61090909090909</v>
      </c>
    </row>
    <row r="222" spans="1:7" ht="15.75" x14ac:dyDescent="0.25">
      <c r="A222" s="27">
        <v>41395</v>
      </c>
      <c r="B222" s="18">
        <f>[7]monthly!$CH321</f>
        <v>113.77</v>
      </c>
      <c r="C222" s="42">
        <v>67.944789999999998</v>
      </c>
      <c r="D222" s="43">
        <v>62.322929999999999</v>
      </c>
      <c r="E222" s="44">
        <v>108.531898498535</v>
      </c>
      <c r="F222" s="45">
        <v>76.178129999999996</v>
      </c>
      <c r="G222" s="9">
        <f>[2]monthly!$D321</f>
        <v>103.41772727272728</v>
      </c>
    </row>
    <row r="223" spans="1:7" ht="15.75" x14ac:dyDescent="0.25">
      <c r="A223" s="27">
        <v>41426</v>
      </c>
      <c r="B223" s="18">
        <f>[7]monthly!$CH322</f>
        <v>118.95</v>
      </c>
      <c r="C223" s="42">
        <v>68.04692</v>
      </c>
      <c r="D223" s="43">
        <v>61.084200000000003</v>
      </c>
      <c r="E223" s="44">
        <v>105.622421264648</v>
      </c>
      <c r="F223" s="45">
        <v>76.461070000000007</v>
      </c>
      <c r="G223" s="9">
        <f>[2]monthly!$D322</f>
        <v>96.522105263157869</v>
      </c>
    </row>
    <row r="224" spans="1:7" ht="15.75" x14ac:dyDescent="0.25">
      <c r="A224" s="27">
        <v>41456</v>
      </c>
      <c r="B224" s="18">
        <f>[7]monthly!$CH323</f>
        <v>120.34</v>
      </c>
      <c r="C224" s="42">
        <v>68.212299999999999</v>
      </c>
      <c r="D224" s="43">
        <v>62.437930000000001</v>
      </c>
      <c r="E224" s="44">
        <v>106.060180664062</v>
      </c>
      <c r="F224" s="45">
        <v>77.234930000000006</v>
      </c>
      <c r="G224" s="9">
        <f>[2]monthly!$D323</f>
        <v>95.00545454545454</v>
      </c>
    </row>
    <row r="225" spans="1:7" ht="15.75" x14ac:dyDescent="0.25">
      <c r="A225" s="27">
        <v>41487</v>
      </c>
      <c r="B225" s="18">
        <f>[7]monthly!$CH324</f>
        <v>123.06</v>
      </c>
      <c r="C225" s="42">
        <v>68.276420000000002</v>
      </c>
      <c r="D225" s="43">
        <v>63.174840000000003</v>
      </c>
      <c r="E225" s="44">
        <v>107.475784301758</v>
      </c>
      <c r="F225" s="45">
        <v>73.050579999999997</v>
      </c>
      <c r="G225" s="9">
        <f>[2]monthly!$D324</f>
        <v>100.99363636363638</v>
      </c>
    </row>
    <row r="226" spans="1:7" ht="15.75" x14ac:dyDescent="0.25">
      <c r="A226" s="27">
        <v>41518</v>
      </c>
      <c r="B226" s="18">
        <f>[7]monthly!$CH325</f>
        <v>124.39</v>
      </c>
      <c r="C226" s="42">
        <v>68.415390000000002</v>
      </c>
      <c r="D226" s="43">
        <v>62.053100000000001</v>
      </c>
      <c r="E226" s="44">
        <v>107.24224853515599</v>
      </c>
      <c r="F226" s="45">
        <v>75.646429999999995</v>
      </c>
      <c r="G226" s="9">
        <f>[2]monthly!$D325</f>
        <v>106.2895</v>
      </c>
    </row>
    <row r="227" spans="1:7" ht="15.75" x14ac:dyDescent="0.25">
      <c r="A227" s="27">
        <v>41548</v>
      </c>
      <c r="B227" s="18">
        <f>[7]monthly!$CH326</f>
        <v>126.02</v>
      </c>
      <c r="C227" s="42">
        <v>68.665679999999995</v>
      </c>
      <c r="D227" s="43">
        <v>63.712449999999997</v>
      </c>
      <c r="E227" s="44">
        <v>107.65274047851599</v>
      </c>
      <c r="F227" s="45">
        <v>77.164760000000001</v>
      </c>
      <c r="G227" s="9">
        <f>[2]monthly!$D326</f>
        <v>100.53826086956522</v>
      </c>
    </row>
    <row r="228" spans="1:7" ht="15.75" x14ac:dyDescent="0.25">
      <c r="A228" s="27">
        <v>41579</v>
      </c>
      <c r="B228" s="18">
        <f>[7]monthly!$CH327</f>
        <v>123.93</v>
      </c>
      <c r="C228" s="42">
        <v>68.800560000000004</v>
      </c>
      <c r="D228" s="43">
        <v>63.053699999999999</v>
      </c>
      <c r="E228" s="44">
        <v>108.612739562988</v>
      </c>
      <c r="F228" s="45">
        <v>77.862690000000001</v>
      </c>
      <c r="G228" s="9">
        <f>[2]monthly!$D327</f>
        <v>93.863999999999976</v>
      </c>
    </row>
    <row r="229" spans="1:7" ht="15.75" x14ac:dyDescent="0.25">
      <c r="A229" s="27">
        <v>41609</v>
      </c>
      <c r="B229" s="18">
        <f>[7]monthly!$CH328</f>
        <v>120.8</v>
      </c>
      <c r="C229" s="42">
        <v>68.87124</v>
      </c>
      <c r="D229" s="43">
        <v>62.79674</v>
      </c>
      <c r="E229" s="44">
        <v>105.711875915527</v>
      </c>
      <c r="F229" s="45">
        <v>77.941379999999995</v>
      </c>
      <c r="G229" s="9">
        <f>[2]monthly!$D328</f>
        <v>97.625238095238103</v>
      </c>
    </row>
    <row r="230" spans="1:7" ht="15.75" x14ac:dyDescent="0.25">
      <c r="A230" s="27">
        <v>41640</v>
      </c>
      <c r="B230" s="18">
        <f>[7]monthly!$CH329</f>
        <v>121.5</v>
      </c>
      <c r="C230" s="42">
        <v>69.323779999999999</v>
      </c>
      <c r="D230" s="43">
        <v>64.787779999999998</v>
      </c>
      <c r="E230" s="44">
        <v>109.925979614258</v>
      </c>
      <c r="F230" s="45">
        <v>78.125069999999994</v>
      </c>
      <c r="G230" s="9">
        <f>[2]monthly!$D329</f>
        <v>94.617142857142852</v>
      </c>
    </row>
    <row r="231" spans="1:7" ht="15.75" x14ac:dyDescent="0.25">
      <c r="A231" s="27">
        <v>41671</v>
      </c>
      <c r="B231" s="18">
        <f>[7]monthly!$CH330</f>
        <v>121.1</v>
      </c>
      <c r="C231" s="42">
        <v>69.704359999999994</v>
      </c>
      <c r="D231" s="43">
        <v>64.559560000000005</v>
      </c>
      <c r="E231" s="44">
        <v>109.68236541748</v>
      </c>
      <c r="F231" s="45">
        <v>81.176550000000006</v>
      </c>
      <c r="G231" s="9">
        <f>[2]monthly!$D330</f>
        <v>100.81736842105265</v>
      </c>
    </row>
    <row r="232" spans="1:7" ht="15.75" x14ac:dyDescent="0.25">
      <c r="A232" s="27">
        <v>41699</v>
      </c>
      <c r="B232" s="18">
        <f>[7]monthly!$CH331</f>
        <v>126.24</v>
      </c>
      <c r="C232" s="42">
        <v>69.899289999999993</v>
      </c>
      <c r="D232" s="43">
        <v>63.843649999999997</v>
      </c>
      <c r="E232" s="44">
        <v>109.949111938477</v>
      </c>
      <c r="F232" s="45">
        <v>75.452740000000006</v>
      </c>
      <c r="G232" s="9">
        <f>[2]monthly!$D331</f>
        <v>100.80380952380953</v>
      </c>
    </row>
    <row r="233" spans="1:7" ht="15.75" x14ac:dyDescent="0.25">
      <c r="A233" s="27">
        <v>41730</v>
      </c>
      <c r="B233" s="18">
        <f>[7]monthly!$CH332</f>
        <v>126.56</v>
      </c>
      <c r="C233" s="42">
        <v>69.966220000000007</v>
      </c>
      <c r="D233" s="43">
        <v>64.325919999999996</v>
      </c>
      <c r="E233" s="44">
        <v>108.349159240723</v>
      </c>
      <c r="F233" s="45">
        <v>73.907570000000007</v>
      </c>
      <c r="G233" s="9">
        <f>[2]monthly!$D332</f>
        <v>102.06904761904761</v>
      </c>
    </row>
    <row r="234" spans="1:7" ht="15.75" x14ac:dyDescent="0.25">
      <c r="A234" s="27">
        <v>41760</v>
      </c>
      <c r="B234" s="18">
        <f>[7]monthly!$CH333</f>
        <v>127.49</v>
      </c>
      <c r="C234" s="42">
        <v>70.056150000000002</v>
      </c>
      <c r="D234" s="43">
        <v>64.496549999999999</v>
      </c>
      <c r="E234" s="44">
        <v>108.34055328369099</v>
      </c>
      <c r="F234" s="45">
        <v>75.862279999999998</v>
      </c>
      <c r="G234" s="9">
        <f>[2]monthly!$D333</f>
        <v>102.17714285714285</v>
      </c>
    </row>
    <row r="235" spans="1:7" ht="15.75" x14ac:dyDescent="0.25">
      <c r="A235" s="27">
        <v>41791</v>
      </c>
      <c r="B235" s="18">
        <f>[7]monthly!$CH334</f>
        <v>123.25</v>
      </c>
      <c r="C235" s="42">
        <v>70.216369999999998</v>
      </c>
      <c r="D235" s="43">
        <v>66.238290000000006</v>
      </c>
      <c r="E235" s="44">
        <v>109.670867919922</v>
      </c>
      <c r="F235" s="45">
        <v>76.126080000000002</v>
      </c>
      <c r="G235" s="9">
        <f>[2]monthly!$D334</f>
        <v>105.79428571428573</v>
      </c>
    </row>
    <row r="236" spans="1:7" ht="15.75" x14ac:dyDescent="0.25">
      <c r="A236" s="27">
        <v>41821</v>
      </c>
      <c r="B236" s="18">
        <f>[7]monthly!$CH335</f>
        <v>130.38999999999999</v>
      </c>
      <c r="C236" s="42">
        <v>70.128439999999998</v>
      </c>
      <c r="D236" s="43">
        <v>62.520829999999997</v>
      </c>
      <c r="E236" s="44">
        <v>105.37176513671901</v>
      </c>
      <c r="F236" s="45">
        <v>75.95308</v>
      </c>
      <c r="G236" s="9">
        <f>[2]monthly!$D335</f>
        <v>103.58863636363635</v>
      </c>
    </row>
    <row r="237" spans="1:7" ht="15.75" x14ac:dyDescent="0.25">
      <c r="A237" s="27">
        <v>41852</v>
      </c>
      <c r="B237" s="18">
        <f>[7]monthly!$CH336</f>
        <v>135.58000000000001</v>
      </c>
      <c r="C237" s="42">
        <v>70.306659999999994</v>
      </c>
      <c r="D237" s="43">
        <v>65.272800000000004</v>
      </c>
      <c r="E237" s="44">
        <v>107.96070861816401</v>
      </c>
      <c r="F237" s="45">
        <v>77.371719999999996</v>
      </c>
      <c r="G237" s="9">
        <f>[2]monthly!$D336</f>
        <v>96.53619047619047</v>
      </c>
    </row>
    <row r="238" spans="1:7" ht="15.75" x14ac:dyDescent="0.25">
      <c r="A238" s="27">
        <v>41883</v>
      </c>
      <c r="B238" s="18">
        <f>[7]monthly!$CH337</f>
        <v>128.57</v>
      </c>
      <c r="C238" s="42">
        <v>70.982489999999999</v>
      </c>
      <c r="D238" s="43">
        <v>67.285650000000004</v>
      </c>
      <c r="E238" s="44">
        <v>112.247917175293</v>
      </c>
      <c r="F238" s="45">
        <v>80.657489999999996</v>
      </c>
      <c r="G238" s="9">
        <f>[2]monthly!$D337</f>
        <v>93.211904761904748</v>
      </c>
    </row>
    <row r="239" spans="1:7" ht="15.75" x14ac:dyDescent="0.25">
      <c r="A239" s="27">
        <v>41913</v>
      </c>
      <c r="B239" s="18">
        <f>[7]monthly!$CH338</f>
        <v>126.16</v>
      </c>
      <c r="C239" s="42">
        <v>71.386470000000003</v>
      </c>
      <c r="D239" s="43">
        <v>68.047550000000001</v>
      </c>
      <c r="E239" s="44">
        <v>110.61058044433599</v>
      </c>
      <c r="F239" s="45">
        <v>79.839190000000002</v>
      </c>
      <c r="G239" s="9">
        <f>[2]monthly!$D338</f>
        <v>84.396956521739114</v>
      </c>
    </row>
    <row r="240" spans="1:7" ht="15.75" x14ac:dyDescent="0.25">
      <c r="A240" s="27">
        <v>41944</v>
      </c>
      <c r="B240" s="18">
        <f>[7]monthly!$CH339</f>
        <v>121.13</v>
      </c>
      <c r="C240" s="42">
        <v>71.692800000000005</v>
      </c>
      <c r="D240" s="43">
        <v>66.845160000000007</v>
      </c>
      <c r="E240" s="44">
        <v>110.67205810546901</v>
      </c>
      <c r="F240" s="45">
        <v>78.898110000000003</v>
      </c>
      <c r="G240" s="9">
        <f>[2]monthly!$D339</f>
        <v>75.954374999999999</v>
      </c>
    </row>
    <row r="241" spans="1:7" ht="15.75" x14ac:dyDescent="0.25">
      <c r="A241" s="27">
        <v>41974</v>
      </c>
      <c r="B241" s="18">
        <f>[7]monthly!$CH340</f>
        <v>121.21</v>
      </c>
      <c r="C241" s="42">
        <v>71.935789999999997</v>
      </c>
      <c r="D241" s="43">
        <v>67.80292</v>
      </c>
      <c r="E241" s="44">
        <v>112.560676574707</v>
      </c>
      <c r="F241" s="45">
        <v>78.557879999999997</v>
      </c>
      <c r="G241" s="9">
        <f>[2]monthly!$D340</f>
        <v>59.290454545454551</v>
      </c>
    </row>
    <row r="242" spans="1:7" ht="15.75" x14ac:dyDescent="0.25">
      <c r="A242" s="27">
        <v>42005</v>
      </c>
      <c r="B242" s="18">
        <f>[7]monthly!$CH341</f>
        <v>124.6</v>
      </c>
      <c r="C242" s="42">
        <v>72.203199999999995</v>
      </c>
      <c r="D242" s="43">
        <v>67.774550000000005</v>
      </c>
      <c r="E242" s="44">
        <v>111.98772430419901</v>
      </c>
      <c r="F242" s="45">
        <v>78.848399999999998</v>
      </c>
      <c r="G242" s="9">
        <f>[2]monthly!$D341</f>
        <v>47.219000000000001</v>
      </c>
    </row>
    <row r="243" spans="1:7" ht="15.75" x14ac:dyDescent="0.25">
      <c r="A243" s="27">
        <v>42036</v>
      </c>
      <c r="B243" s="18">
        <f>[7]monthly!$CH342</f>
        <v>131.87</v>
      </c>
      <c r="C243" s="42">
        <v>72.543469999999999</v>
      </c>
      <c r="D243" s="43">
        <v>67.972849999999994</v>
      </c>
      <c r="E243" s="44">
        <v>112.685745239258</v>
      </c>
      <c r="F243" s="45">
        <v>79.965850000000003</v>
      </c>
      <c r="G243" s="9">
        <f>[2]monthly!$D342</f>
        <v>50.688000000000002</v>
      </c>
    </row>
    <row r="244" spans="1:7" ht="15.75" x14ac:dyDescent="0.25">
      <c r="A244" s="27">
        <v>42064</v>
      </c>
      <c r="B244" s="18">
        <f>[7]monthly!$CH343</f>
        <v>130.1</v>
      </c>
      <c r="C244" s="42">
        <v>72.683400000000006</v>
      </c>
      <c r="D244" s="43">
        <v>69.654039999999995</v>
      </c>
      <c r="E244" s="44">
        <v>111.93374633789099</v>
      </c>
      <c r="F244" s="45">
        <v>79.286209999999997</v>
      </c>
      <c r="G244" s="9">
        <f>[2]monthly!$D343</f>
        <v>47.409090909090907</v>
      </c>
    </row>
    <row r="245" spans="1:7" ht="15.75" x14ac:dyDescent="0.25">
      <c r="A245" s="27">
        <v>42095</v>
      </c>
      <c r="B245" s="18">
        <f>[7]monthly!$CH344</f>
        <v>131.9</v>
      </c>
      <c r="C245" s="42">
        <v>72.757949999999994</v>
      </c>
      <c r="D245" s="43">
        <v>68.912729999999996</v>
      </c>
      <c r="E245" s="44">
        <v>113.60597991943401</v>
      </c>
      <c r="F245" s="45">
        <v>77.808459999999997</v>
      </c>
      <c r="G245" s="9">
        <f>[2]monthly!$D344</f>
        <v>54.452857142857134</v>
      </c>
    </row>
    <row r="246" spans="1:7" ht="15.75" x14ac:dyDescent="0.25">
      <c r="A246" s="27">
        <v>42125</v>
      </c>
      <c r="B246" s="18">
        <f>[7]monthly!$CH345</f>
        <v>129.37</v>
      </c>
      <c r="C246" s="42">
        <v>72.930859999999996</v>
      </c>
      <c r="D246" s="43">
        <v>70.676590000000004</v>
      </c>
      <c r="E246" s="44">
        <v>113.217803955078</v>
      </c>
      <c r="F246" s="45">
        <v>77.336250000000007</v>
      </c>
      <c r="G246" s="9">
        <f>[2]monthly!$D345</f>
        <v>59.24666666666667</v>
      </c>
    </row>
    <row r="247" spans="1:7" ht="15.75" x14ac:dyDescent="0.25">
      <c r="A247" s="27">
        <v>42156</v>
      </c>
      <c r="B247" s="18">
        <f>[7]monthly!$CH346</f>
        <v>130.49</v>
      </c>
      <c r="C247" s="42">
        <v>73.281090000000006</v>
      </c>
      <c r="D247" s="43">
        <v>70.534700000000001</v>
      </c>
      <c r="E247" s="44">
        <v>115.10524749755901</v>
      </c>
      <c r="F247" s="45">
        <v>79.9666</v>
      </c>
      <c r="G247" s="9">
        <f>[2]monthly!$D346</f>
        <v>59.819545454545441</v>
      </c>
    </row>
    <row r="248" spans="1:7" ht="15.75" x14ac:dyDescent="0.25">
      <c r="A248" s="27">
        <v>42186</v>
      </c>
      <c r="B248" s="18">
        <f>[7]monthly!$CH347</f>
        <v>128.61000000000001</v>
      </c>
      <c r="C248" s="42">
        <v>73.555580000000006</v>
      </c>
      <c r="D248" s="43">
        <v>70.477969999999999</v>
      </c>
      <c r="E248" s="44">
        <v>114.232711791992</v>
      </c>
      <c r="F248" s="45">
        <v>77.0411</v>
      </c>
      <c r="G248" s="9">
        <f>[2]monthly!$D347</f>
        <v>50.900909090909089</v>
      </c>
    </row>
    <row r="249" spans="1:7" ht="15.75" x14ac:dyDescent="0.25">
      <c r="A249" s="27">
        <v>42217</v>
      </c>
      <c r="B249" s="18">
        <f>[7]monthly!$CH348</f>
        <v>130.11000000000001</v>
      </c>
      <c r="C249" s="42">
        <v>74.019059999999996</v>
      </c>
      <c r="D249" s="43">
        <v>71.881399999999999</v>
      </c>
      <c r="E249" s="44">
        <v>117.515815734863</v>
      </c>
      <c r="F249" s="45">
        <v>79.412779999999998</v>
      </c>
      <c r="G249" s="9">
        <f>[2]monthly!$D348</f>
        <v>42.867619047619051</v>
      </c>
    </row>
    <row r="250" spans="1:7" ht="15.75" x14ac:dyDescent="0.25">
      <c r="A250" s="27">
        <v>42248</v>
      </c>
      <c r="B250" s="18">
        <f>[7]monthly!$CH349</f>
        <v>131.44999999999999</v>
      </c>
      <c r="C250" s="42">
        <v>74.236429999999999</v>
      </c>
      <c r="D250" s="43">
        <v>72.97842</v>
      </c>
      <c r="E250" s="44">
        <v>116.435737609863</v>
      </c>
      <c r="F250" s="45">
        <v>78.009150000000005</v>
      </c>
      <c r="G250" s="9">
        <f>[2]monthly!$D349</f>
        <v>45.479523809523805</v>
      </c>
    </row>
    <row r="251" spans="1:7" ht="15.75" x14ac:dyDescent="0.25">
      <c r="A251" s="27">
        <v>42278</v>
      </c>
      <c r="B251" s="18">
        <f>[7]monthly!$CH350</f>
        <v>129.47999999999999</v>
      </c>
      <c r="C251" s="42">
        <v>74.44462</v>
      </c>
      <c r="D251" s="43">
        <v>72.295050000000003</v>
      </c>
      <c r="E251" s="44">
        <v>116.760543823242</v>
      </c>
      <c r="F251" s="45">
        <v>76.865870000000001</v>
      </c>
      <c r="G251" s="9">
        <f>[2]monthly!$D350</f>
        <v>46.223636363636359</v>
      </c>
    </row>
    <row r="252" spans="1:7" ht="15.75" x14ac:dyDescent="0.25">
      <c r="A252" s="27">
        <v>42309</v>
      </c>
      <c r="B252" s="18">
        <f>[7]monthly!$CH351</f>
        <v>128.25</v>
      </c>
      <c r="C252" s="42">
        <v>74.849540000000005</v>
      </c>
      <c r="D252" s="43">
        <v>73.975750000000005</v>
      </c>
      <c r="E252" s="44">
        <v>118.41820526123</v>
      </c>
      <c r="F252" s="45">
        <v>83.505229999999997</v>
      </c>
      <c r="G252" s="9">
        <f>[2]monthly!$D351</f>
        <v>42.385238095238094</v>
      </c>
    </row>
    <row r="253" spans="1:7" ht="15.75" x14ac:dyDescent="0.25">
      <c r="A253" s="27">
        <v>42339</v>
      </c>
      <c r="B253" s="18">
        <f>[7]monthly!$CH352</f>
        <v>133.80000000000001</v>
      </c>
      <c r="C253" s="42">
        <v>75.106890000000007</v>
      </c>
      <c r="D253" s="43">
        <v>74.173810000000003</v>
      </c>
      <c r="E253" s="44">
        <v>118.233589172363</v>
      </c>
      <c r="F253" s="45">
        <v>80.293729999999996</v>
      </c>
      <c r="G253" s="9">
        <f>[2]monthly!$D352</f>
        <v>37.188636363636363</v>
      </c>
    </row>
    <row r="254" spans="1:7" ht="15.75" x14ac:dyDescent="0.25">
      <c r="A254" s="27">
        <v>42370</v>
      </c>
      <c r="B254" s="18">
        <f>[7]monthly!$CH353</f>
        <v>128.76</v>
      </c>
      <c r="C254" s="42">
        <v>75.370320000000007</v>
      </c>
      <c r="D254" s="43">
        <v>74.738299999999995</v>
      </c>
      <c r="E254" s="44">
        <v>119.10186767578099</v>
      </c>
      <c r="F254" s="45">
        <v>78.848420000000004</v>
      </c>
      <c r="G254" s="9">
        <f>[2]monthly!$D353</f>
        <v>31.571500000000004</v>
      </c>
    </row>
    <row r="255" spans="1:7" ht="15.75" x14ac:dyDescent="0.25">
      <c r="A255" s="27">
        <v>42401</v>
      </c>
      <c r="B255" s="18">
        <f>[7]monthly!$CH354</f>
        <v>128.59</v>
      </c>
      <c r="C255" s="42">
        <v>75.540760000000006</v>
      </c>
      <c r="D255" s="43">
        <v>74.766620000000003</v>
      </c>
      <c r="E255" s="44">
        <v>117.90803527832</v>
      </c>
      <c r="F255" s="45">
        <v>78.426280000000006</v>
      </c>
      <c r="G255" s="9">
        <f>[2]monthly!$D354</f>
        <v>30.323</v>
      </c>
    </row>
    <row r="256" spans="1:7" ht="15.75" x14ac:dyDescent="0.25">
      <c r="A256" s="27">
        <v>42430</v>
      </c>
      <c r="B256" s="18">
        <f>[7]monthly!$CH355</f>
        <v>131.1</v>
      </c>
      <c r="C256" s="42">
        <v>75.973820000000003</v>
      </c>
      <c r="D256" s="43">
        <v>76.364329999999995</v>
      </c>
      <c r="E256" s="44">
        <v>120.860054016113</v>
      </c>
      <c r="F256" s="45">
        <v>80.337919999999997</v>
      </c>
      <c r="G256" s="9">
        <f>[2]monthly!$D355</f>
        <v>37.546363636363637</v>
      </c>
    </row>
    <row r="257" spans="1:7" ht="15.75" x14ac:dyDescent="0.25">
      <c r="A257" s="27">
        <v>42461</v>
      </c>
      <c r="B257" s="18">
        <f>[7]monthly!$CH356</f>
        <v>134.62</v>
      </c>
      <c r="C257" s="42">
        <v>76.149140000000003</v>
      </c>
      <c r="D257" s="43">
        <v>76.50582</v>
      </c>
      <c r="E257" s="44">
        <v>120.56307983398401</v>
      </c>
      <c r="F257" s="45">
        <v>79.281909999999996</v>
      </c>
      <c r="G257" s="9">
        <f>[2]monthly!$D356</f>
        <v>40.755238095238084</v>
      </c>
    </row>
    <row r="258" spans="1:7" ht="15.75" x14ac:dyDescent="0.25">
      <c r="A258" s="27">
        <v>42491</v>
      </c>
      <c r="B258" s="18">
        <f>[7]monthly!$CH357</f>
        <v>132.86000000000001</v>
      </c>
      <c r="C258" s="42">
        <v>76.490690000000001</v>
      </c>
      <c r="D258" s="43">
        <v>76.022769999999994</v>
      </c>
      <c r="E258" s="44">
        <v>121.082023620605</v>
      </c>
      <c r="F258" s="45">
        <v>80.64913</v>
      </c>
      <c r="G258" s="9">
        <f>[2]monthly!$D357</f>
        <v>46.712380952380947</v>
      </c>
    </row>
    <row r="259" spans="1:7" ht="15.75" x14ac:dyDescent="0.25">
      <c r="A259" s="27">
        <v>42522</v>
      </c>
      <c r="B259" s="18">
        <f>[7]monthly!$CH358</f>
        <v>131.93</v>
      </c>
      <c r="C259" s="42">
        <v>76.868089999999995</v>
      </c>
      <c r="D259" s="43">
        <v>77.648089999999996</v>
      </c>
      <c r="E259" s="44">
        <v>122.871055603027</v>
      </c>
      <c r="F259" s="45">
        <v>80.267930000000007</v>
      </c>
      <c r="G259" s="9">
        <f>[2]monthly!$D358</f>
        <v>48.757272727272721</v>
      </c>
    </row>
    <row r="260" spans="1:7" ht="15.75" x14ac:dyDescent="0.25">
      <c r="A260" s="27">
        <v>42552</v>
      </c>
      <c r="B260" s="18">
        <f>[7]monthly!$CH359</f>
        <v>132.13999999999999</v>
      </c>
      <c r="C260" s="42">
        <v>77.094239999999999</v>
      </c>
      <c r="D260" s="43">
        <v>78.240499999999997</v>
      </c>
      <c r="E260" s="44">
        <v>122.46963500976599</v>
      </c>
      <c r="F260" s="45">
        <v>78.867360000000005</v>
      </c>
      <c r="G260" s="9">
        <f>[2]monthly!$D359</f>
        <v>44.651499999999999</v>
      </c>
    </row>
    <row r="261" spans="1:7" ht="15.75" x14ac:dyDescent="0.25">
      <c r="A261" s="27">
        <v>42583</v>
      </c>
      <c r="B261" s="18">
        <f>[7]monthly!$CH360</f>
        <v>133.56</v>
      </c>
      <c r="C261" s="42">
        <v>77.033580000000001</v>
      </c>
      <c r="D261" s="43">
        <v>77.271739999999994</v>
      </c>
      <c r="E261" s="44">
        <v>120.157470703125</v>
      </c>
      <c r="F261" s="45">
        <v>78.706869999999995</v>
      </c>
      <c r="G261" s="9">
        <f>[2]monthly!$D360</f>
        <v>44.724347826086962</v>
      </c>
    </row>
    <row r="262" spans="1:7" ht="15.75" x14ac:dyDescent="0.25">
      <c r="A262" s="27">
        <v>42614</v>
      </c>
      <c r="B262" s="18">
        <f>[7]monthly!$CH361</f>
        <v>130.52000000000001</v>
      </c>
      <c r="C262" s="42">
        <v>77.357150000000004</v>
      </c>
      <c r="D262" s="43">
        <v>77.751609999999999</v>
      </c>
      <c r="E262" s="44">
        <v>124.12086486816401</v>
      </c>
      <c r="F262" s="45">
        <v>78.563379999999995</v>
      </c>
      <c r="G262" s="9">
        <f>[2]monthly!$D361</f>
        <v>45.146363636363645</v>
      </c>
    </row>
    <row r="263" spans="1:7" ht="15.75" x14ac:dyDescent="0.25">
      <c r="A263" s="27">
        <v>42644</v>
      </c>
      <c r="B263" s="18">
        <f>[7]monthly!$CH362</f>
        <v>135.22</v>
      </c>
      <c r="C263" s="42">
        <v>77.342460000000003</v>
      </c>
      <c r="D263" s="43">
        <v>77.411090000000002</v>
      </c>
      <c r="E263" s="44">
        <v>121.687660217285</v>
      </c>
      <c r="F263" s="45">
        <v>76.843890000000002</v>
      </c>
      <c r="G263" s="9">
        <f>[2]monthly!$D362</f>
        <v>49.775238095238095</v>
      </c>
    </row>
    <row r="264" spans="1:7" ht="15.75" x14ac:dyDescent="0.25">
      <c r="A264" s="27">
        <v>42675</v>
      </c>
      <c r="B264" s="18">
        <f>[7]monthly!$CH363</f>
        <v>136.13</v>
      </c>
      <c r="C264" s="42">
        <v>77.700500000000005</v>
      </c>
      <c r="D264" s="43">
        <v>79.506050000000002</v>
      </c>
      <c r="E264" s="44">
        <v>122.574668884277</v>
      </c>
      <c r="F264" s="45">
        <v>79.917529999999999</v>
      </c>
      <c r="G264" s="9">
        <f>[2]monthly!$D363</f>
        <v>45.709090909090911</v>
      </c>
    </row>
    <row r="265" spans="1:7" ht="15.75" x14ac:dyDescent="0.25">
      <c r="A265" s="27">
        <v>42705</v>
      </c>
      <c r="B265" s="18">
        <f>[7]monthly!$CH364</f>
        <v>134.30000000000001</v>
      </c>
      <c r="C265" s="42">
        <v>77.973269999999999</v>
      </c>
      <c r="D265" s="43">
        <v>79.901319999999998</v>
      </c>
      <c r="E265" s="44">
        <v>123.86867523193401</v>
      </c>
      <c r="F265" s="45">
        <v>80.333259999999996</v>
      </c>
      <c r="G265" s="9">
        <f>[2]monthly!$D364</f>
        <v>51.970476190476198</v>
      </c>
    </row>
    <row r="266" spans="1:7" ht="15.75" x14ac:dyDescent="0.25">
      <c r="A266" s="27">
        <v>42736</v>
      </c>
      <c r="B266" s="18">
        <f>[7]monthly!$CH365</f>
        <v>133.18</v>
      </c>
      <c r="C266" s="42">
        <v>78.151430000000005</v>
      </c>
      <c r="D266" s="43">
        <v>80.66189</v>
      </c>
      <c r="E266" s="44">
        <v>123.802291870117</v>
      </c>
      <c r="F266" s="45">
        <v>80.178049999999999</v>
      </c>
      <c r="G266" s="9">
        <f>[2]monthly!$D365</f>
        <v>52.508500000000005</v>
      </c>
    </row>
    <row r="267" spans="1:7" ht="15.75" x14ac:dyDescent="0.25">
      <c r="A267" s="27">
        <v>42767</v>
      </c>
      <c r="B267" s="18">
        <f>[7]monthly!$CH366</f>
        <v>135.66</v>
      </c>
      <c r="C267" s="42">
        <v>78.258369999999999</v>
      </c>
      <c r="D267" s="43">
        <v>81.282160000000005</v>
      </c>
      <c r="E267" s="44">
        <v>125.135795593262</v>
      </c>
      <c r="F267" s="45">
        <v>77.521919999999994</v>
      </c>
      <c r="G267" s="9">
        <f>[2]monthly!$D366</f>
        <v>53.46842105263157</v>
      </c>
    </row>
    <row r="268" spans="1:7" ht="15.75" x14ac:dyDescent="0.25">
      <c r="A268" s="27">
        <v>42795</v>
      </c>
      <c r="B268" s="18">
        <f>[7]monthly!$CH367</f>
        <v>136.9</v>
      </c>
      <c r="C268" s="42">
        <v>78.816990000000004</v>
      </c>
      <c r="D268" s="43">
        <v>81.818110000000004</v>
      </c>
      <c r="E268" s="44">
        <v>126.058395385742</v>
      </c>
      <c r="F268" s="45">
        <v>81.568979999999996</v>
      </c>
      <c r="G268" s="9">
        <f>[2]monthly!$D367</f>
        <v>49.327826086956513</v>
      </c>
    </row>
    <row r="269" spans="1:7" ht="15.75" x14ac:dyDescent="0.25">
      <c r="A269" s="27">
        <v>42826</v>
      </c>
      <c r="B269" s="18">
        <f>[7]monthly!$CH368</f>
        <v>136.32</v>
      </c>
      <c r="C269" s="42">
        <v>79.205839999999995</v>
      </c>
      <c r="D269" s="43">
        <v>83.24888</v>
      </c>
      <c r="E269" s="44">
        <v>127.20168304443401</v>
      </c>
      <c r="F269" s="45">
        <v>82.133449999999996</v>
      </c>
      <c r="G269" s="9">
        <f>[2]monthly!$D368</f>
        <v>51.060526315789481</v>
      </c>
    </row>
    <row r="270" spans="1:7" ht="15.75" x14ac:dyDescent="0.25">
      <c r="A270" s="27">
        <v>42856</v>
      </c>
      <c r="B270" s="18">
        <f>[7]monthly!$CH369</f>
        <v>138.87</v>
      </c>
      <c r="C270" s="42">
        <v>79.425870000000003</v>
      </c>
      <c r="D270" s="43">
        <v>81.302120000000002</v>
      </c>
      <c r="E270" s="44">
        <v>126.01088714599599</v>
      </c>
      <c r="F270" s="45">
        <v>80.650180000000006</v>
      </c>
      <c r="G270" s="9">
        <f>[2]monthly!$D369</f>
        <v>48.476363636363637</v>
      </c>
    </row>
    <row r="271" spans="1:7" ht="15.75" x14ac:dyDescent="0.25">
      <c r="A271" s="27">
        <v>42887</v>
      </c>
      <c r="B271" s="18">
        <f>[7]monthly!$CH370</f>
        <v>137.15</v>
      </c>
      <c r="C271" s="42">
        <v>79.67389</v>
      </c>
      <c r="D271" s="43">
        <v>84.137559999999993</v>
      </c>
      <c r="E271" s="44">
        <v>127.44540405273401</v>
      </c>
      <c r="F271" s="45">
        <v>80.896519999999995</v>
      </c>
      <c r="G271" s="9">
        <f>[2]monthly!$D370</f>
        <v>45.177727272727275</v>
      </c>
    </row>
    <row r="272" spans="1:7" ht="15.75" x14ac:dyDescent="0.25">
      <c r="A272" s="27">
        <v>42917</v>
      </c>
      <c r="B272" s="18">
        <f>[7]monthly!$CH371</f>
        <v>138.47999999999999</v>
      </c>
      <c r="C272" s="42">
        <v>79.741209999999995</v>
      </c>
      <c r="D272" s="43">
        <v>84.137559999999993</v>
      </c>
      <c r="E272" s="44">
        <v>128.28048706054699</v>
      </c>
      <c r="F272" s="45">
        <v>80.871120000000005</v>
      </c>
      <c r="G272" s="9">
        <f>[2]monthly!$D371</f>
        <v>46.600000000000009</v>
      </c>
    </row>
    <row r="273" spans="1:7" ht="15.75" x14ac:dyDescent="0.25">
      <c r="A273" s="27">
        <v>42948</v>
      </c>
      <c r="B273" s="18">
        <f>[7]monthly!$CH372</f>
        <v>138.29</v>
      </c>
      <c r="C273" s="42">
        <v>80.069810000000004</v>
      </c>
      <c r="D273" s="43">
        <v>84.869439999999997</v>
      </c>
      <c r="E273" s="44">
        <v>129.87899780273401</v>
      </c>
      <c r="F273" s="45">
        <v>78.45729</v>
      </c>
      <c r="G273" s="9">
        <f>[2]monthly!$D372</f>
        <v>48.036956521739135</v>
      </c>
    </row>
    <row r="274" spans="1:7" ht="15.75" x14ac:dyDescent="0.25">
      <c r="A274" s="27">
        <v>42979</v>
      </c>
      <c r="B274" s="18">
        <f>[7]monthly!$CH373</f>
        <v>137.53</v>
      </c>
      <c r="C274" s="42">
        <v>80.183809999999994</v>
      </c>
      <c r="D274" s="43">
        <v>85.123500000000007</v>
      </c>
      <c r="E274" s="44">
        <v>127.949020385742</v>
      </c>
      <c r="F274" s="45">
        <v>80.081569999999999</v>
      </c>
      <c r="G274" s="9">
        <f>[2]monthly!$D373</f>
        <v>49.822000000000003</v>
      </c>
    </row>
    <row r="275" spans="1:7" ht="15.75" x14ac:dyDescent="0.25">
      <c r="A275" s="27">
        <v>43009</v>
      </c>
      <c r="B275" s="18">
        <f>[7]monthly!$CH374</f>
        <v>137.9</v>
      </c>
      <c r="C275" s="42">
        <v>80.643020000000007</v>
      </c>
      <c r="D275" s="43">
        <v>86.803070000000005</v>
      </c>
      <c r="E275" s="44">
        <v>131.76295471191401</v>
      </c>
      <c r="F275" s="45">
        <v>81.060010000000005</v>
      </c>
      <c r="G275" s="9">
        <f>[2]monthly!$D374</f>
        <v>51.577727272727266</v>
      </c>
    </row>
    <row r="276" spans="1:7" ht="15.75" x14ac:dyDescent="0.25">
      <c r="A276" s="27">
        <v>43040</v>
      </c>
      <c r="B276" s="18">
        <f>[7]monthly!$CH375</f>
        <v>139.35</v>
      </c>
      <c r="C276" s="42">
        <v>81.002200000000002</v>
      </c>
      <c r="D276" s="43">
        <v>86.774799999999999</v>
      </c>
      <c r="E276" s="44">
        <v>132.14155578613301</v>
      </c>
      <c r="F276" s="45">
        <v>82.310779999999994</v>
      </c>
      <c r="G276" s="9">
        <f>[2]monthly!$D375</f>
        <v>56.638571428571431</v>
      </c>
    </row>
    <row r="277" spans="1:7" ht="15.75" x14ac:dyDescent="0.25">
      <c r="A277" s="27">
        <v>43070</v>
      </c>
      <c r="B277" s="18">
        <f>[7]monthly!$CH376</f>
        <v>139.04</v>
      </c>
      <c r="C277" s="42">
        <v>81.207009999999997</v>
      </c>
      <c r="D277" s="43">
        <v>86.661659999999998</v>
      </c>
      <c r="E277" s="44">
        <v>131.537521362305</v>
      </c>
      <c r="F277" s="45">
        <v>82.188999999999993</v>
      </c>
      <c r="G277" s="9">
        <f>[2]monthly!$D376</f>
        <v>57.881499999999996</v>
      </c>
    </row>
    <row r="278" spans="1:7" ht="15.75" x14ac:dyDescent="0.25">
      <c r="A278" s="27">
        <v>43101</v>
      </c>
      <c r="B278" s="18">
        <f>[7]monthly!$CH377</f>
        <v>138.02000000000001</v>
      </c>
      <c r="C278" s="42">
        <v>81.538629999999998</v>
      </c>
      <c r="D278" s="43">
        <v>87.840739999999997</v>
      </c>
      <c r="E278" s="44">
        <v>131.91114807128901</v>
      </c>
      <c r="F278" s="45">
        <v>84.605029999999999</v>
      </c>
      <c r="G278" s="9">
        <f>[2]monthly!$D377</f>
        <v>63.698571428571434</v>
      </c>
    </row>
    <row r="279" spans="1:7" ht="15.75" x14ac:dyDescent="0.25">
      <c r="A279" s="27">
        <v>43132</v>
      </c>
      <c r="B279" s="18">
        <f>[7]monthly!$CH378</f>
        <v>139.83000000000001</v>
      </c>
      <c r="C279" s="42">
        <v>81.854579999999999</v>
      </c>
      <c r="D279" s="43">
        <v>89.631200000000007</v>
      </c>
      <c r="E279" s="44">
        <v>131.85240173339801</v>
      </c>
      <c r="F279" s="45">
        <v>82.288340000000005</v>
      </c>
      <c r="G279" s="9">
        <f>[2]monthly!$D378</f>
        <v>62.229473684210532</v>
      </c>
    </row>
    <row r="280" spans="1:7" ht="15.75" x14ac:dyDescent="0.25">
      <c r="A280" s="27">
        <v>43160</v>
      </c>
      <c r="B280" s="18">
        <f>[7]monthly!$CH379</f>
        <v>142.74</v>
      </c>
      <c r="C280" s="42">
        <v>82.060910000000007</v>
      </c>
      <c r="D280" s="43">
        <v>89.234719999999996</v>
      </c>
      <c r="E280" s="44">
        <v>133.40657043457</v>
      </c>
      <c r="F280" s="45">
        <v>81.75806</v>
      </c>
      <c r="G280" s="9">
        <f>[2]monthly!$D379</f>
        <v>62.724761904761898</v>
      </c>
    </row>
    <row r="281" spans="1:7" ht="15.75" x14ac:dyDescent="0.25">
      <c r="A281" s="27">
        <v>43191</v>
      </c>
      <c r="B281" s="18">
        <f>[7]monthly!$CH380</f>
        <v>141.91</v>
      </c>
      <c r="C281" s="42">
        <v>82.224450000000004</v>
      </c>
      <c r="D281" s="43">
        <v>86.974040000000002</v>
      </c>
      <c r="E281" s="44">
        <v>131.150955200195</v>
      </c>
      <c r="F281" s="45">
        <v>82.582260000000005</v>
      </c>
      <c r="G281" s="9">
        <f>[2]monthly!$D380</f>
        <v>66.253809523809522</v>
      </c>
    </row>
    <row r="282" spans="1:7" ht="15.75" x14ac:dyDescent="0.25">
      <c r="A282" s="27">
        <v>43221</v>
      </c>
      <c r="B282" s="18">
        <f>[7]monthly!$CH381</f>
        <v>143.1</v>
      </c>
      <c r="C282" s="42">
        <v>82.446119999999993</v>
      </c>
      <c r="D282" s="43">
        <v>90.027050000000003</v>
      </c>
      <c r="E282" s="44">
        <v>134.15217590332</v>
      </c>
      <c r="F282" s="45">
        <v>82.262659999999997</v>
      </c>
      <c r="G282" s="9">
        <f>[2]monthly!$D381</f>
        <v>69.97818181818181</v>
      </c>
    </row>
    <row r="283" spans="1:7" ht="15.75" x14ac:dyDescent="0.25">
      <c r="A283" s="27">
        <v>43252</v>
      </c>
      <c r="B283" s="18">
        <f>[7]monthly!$CH382</f>
        <v>143.35</v>
      </c>
      <c r="C283" s="42">
        <v>82.455290000000005</v>
      </c>
      <c r="D283" s="43">
        <v>88.633020000000002</v>
      </c>
      <c r="E283" s="44">
        <v>130.96813964843801</v>
      </c>
      <c r="F283" s="45">
        <v>81.938779999999994</v>
      </c>
      <c r="G283" s="9">
        <f>[2]monthly!$D382</f>
        <v>67.873333333333335</v>
      </c>
    </row>
    <row r="284" spans="1:7" ht="15.75" x14ac:dyDescent="0.25">
      <c r="A284" s="27">
        <v>43282</v>
      </c>
      <c r="B284" s="18">
        <f>[7]monthly!$CH383</f>
        <v>141.41999999999999</v>
      </c>
      <c r="C284" s="42">
        <v>82.803420000000003</v>
      </c>
      <c r="D284" s="43">
        <v>89.447850000000003</v>
      </c>
      <c r="E284" s="44">
        <v>135.18426513671901</v>
      </c>
      <c r="F284" s="45">
        <v>83.85539</v>
      </c>
      <c r="G284" s="9">
        <f>[2]monthly!$D383</f>
        <v>70.98142857142858</v>
      </c>
    </row>
    <row r="285" spans="1:7" ht="15.75" x14ac:dyDescent="0.25">
      <c r="A285" s="27">
        <v>43313</v>
      </c>
      <c r="B285" s="18">
        <f>[7]monthly!$CH384</f>
        <v>142.04</v>
      </c>
      <c r="C285" s="42">
        <v>83.125439999999998</v>
      </c>
      <c r="D285" s="43">
        <v>91.402150000000006</v>
      </c>
      <c r="E285" s="44">
        <v>135.08528137207</v>
      </c>
      <c r="F285" s="45">
        <v>85.512960000000007</v>
      </c>
      <c r="G285" s="9">
        <f>[2]monthly!$D384</f>
        <v>68.055652173913046</v>
      </c>
    </row>
    <row r="286" spans="1:7" ht="15.75" x14ac:dyDescent="0.25">
      <c r="A286" s="27">
        <v>43344</v>
      </c>
      <c r="B286" s="18">
        <f>[7]monthly!$CH385</f>
        <v>142.52000000000001</v>
      </c>
      <c r="C286" s="42">
        <v>83.09308</v>
      </c>
      <c r="D286" s="43">
        <v>90.494649999999993</v>
      </c>
      <c r="E286" s="44">
        <v>134.88764953613301</v>
      </c>
      <c r="F286" s="45">
        <v>82.502219999999994</v>
      </c>
      <c r="G286" s="9">
        <f>[2]monthly!$D385</f>
        <v>70.232105263157905</v>
      </c>
    </row>
    <row r="287" spans="1:7" ht="15.75" x14ac:dyDescent="0.25">
      <c r="A287" s="27">
        <v>43374</v>
      </c>
      <c r="B287" s="18">
        <f>[7]monthly!$CH386</f>
        <v>142.34</v>
      </c>
      <c r="C287" s="42">
        <v>83.292879999999997</v>
      </c>
      <c r="D287" s="43">
        <v>92.061210000000003</v>
      </c>
      <c r="E287" s="44">
        <v>133.77841186523401</v>
      </c>
      <c r="F287" s="45">
        <v>81.625190000000003</v>
      </c>
      <c r="G287" s="9">
        <f>[2]monthly!$D386</f>
        <v>70.748695652173907</v>
      </c>
    </row>
    <row r="288" spans="1:7" ht="15.75" x14ac:dyDescent="0.25">
      <c r="A288" s="27">
        <v>43405</v>
      </c>
      <c r="B288" s="18">
        <f>[7]monthly!$CH387</f>
        <v>140.34</v>
      </c>
      <c r="C288" s="42">
        <v>83.416820000000001</v>
      </c>
      <c r="D288" s="43">
        <v>93.322149999999993</v>
      </c>
      <c r="E288" s="44">
        <v>135.02938842773401</v>
      </c>
      <c r="F288" s="45">
        <v>80.977639999999994</v>
      </c>
      <c r="G288" s="9">
        <f>[2]monthly!$D387</f>
        <v>56.963499999999996</v>
      </c>
    </row>
    <row r="289" spans="1:7" ht="15.75" x14ac:dyDescent="0.25">
      <c r="A289" s="27">
        <v>43435</v>
      </c>
      <c r="B289" s="18">
        <f>[7]monthly!$CH388</f>
        <v>139.38</v>
      </c>
      <c r="C289" s="42">
        <v>83.605040000000002</v>
      </c>
      <c r="D289" s="43">
        <v>92.043940000000006</v>
      </c>
      <c r="E289" s="44">
        <v>135.11767578125</v>
      </c>
      <c r="F289" s="45">
        <v>81.763400000000004</v>
      </c>
      <c r="G289" s="9">
        <f>[2]monthly!$D388</f>
        <v>49.108499999999999</v>
      </c>
    </row>
    <row r="290" spans="1:7" ht="15.75" x14ac:dyDescent="0.25">
      <c r="A290" s="27">
        <v>43466</v>
      </c>
      <c r="B290" s="18">
        <f>[7]monthly!$CH389</f>
        <v>139.11000000000001</v>
      </c>
      <c r="C290" s="42">
        <v>83.943060000000003</v>
      </c>
      <c r="D290" s="43">
        <v>93.109669999999994</v>
      </c>
      <c r="E290" s="44">
        <v>135.92614746093801</v>
      </c>
      <c r="F290" s="45">
        <v>83.345910000000003</v>
      </c>
      <c r="G290" s="9">
        <f>[2]monthly!$D389</f>
        <v>51.396363636363638</v>
      </c>
    </row>
    <row r="291" spans="1:7" ht="15.75" x14ac:dyDescent="0.25">
      <c r="A291" s="27">
        <v>43497</v>
      </c>
      <c r="B291" s="18">
        <f>[7]monthly!$CH390</f>
        <v>141.37</v>
      </c>
      <c r="C291" s="42">
        <v>84.292280000000005</v>
      </c>
      <c r="D291" s="43">
        <v>94.203270000000003</v>
      </c>
      <c r="E291" s="44">
        <v>137.78173828125</v>
      </c>
      <c r="F291" s="45">
        <v>83.661180000000002</v>
      </c>
      <c r="G291" s="9">
        <f>[2]monthly!$D390</f>
        <v>54.95473684210527</v>
      </c>
    </row>
    <row r="292" spans="1:7" ht="15.75" x14ac:dyDescent="0.25">
      <c r="A292" s="27">
        <v>43525</v>
      </c>
      <c r="B292" s="18">
        <f>[7]monthly!$CH391</f>
        <v>141.41</v>
      </c>
      <c r="C292" s="42">
        <v>84.748999999999995</v>
      </c>
      <c r="D292" s="43">
        <v>94.03389</v>
      </c>
      <c r="E292" s="44">
        <v>136.12467956543</v>
      </c>
      <c r="F292" s="45">
        <v>84.457989999999995</v>
      </c>
      <c r="G292" s="9">
        <f>[2]monthly!$D391</f>
        <v>58.151428571428575</v>
      </c>
    </row>
    <row r="293" spans="1:7" ht="15.75" x14ac:dyDescent="0.25">
      <c r="A293" s="27">
        <v>43556</v>
      </c>
      <c r="B293" s="18">
        <f>[7]monthly!$CH392</f>
        <v>142.12</v>
      </c>
      <c r="C293" s="42">
        <v>84.920969999999997</v>
      </c>
      <c r="D293" s="43">
        <v>95.738820000000004</v>
      </c>
      <c r="E293" s="44">
        <v>140.99234008789099</v>
      </c>
      <c r="F293" s="45">
        <v>85.357910000000004</v>
      </c>
      <c r="G293" s="9">
        <f>[2]monthly!$D392</f>
        <v>63.862380952380946</v>
      </c>
    </row>
    <row r="294" spans="1:7" ht="15.75" x14ac:dyDescent="0.25">
      <c r="A294" s="27">
        <v>43586</v>
      </c>
      <c r="B294" s="18">
        <f>[7]monthly!$CH393</f>
        <v>142.49</v>
      </c>
      <c r="C294" s="42">
        <v>84.966629999999995</v>
      </c>
      <c r="D294" s="43">
        <v>95.314880000000002</v>
      </c>
      <c r="E294" s="44">
        <v>138.83555603027301</v>
      </c>
      <c r="F294" s="45">
        <v>84.368399999999994</v>
      </c>
      <c r="G294" s="9">
        <f>[2]monthly!$D393</f>
        <v>60.826818181818183</v>
      </c>
    </row>
    <row r="295" spans="1:7" ht="15.75" x14ac:dyDescent="0.25">
      <c r="A295" s="27">
        <v>43617</v>
      </c>
      <c r="B295" s="18">
        <f>[7]monthly!$CH394</f>
        <v>139.69999999999999</v>
      </c>
      <c r="C295" s="42">
        <v>85.324079999999995</v>
      </c>
      <c r="D295" s="43">
        <v>96.519819999999996</v>
      </c>
      <c r="E295" s="44">
        <v>139.89115905761699</v>
      </c>
      <c r="F295" s="45">
        <v>83.073179999999994</v>
      </c>
      <c r="G295" s="9">
        <f>[2]monthly!$D394</f>
        <v>54.657500000000006</v>
      </c>
    </row>
    <row r="296" spans="1:7" ht="15.75" x14ac:dyDescent="0.25">
      <c r="A296" s="27">
        <v>43647</v>
      </c>
      <c r="B296" s="18">
        <f>[7]monthly!$CH395</f>
        <v>139.21</v>
      </c>
      <c r="C296" s="42">
        <v>85.529089999999997</v>
      </c>
      <c r="D296" s="43">
        <v>98.335459999999998</v>
      </c>
      <c r="E296" s="44">
        <v>139.40087890625</v>
      </c>
      <c r="F296" s="45">
        <v>86.224509999999995</v>
      </c>
      <c r="G296" s="9">
        <f>[2]monthly!$D395</f>
        <v>57.358095238095224</v>
      </c>
    </row>
    <row r="297" spans="1:7" ht="15.75" x14ac:dyDescent="0.25">
      <c r="A297" s="27">
        <v>43678</v>
      </c>
      <c r="B297" s="18">
        <f>[7]monthly!$CH396</f>
        <v>142.15</v>
      </c>
      <c r="C297" s="42">
        <v>85.468230000000005</v>
      </c>
      <c r="D297" s="43">
        <v>97.029989999999998</v>
      </c>
      <c r="E297" s="44">
        <v>135.93348693847699</v>
      </c>
      <c r="F297" s="45">
        <v>84.461240000000004</v>
      </c>
      <c r="G297" s="9">
        <f>[2]monthly!$D396</f>
        <v>54.80590909090909</v>
      </c>
    </row>
    <row r="298" spans="1:7" ht="15.75" x14ac:dyDescent="0.25">
      <c r="A298" s="27">
        <v>43709</v>
      </c>
      <c r="B298" s="18">
        <f>[7]monthly!$CH397</f>
        <v>141.62</v>
      </c>
      <c r="C298" s="42">
        <v>85.774619999999999</v>
      </c>
      <c r="D298" s="43">
        <v>99.341989999999996</v>
      </c>
      <c r="E298" s="44">
        <v>139.32377624511699</v>
      </c>
      <c r="F298" s="45">
        <v>85.112099999999998</v>
      </c>
      <c r="G298" s="9">
        <f>[2]monthly!$D397</f>
        <v>56.946999999999989</v>
      </c>
    </row>
    <row r="299" spans="1:7" ht="15.75" x14ac:dyDescent="0.25">
      <c r="A299" s="27">
        <v>43739</v>
      </c>
      <c r="B299" s="18">
        <f>[7]monthly!$CH398</f>
        <v>139.88</v>
      </c>
      <c r="C299" s="42">
        <v>86.364649999999997</v>
      </c>
      <c r="D299" s="43">
        <v>99.116280000000003</v>
      </c>
      <c r="E299" s="44">
        <v>143.18339538574199</v>
      </c>
      <c r="F299" s="45">
        <v>89.256150000000005</v>
      </c>
      <c r="G299" s="9">
        <f>[2]monthly!$D398</f>
        <v>53.96304347826085</v>
      </c>
    </row>
    <row r="300" spans="1:7" ht="15.75" x14ac:dyDescent="0.25">
      <c r="A300" s="27">
        <v>43770</v>
      </c>
      <c r="B300" s="18">
        <f>[7]monthly!$CH399</f>
        <v>139.88999999999999</v>
      </c>
      <c r="C300" s="42">
        <v>86.863460000000003</v>
      </c>
      <c r="D300" s="43">
        <v>99.650300000000001</v>
      </c>
      <c r="E300" s="44">
        <v>140.77990722656199</v>
      </c>
      <c r="F300" s="45">
        <v>87.961410000000001</v>
      </c>
      <c r="G300" s="9">
        <f>[2]monthly!$D399</f>
        <v>56.96947368421052</v>
      </c>
    </row>
    <row r="301" spans="1:7" ht="15.75" x14ac:dyDescent="0.25">
      <c r="A301" s="27">
        <v>43800</v>
      </c>
      <c r="B301" s="18">
        <f>[7]monthly!$CH400</f>
        <v>140.46</v>
      </c>
      <c r="C301" s="42">
        <v>87.388630000000006</v>
      </c>
      <c r="D301" s="43">
        <v>102.621</v>
      </c>
      <c r="E301" s="44">
        <v>144.64767456054699</v>
      </c>
      <c r="F301" s="45">
        <v>87.636750000000006</v>
      </c>
      <c r="G301" s="9">
        <f>[2]monthly!$D400</f>
        <v>59.816666666666663</v>
      </c>
    </row>
    <row r="302" spans="1:7" ht="15.75" x14ac:dyDescent="0.25">
      <c r="A302" s="27">
        <v>43831</v>
      </c>
      <c r="B302" s="18">
        <f>[7]monthly!$CH401</f>
        <v>140.99</v>
      </c>
      <c r="C302" s="42">
        <v>87.499269999999996</v>
      </c>
      <c r="D302" s="43">
        <v>104.04770000000001</v>
      </c>
      <c r="E302" s="44">
        <v>146.01828002929699</v>
      </c>
      <c r="F302" s="45">
        <v>88.266900000000007</v>
      </c>
      <c r="G302" s="9">
        <f>[2]monthly!$D401</f>
        <v>57.519047619047612</v>
      </c>
    </row>
    <row r="303" spans="1:7" ht="15.75" x14ac:dyDescent="0.25">
      <c r="A303" s="27">
        <v>43862</v>
      </c>
      <c r="B303" s="18">
        <f>[7]monthly!$CH402</f>
        <v>141.41</v>
      </c>
      <c r="C303" s="42">
        <v>86.591139999999996</v>
      </c>
      <c r="D303" s="43">
        <v>102.544</v>
      </c>
      <c r="E303" s="44">
        <v>142.97598266601599</v>
      </c>
      <c r="F303" s="45">
        <v>88.038060000000002</v>
      </c>
      <c r="G303" s="9">
        <f>[2]monthly!$D402</f>
        <v>50.542631578947358</v>
      </c>
    </row>
    <row r="304" spans="1:7" ht="15.75" x14ac:dyDescent="0.25">
      <c r="A304" s="27">
        <v>43891</v>
      </c>
      <c r="B304" s="18">
        <f>[7]monthly!$CH403</f>
        <v>124.28</v>
      </c>
      <c r="C304" s="42">
        <v>83.217460000000003</v>
      </c>
      <c r="D304" s="43">
        <v>86.18141</v>
      </c>
      <c r="E304" s="44">
        <v>123.73561096191401</v>
      </c>
      <c r="F304" s="45">
        <v>79.443190000000001</v>
      </c>
      <c r="G304" s="9">
        <f>[2]monthly!$D403</f>
        <v>29.568181818181817</v>
      </c>
    </row>
    <row r="305" spans="1:7" ht="15.75" x14ac:dyDescent="0.25">
      <c r="A305" s="27">
        <v>43922</v>
      </c>
      <c r="B305" s="18">
        <f>[7]monthly!$CH404</f>
        <v>115.56</v>
      </c>
      <c r="C305" s="42">
        <v>80.778639999999996</v>
      </c>
      <c r="D305" s="43">
        <v>72.194900000000004</v>
      </c>
      <c r="E305" s="44">
        <v>110.75497436523401</v>
      </c>
      <c r="F305" s="45">
        <v>79.872550000000004</v>
      </c>
      <c r="G305" s="9">
        <f>[2]monthly!$D404</f>
        <v>16.547619047619051</v>
      </c>
    </row>
    <row r="306" spans="1:7" ht="15.75" x14ac:dyDescent="0.25">
      <c r="A306" s="27">
        <v>43952</v>
      </c>
      <c r="B306" s="18">
        <f>[7]monthly!$CH405</f>
        <v>127.66</v>
      </c>
      <c r="C306" s="42">
        <v>82.247209999999995</v>
      </c>
      <c r="D306" s="43">
        <v>94.392920000000004</v>
      </c>
      <c r="E306" s="44">
        <v>128.43173217773401</v>
      </c>
      <c r="F306" s="45">
        <v>84.029210000000006</v>
      </c>
      <c r="G306" s="9">
        <f>[2]monthly!$D405</f>
        <v>28.562500000000007</v>
      </c>
    </row>
    <row r="307" spans="1:7" ht="15.75" x14ac:dyDescent="0.25">
      <c r="A307" s="27">
        <v>43983</v>
      </c>
      <c r="B307" s="18">
        <f>[7]monthly!$CH406</f>
        <v>122.5</v>
      </c>
      <c r="C307" s="42">
        <v>83.571809999999999</v>
      </c>
      <c r="D307" s="43">
        <v>96.858980000000003</v>
      </c>
      <c r="E307" s="44">
        <v>135.15139770507801</v>
      </c>
      <c r="F307" s="45">
        <v>89.890039999999999</v>
      </c>
      <c r="G307" s="9">
        <f>[2]monthly!$D406</f>
        <v>38.307272727272725</v>
      </c>
    </row>
    <row r="308" spans="1:7" ht="15.75" x14ac:dyDescent="0.25">
      <c r="A308" s="27">
        <v>44013</v>
      </c>
      <c r="B308" s="18">
        <f>[7]monthly!$CH407</f>
        <v>102.8</v>
      </c>
      <c r="C308" s="42">
        <v>84.717699999999994</v>
      </c>
      <c r="D308" s="43">
        <v>95.58869</v>
      </c>
      <c r="E308" s="44">
        <v>138.098220825195</v>
      </c>
      <c r="F308" s="45">
        <v>86.306290000000004</v>
      </c>
      <c r="G308" s="9">
        <f>[2]monthly!$D407</f>
        <v>40.710454545454553</v>
      </c>
    </row>
    <row r="309" spans="1:7" ht="15.75" x14ac:dyDescent="0.25">
      <c r="A309" s="27">
        <v>44044</v>
      </c>
      <c r="B309" s="18">
        <f>[7]monthly!$CH408</f>
        <v>115.8</v>
      </c>
      <c r="C309" s="42">
        <v>85.764330000000001</v>
      </c>
      <c r="D309" s="43">
        <v>103.0455</v>
      </c>
      <c r="E309" s="44">
        <v>140.65409851074199</v>
      </c>
      <c r="F309" s="45">
        <v>89.215119999999999</v>
      </c>
      <c r="G309" s="9">
        <f>[2]monthly!$D408</f>
        <v>42.339047619047619</v>
      </c>
    </row>
    <row r="310" spans="1:7" ht="15.75" x14ac:dyDescent="0.25">
      <c r="A310" s="27">
        <v>44075</v>
      </c>
      <c r="B310" s="18">
        <f>[7]monthly!$CH409</f>
        <v>109.8</v>
      </c>
      <c r="C310" s="42">
        <v>85.953980000000001</v>
      </c>
      <c r="D310" s="43">
        <v>96.581940000000003</v>
      </c>
      <c r="E310" s="44">
        <v>136.50964355468801</v>
      </c>
      <c r="F310" s="45">
        <v>89.963089999999994</v>
      </c>
      <c r="G310" s="9">
        <f>[2]monthly!$D409</f>
        <v>39.63428571428571</v>
      </c>
    </row>
    <row r="311" spans="1:7" ht="15.75" x14ac:dyDescent="0.25">
      <c r="A311" s="27">
        <v>44105</v>
      </c>
      <c r="B311" s="18">
        <f>[7]monthly!$CH410</f>
        <v>110.8</v>
      </c>
      <c r="C311" s="42">
        <v>86.036510000000007</v>
      </c>
      <c r="D311" s="43">
        <v>87.854240000000004</v>
      </c>
      <c r="E311" s="44">
        <v>133.22253417968801</v>
      </c>
      <c r="F311" s="45">
        <v>90.799620000000004</v>
      </c>
      <c r="G311" s="9">
        <f>[2]monthly!$D410</f>
        <v>39.3959090909091</v>
      </c>
    </row>
    <row r="312" spans="1:7" ht="15.75" x14ac:dyDescent="0.25">
      <c r="A312" s="27">
        <v>44136</v>
      </c>
      <c r="B312" s="18">
        <f>[7]monthly!$CH411</f>
        <v>120.5</v>
      </c>
      <c r="C312" s="42">
        <v>86.999139999999997</v>
      </c>
      <c r="D312" s="43">
        <v>97.769710000000003</v>
      </c>
      <c r="E312" s="44">
        <v>143.59892272949199</v>
      </c>
      <c r="F312" s="45">
        <v>89.861949999999993</v>
      </c>
      <c r="G312" s="9">
        <f>[2]monthly!$D411</f>
        <v>40.937368421052639</v>
      </c>
    </row>
    <row r="313" spans="1:7" ht="15.75" x14ac:dyDescent="0.25">
      <c r="A313" s="27">
        <v>44166</v>
      </c>
      <c r="B313" s="18">
        <f>[7]monthly!$CH412</f>
        <v>121.5</v>
      </c>
      <c r="C313" s="42">
        <v>87.688140000000004</v>
      </c>
      <c r="D313" s="43">
        <v>101.5286</v>
      </c>
      <c r="E313" s="44">
        <v>145.74835205078099</v>
      </c>
      <c r="F313" s="45">
        <v>89.305689999999998</v>
      </c>
      <c r="G313" s="9">
        <f>[2]monthly!$D412</f>
        <v>47.024999999999984</v>
      </c>
    </row>
    <row r="314" spans="1:7" ht="15.75" x14ac:dyDescent="0.25">
      <c r="A314" s="27">
        <v>44197</v>
      </c>
      <c r="B314" s="18">
        <f>[7]monthly!$CH413</f>
        <v>122.6</v>
      </c>
      <c r="C314" s="42">
        <v>87.769490000000005</v>
      </c>
      <c r="D314" s="43">
        <v>90.005920000000003</v>
      </c>
      <c r="E314" s="44">
        <v>143.34948730468801</v>
      </c>
      <c r="F314" s="45">
        <v>87.30395</v>
      </c>
      <c r="G314" s="9">
        <f>[2]monthly!$D413</f>
        <v>52.008421052631569</v>
      </c>
    </row>
    <row r="315" spans="1:7" ht="15.75" x14ac:dyDescent="0.25">
      <c r="A315" s="27">
        <v>44228</v>
      </c>
      <c r="B315" s="18">
        <f>[7]monthly!$CH414</f>
        <v>126.4</v>
      </c>
      <c r="C315" s="42">
        <v>89.020629999999997</v>
      </c>
      <c r="D315" s="43">
        <v>95.221869999999996</v>
      </c>
      <c r="E315" s="44">
        <v>147.87088012695301</v>
      </c>
      <c r="F315" s="45">
        <v>86.281170000000003</v>
      </c>
      <c r="G315" s="9">
        <f>[2]monthly!$D414</f>
        <v>59.046315789473681</v>
      </c>
    </row>
    <row r="316" spans="1:7" ht="15.75" x14ac:dyDescent="0.25">
      <c r="A316" s="27">
        <v>44256</v>
      </c>
      <c r="B316" s="18">
        <f>[7]monthly!$CH415</f>
        <v>133.19999999999999</v>
      </c>
      <c r="C316" s="42">
        <v>90.554040000000001</v>
      </c>
      <c r="D316" s="43">
        <v>103.8955</v>
      </c>
      <c r="E316" s="44">
        <v>153.30615234375</v>
      </c>
      <c r="F316" s="45">
        <v>90.768289999999993</v>
      </c>
      <c r="G316" s="9">
        <f>[2]monthly!$D415</f>
        <v>62.333043478260862</v>
      </c>
    </row>
    <row r="317" spans="1:7" ht="15.75" x14ac:dyDescent="0.25">
      <c r="A317" s="27">
        <v>44287</v>
      </c>
      <c r="B317" s="18">
        <f>[7]monthly!$CH416</f>
        <v>140.4</v>
      </c>
      <c r="C317" s="42">
        <v>91.760760000000005</v>
      </c>
      <c r="D317" s="43">
        <v>106.9918</v>
      </c>
      <c r="E317" s="44">
        <v>157.27792358398401</v>
      </c>
      <c r="F317" s="45">
        <v>89.392769999999999</v>
      </c>
      <c r="G317" s="9">
        <f>[2]monthly!$D416</f>
        <v>61.716666666666661</v>
      </c>
    </row>
    <row r="318" spans="1:7" ht="15.75" x14ac:dyDescent="0.25">
      <c r="A318" s="27">
        <v>44317</v>
      </c>
      <c r="B318" s="18">
        <f>[7]monthly!$CH417</f>
        <v>139.30000000000001</v>
      </c>
      <c r="C318" s="42">
        <v>92.385930000000002</v>
      </c>
      <c r="D318" s="43">
        <v>100.84180000000001</v>
      </c>
      <c r="E318" s="44">
        <v>154.20707702636699</v>
      </c>
      <c r="F318" s="45">
        <v>86.978790000000004</v>
      </c>
      <c r="G318" s="9">
        <f>[2]monthly!$D417</f>
        <v>65.169500000000014</v>
      </c>
    </row>
    <row r="319" spans="1:7" ht="15.75" x14ac:dyDescent="0.25">
      <c r="A319" s="27">
        <v>44348</v>
      </c>
      <c r="B319" s="18">
        <f>[7]monthly!$CH418</f>
        <v>141.80000000000001</v>
      </c>
      <c r="C319" s="42">
        <v>93.33032</v>
      </c>
      <c r="D319" s="43">
        <v>107.1666</v>
      </c>
      <c r="E319" s="44">
        <v>164.02279663085901</v>
      </c>
      <c r="F319" s="45">
        <v>92.516760000000005</v>
      </c>
      <c r="G319" s="9">
        <f>[2]monthly!$D418</f>
        <v>71.378181818181815</v>
      </c>
    </row>
    <row r="320" spans="1:7" ht="15.75" x14ac:dyDescent="0.25">
      <c r="A320" s="27">
        <v>44378</v>
      </c>
      <c r="B320" s="18">
        <f>[7]monthly!$CH419</f>
        <v>138.19999999999999</v>
      </c>
      <c r="C320" s="42">
        <v>93.835769999999997</v>
      </c>
      <c r="D320" s="43">
        <v>107.8768</v>
      </c>
      <c r="E320" s="44">
        <v>160.67396545410199</v>
      </c>
      <c r="F320" s="45">
        <v>92.367040000000003</v>
      </c>
      <c r="G320" s="9">
        <f>[2]monthly!$D419</f>
        <v>72.485238095238103</v>
      </c>
    </row>
    <row r="321" spans="1:7" ht="15.75" x14ac:dyDescent="0.25">
      <c r="A321" s="27">
        <v>44409</v>
      </c>
      <c r="B321" s="18">
        <f>[7]monthly!$CH420</f>
        <v>134.69999999999999</v>
      </c>
      <c r="C321" s="42">
        <v>94.395060000000001</v>
      </c>
      <c r="D321" s="43">
        <v>107.5454</v>
      </c>
      <c r="E321" s="44">
        <v>167.92596435546901</v>
      </c>
      <c r="F321" s="45">
        <v>90.348799999999997</v>
      </c>
      <c r="G321" s="9">
        <f>[2]monthly!$D420</f>
        <v>67.730454545454549</v>
      </c>
    </row>
    <row r="322" spans="1:7" ht="15.75" x14ac:dyDescent="0.25">
      <c r="A322" s="27">
        <v>44440</v>
      </c>
      <c r="B322" s="18">
        <f>[7]monthly!$CH421</f>
        <v>139</v>
      </c>
      <c r="C322" s="42">
        <v>94.908529999999999</v>
      </c>
      <c r="D322" s="43">
        <v>106.1108</v>
      </c>
      <c r="E322" s="44">
        <v>168.69047546386699</v>
      </c>
      <c r="F322" s="45">
        <v>92.542450000000002</v>
      </c>
      <c r="G322" s="9">
        <f>[2]monthly!$D421</f>
        <v>71.582857142857137</v>
      </c>
    </row>
    <row r="323" spans="1:7" ht="15.75" x14ac:dyDescent="0.25">
      <c r="A323" s="27">
        <v>44470</v>
      </c>
      <c r="B323" s="18">
        <f>[7]monthly!$CH422</f>
        <v>137.6</v>
      </c>
      <c r="C323" s="42">
        <v>95.497810000000001</v>
      </c>
      <c r="D323" s="43">
        <v>112.4089</v>
      </c>
      <c r="E323" s="44">
        <v>169.67530822753901</v>
      </c>
      <c r="F323" s="45">
        <v>95.608040000000003</v>
      </c>
      <c r="G323" s="9">
        <f>[2]monthly!$D422</f>
        <v>81.476666666666688</v>
      </c>
    </row>
    <row r="324" spans="1:7" ht="15.75" x14ac:dyDescent="0.25">
      <c r="A324" s="27">
        <v>44501</v>
      </c>
      <c r="B324" s="18">
        <f>[7]monthly!$CH423</f>
        <v>138.1</v>
      </c>
      <c r="C324" s="42">
        <v>95.828699999999998</v>
      </c>
      <c r="D324" s="43">
        <v>109.10939999999999</v>
      </c>
      <c r="E324" s="44">
        <v>172.08914184570301</v>
      </c>
      <c r="F324" s="45">
        <v>90.873019999999997</v>
      </c>
      <c r="G324" s="9">
        <f>[2]monthly!$D423</f>
        <v>79.147500000000008</v>
      </c>
    </row>
    <row r="325" spans="1:7" ht="15.75" x14ac:dyDescent="0.25">
      <c r="A325" s="27">
        <v>44531</v>
      </c>
      <c r="B325" s="18">
        <f>[7]monthly!$CH424</f>
        <v>138.30000000000001</v>
      </c>
      <c r="C325" s="42">
        <v>96.125110000000006</v>
      </c>
      <c r="D325" s="43">
        <v>106.7998</v>
      </c>
      <c r="E325" s="44">
        <v>169.71827697753901</v>
      </c>
      <c r="F325" s="45">
        <v>98.055660000000003</v>
      </c>
      <c r="G325" s="9">
        <f>[2]monthly!$D424</f>
        <v>71.711818181818174</v>
      </c>
    </row>
    <row r="326" spans="1:7" ht="15.75" x14ac:dyDescent="0.25">
      <c r="A326" s="27">
        <v>44562</v>
      </c>
      <c r="B326" s="18">
        <f>[7]monthly!$CH425</f>
        <v>132.5</v>
      </c>
      <c r="C326" s="42">
        <v>96.620519999999999</v>
      </c>
      <c r="D326" s="43">
        <v>107.96120000000001</v>
      </c>
      <c r="E326" s="44">
        <v>169.89772033691401</v>
      </c>
      <c r="F326" s="45">
        <v>99.815370000000001</v>
      </c>
      <c r="G326" s="9">
        <f>[2]monthly!$D425</f>
        <v>83.221999999999994</v>
      </c>
    </row>
    <row r="327" spans="1:7" ht="15.75" x14ac:dyDescent="0.25">
      <c r="A327" s="27">
        <v>44593</v>
      </c>
      <c r="B327" s="18">
        <f>[7]monthly!$CH426</f>
        <v>128.19999999999999</v>
      </c>
      <c r="C327" s="42">
        <v>96.953000000000003</v>
      </c>
      <c r="D327" s="43">
        <v>109.64879999999999</v>
      </c>
      <c r="E327" s="44">
        <v>175.88439941406199</v>
      </c>
      <c r="F327" s="45">
        <v>102.9319</v>
      </c>
      <c r="G327" s="9">
        <f>[2]monthly!$D426</f>
        <v>91.641052631578944</v>
      </c>
    </row>
    <row r="328" spans="1:7" ht="15.75" x14ac:dyDescent="0.25">
      <c r="A328" s="27">
        <v>44621</v>
      </c>
      <c r="B328" s="18">
        <f>[7]monthly!$CH427</f>
        <v>127.6</v>
      </c>
      <c r="C328" s="42">
        <v>97.312619999999995</v>
      </c>
      <c r="D328" s="43">
        <v>109.57259999999999</v>
      </c>
      <c r="E328" s="44">
        <v>174.21031188964801</v>
      </c>
      <c r="F328" s="45">
        <v>100.2269</v>
      </c>
      <c r="G328" s="9">
        <f>[2]monthly!$D427</f>
        <v>108.50260869565219</v>
      </c>
    </row>
    <row r="329" spans="1:7" ht="15.75" x14ac:dyDescent="0.25">
      <c r="A329" s="27">
        <v>44652</v>
      </c>
      <c r="B329" s="18">
        <f>[7]monthly!$CH428</f>
        <v>133.9</v>
      </c>
      <c r="C329" s="42">
        <v>97.812359999999998</v>
      </c>
      <c r="D329" s="43">
        <v>110.6837</v>
      </c>
      <c r="E329" s="44">
        <v>174.77142333984401</v>
      </c>
      <c r="F329" s="45">
        <v>99.486660000000001</v>
      </c>
      <c r="G329" s="9">
        <f>[2]monthly!$D428</f>
        <v>101.77749999999999</v>
      </c>
    </row>
    <row r="330" spans="1:7" ht="15.75" x14ac:dyDescent="0.25">
      <c r="A330" s="27">
        <v>44682</v>
      </c>
      <c r="B330" s="18">
        <f>[7]monthly!$CH429</f>
        <v>129.30000000000001</v>
      </c>
      <c r="C330" s="42">
        <v>98.090819999999994</v>
      </c>
      <c r="D330" s="43">
        <v>111.4173</v>
      </c>
      <c r="E330" s="44">
        <v>175.83021545410199</v>
      </c>
      <c r="F330" s="45">
        <v>103.1563</v>
      </c>
      <c r="G330" s="9">
        <f>[2]monthly!$D429</f>
        <v>112.19500000000001</v>
      </c>
    </row>
    <row r="331" spans="1:7" ht="15.75" x14ac:dyDescent="0.25">
      <c r="A331" s="27">
        <v>44713</v>
      </c>
      <c r="B331" s="18">
        <f>[7]monthly!$CH430</f>
        <v>128.6</v>
      </c>
      <c r="C331" s="42">
        <v>98.292230000000004</v>
      </c>
      <c r="D331" s="43">
        <v>110.551</v>
      </c>
      <c r="E331" s="44">
        <v>174.40304565429699</v>
      </c>
      <c r="F331" s="45">
        <v>105.28530000000001</v>
      </c>
      <c r="G331" s="9">
        <f>[2]monthly!$D430</f>
        <v>114.73500000000001</v>
      </c>
    </row>
    <row r="332" spans="1:7" ht="15.75" x14ac:dyDescent="0.25">
      <c r="A332" s="27">
        <v>44743</v>
      </c>
      <c r="B332" s="18">
        <f>[7]monthly!$CH431</f>
        <v>125</v>
      </c>
      <c r="C332" s="42">
        <v>98.354870000000005</v>
      </c>
      <c r="D332" s="43">
        <v>109.7359</v>
      </c>
      <c r="E332" s="44">
        <v>172.86683654785199</v>
      </c>
      <c r="F332" s="45">
        <v>98.48563</v>
      </c>
      <c r="G332" s="9">
        <f>[2]monthly!$D431</f>
        <v>101.61899999999999</v>
      </c>
    </row>
    <row r="333" spans="1:7" ht="15.75" x14ac:dyDescent="0.25">
      <c r="A333" s="27">
        <v>44774</v>
      </c>
      <c r="B333" s="18">
        <f>[7]monthly!$CH432</f>
        <v>130.4</v>
      </c>
      <c r="C333" s="42">
        <v>98.693510000000003</v>
      </c>
      <c r="D333" s="43">
        <v>110.92230000000001</v>
      </c>
      <c r="E333" s="44">
        <v>171.67567443847699</v>
      </c>
      <c r="F333" s="45">
        <v>101.8943</v>
      </c>
      <c r="G333" s="9">
        <f>[2]monthly!$D432</f>
        <v>93.360476190476192</v>
      </c>
    </row>
    <row r="334" spans="1:7" ht="15.75" x14ac:dyDescent="0.25">
      <c r="A334" s="27">
        <v>44805</v>
      </c>
      <c r="B334" s="18">
        <f>[7]monthly!$CH433</f>
        <v>129.4</v>
      </c>
      <c r="C334" s="42">
        <v>99.106219999999993</v>
      </c>
      <c r="D334" s="43">
        <v>113.0337</v>
      </c>
      <c r="E334" s="44">
        <v>174.60577392578099</v>
      </c>
      <c r="F334" s="45">
        <v>103.8338</v>
      </c>
      <c r="G334" s="9">
        <f>[2]monthly!$D433</f>
        <v>84.258095238095251</v>
      </c>
    </row>
    <row r="335" spans="1:7" ht="15.75" x14ac:dyDescent="0.25">
      <c r="A335" s="27">
        <v>44835</v>
      </c>
      <c r="B335" s="18">
        <f>[7]monthly!$CH434</f>
        <v>129</v>
      </c>
      <c r="C335" s="42">
        <v>99.415639999999996</v>
      </c>
      <c r="D335" s="43">
        <v>113.4389</v>
      </c>
      <c r="E335" s="44">
        <v>178.72744750976599</v>
      </c>
      <c r="F335" s="45">
        <v>98.822460000000007</v>
      </c>
      <c r="G335" s="9">
        <f>[2]monthly!$D434</f>
        <v>87.554761904761904</v>
      </c>
    </row>
    <row r="336" spans="1:7" ht="15.75" x14ac:dyDescent="0.25">
      <c r="A336" s="27">
        <v>44866</v>
      </c>
      <c r="B336" s="18">
        <f>[7]monthly!$CH435</f>
        <v>131.5</v>
      </c>
      <c r="C336" s="42">
        <v>99.552239999999998</v>
      </c>
      <c r="D336" s="43">
        <v>112.9049</v>
      </c>
      <c r="E336" s="44">
        <v>175.89041137695301</v>
      </c>
      <c r="F336" s="45">
        <v>100.8802</v>
      </c>
      <c r="G336" s="9">
        <f>[2]monthly!$D435</f>
        <v>84.370476190476182</v>
      </c>
    </row>
    <row r="337" spans="1:7" ht="15.75" x14ac:dyDescent="0.25">
      <c r="A337" s="27">
        <v>44896</v>
      </c>
      <c r="B337" s="18">
        <f>[7]monthly!$CH436</f>
        <v>127</v>
      </c>
      <c r="C337" s="42">
        <v>99.577650000000006</v>
      </c>
      <c r="D337" s="43">
        <v>111.19199999999999</v>
      </c>
      <c r="E337" s="44">
        <v>174.69149780273401</v>
      </c>
      <c r="F337" s="45">
        <v>103.2334</v>
      </c>
      <c r="G337" s="9">
        <f>[2]monthly!$D436</f>
        <v>76.437142857142888</v>
      </c>
    </row>
    <row r="338" spans="1:7" ht="15.75" x14ac:dyDescent="0.25">
      <c r="A338" s="27">
        <v>44927</v>
      </c>
      <c r="B338" s="18">
        <f>[7]monthly!$CH437</f>
        <v>127.4</v>
      </c>
      <c r="C338" s="42">
        <v>99.667490000000001</v>
      </c>
      <c r="D338" s="43">
        <v>112.8039</v>
      </c>
      <c r="E338" s="44">
        <v>173.84684753418</v>
      </c>
      <c r="F338" s="45">
        <v>99.106039999999993</v>
      </c>
      <c r="G338" s="9">
        <f>[2]monthly!$D437</f>
        <v>77.417000000000016</v>
      </c>
    </row>
    <row r="339" spans="1:7" ht="15.75" x14ac:dyDescent="0.25">
      <c r="A339" s="27">
        <v>44958</v>
      </c>
      <c r="B339" s="18">
        <f>[7]monthly!$CH438</f>
        <v>125.7</v>
      </c>
      <c r="C339" s="42">
        <v>99.867810000000006</v>
      </c>
      <c r="D339" s="43">
        <v>113.4615</v>
      </c>
      <c r="E339" s="44">
        <v>175.47473144531199</v>
      </c>
      <c r="F339" s="45">
        <v>107.08110000000001</v>
      </c>
      <c r="G339" s="9">
        <f>[2]monthly!$D438</f>
        <v>76.832631578947371</v>
      </c>
    </row>
    <row r="340" spans="1:7" ht="15.75" x14ac:dyDescent="0.25">
      <c r="A340" s="27">
        <v>44986</v>
      </c>
      <c r="B340" s="18">
        <f>[7]monthly!$CH439</f>
        <v>128</v>
      </c>
      <c r="C340" s="42">
        <v>100.0603</v>
      </c>
      <c r="D340" s="43">
        <v>112.0577</v>
      </c>
      <c r="E340" s="44">
        <v>177.15934753418</v>
      </c>
      <c r="F340" s="45">
        <v>104.0716</v>
      </c>
      <c r="G340" s="9">
        <f>[2]monthly!$D439</f>
        <v>73.277826086956523</v>
      </c>
    </row>
    <row r="341" spans="1:7" ht="15.75" x14ac:dyDescent="0.25">
      <c r="A341" s="27">
        <v>45017</v>
      </c>
      <c r="B341" s="18">
        <f>[7]monthly!$CH440</f>
        <v>126.6</v>
      </c>
      <c r="C341" s="42">
        <v>100.3896</v>
      </c>
      <c r="D341" s="43">
        <v>112.7405</v>
      </c>
      <c r="E341" s="44">
        <v>175.98150634765599</v>
      </c>
      <c r="F341" s="45">
        <v>103.31180000000001</v>
      </c>
      <c r="G341" s="9">
        <f>[2]monthly!$D440</f>
        <v>79.446315789473672</v>
      </c>
    </row>
    <row r="342" spans="1:7" ht="15.75" x14ac:dyDescent="0.25">
      <c r="A342" s="27">
        <v>45047</v>
      </c>
      <c r="B342" s="18">
        <f>[7]monthly!$CH441</f>
        <v>121.5</v>
      </c>
      <c r="C342" s="42">
        <v>100.86490000000001</v>
      </c>
      <c r="D342" s="43">
        <v>114.1018</v>
      </c>
      <c r="E342" s="44">
        <v>177.27265930175801</v>
      </c>
      <c r="F342" s="45">
        <v>99.480260000000001</v>
      </c>
      <c r="G342" s="9">
        <f>[2]monthly!$D441</f>
        <v>71.578181818181804</v>
      </c>
    </row>
    <row r="343" spans="1:7" ht="15.75" x14ac:dyDescent="0.25">
      <c r="A343" s="27">
        <v>45078</v>
      </c>
      <c r="B343" s="18">
        <f>[7]monthly!$CH442</f>
        <v>125.1</v>
      </c>
      <c r="C343" s="42">
        <v>101.1486</v>
      </c>
      <c r="D343" s="43">
        <v>114.2286</v>
      </c>
      <c r="E343" s="44">
        <v>174.83712768554699</v>
      </c>
      <c r="F343" s="45">
        <v>99.202439999999996</v>
      </c>
      <c r="G343" s="9">
        <f>[2]monthly!$D442</f>
        <v>72.435714285714283</v>
      </c>
    </row>
    <row r="344" spans="1:7" ht="15.75" x14ac:dyDescent="0.25">
      <c r="A344" s="27">
        <v>45108</v>
      </c>
      <c r="B344" s="18">
        <f>[7]monthly!$CH443</f>
        <v>126.3</v>
      </c>
      <c r="C344" s="42">
        <v>101.30200000000001</v>
      </c>
      <c r="D344" s="43">
        <v>113.7457</v>
      </c>
      <c r="E344" s="44">
        <v>173.47349548339801</v>
      </c>
      <c r="F344" s="45">
        <v>99.260729999999995</v>
      </c>
      <c r="G344" s="9">
        <f>[2]monthly!$D443</f>
        <v>76.069499999999977</v>
      </c>
    </row>
    <row r="345" spans="1:7" ht="15.75" x14ac:dyDescent="0.25">
      <c r="A345" s="27">
        <v>45139</v>
      </c>
      <c r="B345" s="18">
        <f>[7]monthly!$CH444</f>
        <v>125.7</v>
      </c>
      <c r="C345" s="42">
        <v>101.45740000000001</v>
      </c>
      <c r="D345" s="43">
        <v>118.65949999999999</v>
      </c>
      <c r="E345" s="44">
        <v>180.31800842285199</v>
      </c>
      <c r="F345" s="45">
        <v>103.9447</v>
      </c>
      <c r="G345" s="9">
        <f>[2]monthly!$D444</f>
        <v>81.432857142857145</v>
      </c>
    </row>
    <row r="346" spans="1:7" ht="15.75" x14ac:dyDescent="0.25">
      <c r="A346" s="27">
        <v>45170</v>
      </c>
      <c r="B346" s="18">
        <f>[7]monthly!$CH445</f>
        <v>127.9</v>
      </c>
      <c r="C346" s="42">
        <v>100.8163</v>
      </c>
      <c r="D346" s="43">
        <v>114.9012</v>
      </c>
      <c r="E346" s="44">
        <v>172.77272033691401</v>
      </c>
      <c r="F346" s="45">
        <v>101.1709</v>
      </c>
      <c r="G346" s="9">
        <f>[2]monthly!$D445</f>
        <v>89.425000000000026</v>
      </c>
    </row>
    <row r="347" spans="1:7" ht="15.75" x14ac:dyDescent="0.25">
      <c r="A347" s="27">
        <v>45200</v>
      </c>
      <c r="B347" s="18">
        <f>[7]monthly!$CH446</f>
        <v>122.5</v>
      </c>
      <c r="C347" s="42">
        <v>98.378749999999997</v>
      </c>
      <c r="D347" s="43">
        <v>96.154600000000002</v>
      </c>
      <c r="E347" s="44">
        <v>149.82858276367199</v>
      </c>
      <c r="F347" s="45">
        <v>95.787220000000005</v>
      </c>
      <c r="G347" s="9">
        <f>[2]monthly!$D446</f>
        <v>85.639523809523794</v>
      </c>
    </row>
    <row r="348" spans="1:7" ht="15.75" x14ac:dyDescent="0.25">
      <c r="A348" s="27">
        <v>45231</v>
      </c>
      <c r="B348" s="18">
        <f>[7]monthly!$CH447</f>
        <v>126.6</v>
      </c>
      <c r="C348" s="42">
        <v>97.793719999999993</v>
      </c>
      <c r="D348" s="43">
        <v>102.2916</v>
      </c>
      <c r="E348" s="44">
        <v>154.50726318359401</v>
      </c>
      <c r="F348" s="45">
        <v>96.359970000000004</v>
      </c>
      <c r="G348" s="9">
        <f>[2]monthly!$D447</f>
        <v>77.684999999999988</v>
      </c>
    </row>
    <row r="349" spans="1:7" ht="15.75" x14ac:dyDescent="0.25">
      <c r="A349" s="27">
        <v>45261</v>
      </c>
      <c r="B349" s="18">
        <f>[7]monthly!$CH448</f>
        <v>125</v>
      </c>
      <c r="C349" s="42">
        <v>98.253119999999996</v>
      </c>
      <c r="D349" s="43">
        <v>114.08499999999999</v>
      </c>
      <c r="E349" s="44">
        <v>166.89395141601599</v>
      </c>
      <c r="F349" s="45">
        <v>93.295739999999995</v>
      </c>
      <c r="G349" s="9">
        <f>[2]monthly!$D448</f>
        <v>71.900000000000006</v>
      </c>
    </row>
    <row r="350" spans="1:7" ht="15.75" x14ac:dyDescent="0.25">
      <c r="A350" s="27">
        <v>45292</v>
      </c>
      <c r="B350" s="18">
        <f>[7]monthly!$CH449</f>
        <v>123.9</v>
      </c>
      <c r="C350" s="42">
        <v>98.838030000000003</v>
      </c>
      <c r="D350" s="43">
        <v>118.8352</v>
      </c>
      <c r="E350" s="44">
        <v>171.91178894043</v>
      </c>
      <c r="F350" s="45">
        <v>97.211470000000006</v>
      </c>
      <c r="G350" s="9">
        <f>[2]monthly!$D449</f>
        <v>74.382857142857148</v>
      </c>
    </row>
    <row r="351" spans="1:7" ht="15.75" x14ac:dyDescent="0.25">
      <c r="A351" s="27">
        <v>45323</v>
      </c>
      <c r="B351" s="18">
        <f>[7]monthly!$CH450</f>
        <v>123.5</v>
      </c>
      <c r="C351" s="42">
        <v>98.818160000000006</v>
      </c>
      <c r="D351" s="43">
        <v>115.3984</v>
      </c>
      <c r="E351" s="44">
        <v>170.05624389648401</v>
      </c>
      <c r="F351" s="45">
        <v>93.789810000000003</v>
      </c>
      <c r="G351" s="9">
        <f>[2]monthly!$D450</f>
        <v>77.248999999999995</v>
      </c>
    </row>
    <row r="352" spans="1:7" ht="15.75" x14ac:dyDescent="0.25">
      <c r="A352" s="27">
        <v>45352</v>
      </c>
      <c r="B352" s="18">
        <f>[7]monthly!$CH451</f>
        <v>127.6</v>
      </c>
      <c r="C352" s="42">
        <v>98.996889999999993</v>
      </c>
      <c r="D352" s="43">
        <v>117.7955</v>
      </c>
      <c r="E352" s="44">
        <v>173.067794799805</v>
      </c>
      <c r="F352" s="45">
        <v>94.562139999999999</v>
      </c>
      <c r="G352" s="9">
        <f>[2]monthly!$D451</f>
        <v>81.278000000000006</v>
      </c>
    </row>
    <row r="353" spans="1:7" ht="15.75" x14ac:dyDescent="0.25">
      <c r="A353" s="27">
        <v>45383</v>
      </c>
      <c r="B353" s="18">
        <f>[7]monthly!$CH452</f>
        <v>126.7</v>
      </c>
      <c r="C353" s="42">
        <v>98.955190000000002</v>
      </c>
      <c r="D353" s="43">
        <v>117.27549999999999</v>
      </c>
      <c r="E353" s="44">
        <v>173.10906982421901</v>
      </c>
      <c r="F353" s="45">
        <v>96.619249999999994</v>
      </c>
      <c r="G353" s="9">
        <f>[2]monthly!$D452</f>
        <v>85.347272727272724</v>
      </c>
    </row>
    <row r="354" spans="1:7" ht="15.75" x14ac:dyDescent="0.25">
      <c r="A354" s="27">
        <v>45413</v>
      </c>
      <c r="B354" s="18">
        <f>[7]monthly!$CH453</f>
        <v>120.3</v>
      </c>
      <c r="C354" s="42">
        <v>99.005070000000003</v>
      </c>
      <c r="D354" s="43">
        <v>117.867</v>
      </c>
      <c r="E354" s="44">
        <v>175.85972595214801</v>
      </c>
      <c r="F354" s="45">
        <v>97.897850000000005</v>
      </c>
      <c r="G354" s="9">
        <f>[2]monthly!$D453</f>
        <v>80.024545454545489</v>
      </c>
    </row>
    <row r="355" spans="1:7" ht="15.75" x14ac:dyDescent="0.25">
      <c r="A355" s="27">
        <v>45444</v>
      </c>
      <c r="B355" s="18">
        <f>[7]monthly!$CH454</f>
        <v>121.2</v>
      </c>
      <c r="C355" s="42">
        <v>98.963719999999995</v>
      </c>
      <c r="D355" s="43">
        <v>119.4379</v>
      </c>
      <c r="E355" s="44">
        <v>177.60939025878901</v>
      </c>
      <c r="F355" s="45">
        <v>97.929360000000003</v>
      </c>
      <c r="G355" s="9">
        <f>[2]monthly!$D454</f>
        <v>79.767368421052609</v>
      </c>
    </row>
    <row r="356" spans="1:7" ht="15.75" x14ac:dyDescent="0.25">
      <c r="A356" s="27">
        <v>45474</v>
      </c>
      <c r="B356" s="18">
        <f>[7]monthly!$CH455</f>
        <v>124.2</v>
      </c>
      <c r="C356" s="42">
        <v>99.020240000000001</v>
      </c>
      <c r="D356" s="43">
        <v>121.2038</v>
      </c>
      <c r="E356" s="44">
        <v>179.413818359375</v>
      </c>
      <c r="F356" s="45">
        <v>99.169340000000005</v>
      </c>
      <c r="G356" s="9">
        <f>[2]monthly!$D455</f>
        <v>81.800454545454542</v>
      </c>
    </row>
    <row r="357" spans="1:7" ht="15.75" x14ac:dyDescent="0.25">
      <c r="A357" s="27">
        <v>45505</v>
      </c>
      <c r="B357" s="18">
        <f>[7]monthly!$CH456</f>
        <v>124.4</v>
      </c>
      <c r="C357" s="42">
        <v>98.725970000000004</v>
      </c>
      <c r="D357" s="43">
        <v>116.9038</v>
      </c>
      <c r="E357" s="44">
        <v>175.42893981933599</v>
      </c>
      <c r="F357" s="45">
        <v>97.737229999999997</v>
      </c>
      <c r="G357" s="9">
        <f>[2]monthly!$D456</f>
        <v>76.683181818181822</v>
      </c>
    </row>
    <row r="358" spans="1:7" ht="15.75" x14ac:dyDescent="0.25">
      <c r="A358" s="27">
        <v>45536</v>
      </c>
      <c r="B358" s="18">
        <f>[7]monthly!$CH457</f>
        <v>126.9</v>
      </c>
      <c r="C358" s="42">
        <v>98.870350000000002</v>
      </c>
      <c r="D358" s="43">
        <v>118.52209999999999</v>
      </c>
      <c r="E358" s="44">
        <v>176.320556640625</v>
      </c>
      <c r="F358" s="45">
        <v>99.344399999999993</v>
      </c>
      <c r="G358" s="9">
        <f>[2]monthly!$D457</f>
        <v>70.236000000000004</v>
      </c>
    </row>
    <row r="359" spans="1:7" ht="15.75" x14ac:dyDescent="0.25">
      <c r="A359" s="27">
        <v>45566</v>
      </c>
      <c r="B359" s="18">
        <f>[7]monthly!$CH458</f>
        <v>124.9</v>
      </c>
      <c r="C359" s="42">
        <v>99.036299999999997</v>
      </c>
      <c r="D359" s="43">
        <v>119.7989</v>
      </c>
      <c r="E359" s="44">
        <v>175.62667846679699</v>
      </c>
      <c r="F359" s="45">
        <v>100.5372</v>
      </c>
      <c r="G359" s="9">
        <f>[2]monthly!$D458</f>
        <v>71.984999999999999</v>
      </c>
    </row>
    <row r="360" spans="1:7" ht="15.75" x14ac:dyDescent="0.25">
      <c r="A360" s="27">
        <v>45597</v>
      </c>
      <c r="B360" s="18">
        <f>[7]monthly!$CH459</f>
        <v>124.1</v>
      </c>
      <c r="C360" s="42">
        <v>99.157749999999993</v>
      </c>
      <c r="D360" s="43">
        <v>122.0971</v>
      </c>
      <c r="E360" s="44">
        <v>178.491622924805</v>
      </c>
      <c r="F360" s="45">
        <v>98.729100000000003</v>
      </c>
      <c r="G360" s="9">
        <f>[2]monthly!$D459</f>
        <v>69.987000000000009</v>
      </c>
    </row>
    <row r="361" spans="1:7" ht="15.75" x14ac:dyDescent="0.25">
      <c r="A361" s="27">
        <v>45627</v>
      </c>
      <c r="B361" s="18">
        <f>[7]monthly!$CH460</f>
        <v>123.9</v>
      </c>
      <c r="C361" s="42">
        <v>99.562209999999993</v>
      </c>
      <c r="D361" s="43">
        <v>125.6964</v>
      </c>
      <c r="E361" s="44">
        <v>188.62567138671901</v>
      </c>
      <c r="F361" s="45">
        <v>103.32259999999999</v>
      </c>
      <c r="G361" s="9">
        <f>[2]monthly!$D460</f>
        <v>70.118095238095222</v>
      </c>
    </row>
    <row r="362" spans="1:7" x14ac:dyDescent="0.2">
      <c r="A362" s="27">
        <v>45658</v>
      </c>
      <c r="C362" s="42">
        <v>99.612440000000007</v>
      </c>
      <c r="D362" s="43">
        <v>123.4813</v>
      </c>
      <c r="E362" s="44">
        <v>178.28817749023401</v>
      </c>
      <c r="F362" s="45">
        <v>99.796120000000002</v>
      </c>
      <c r="G362" s="9">
        <f>[2]monthly!$D461</f>
        <v>74.086500000000001</v>
      </c>
    </row>
    <row r="363" spans="1:7" x14ac:dyDescent="0.2">
      <c r="A363" s="27">
        <v>45689</v>
      </c>
      <c r="C363" s="42">
        <v>99.711820000000003</v>
      </c>
      <c r="D363" s="43">
        <v>123.6785</v>
      </c>
      <c r="E363" s="44">
        <v>182.73072814941401</v>
      </c>
      <c r="F363" s="45">
        <v>104.1126</v>
      </c>
      <c r="G363" s="9">
        <f>[2]monthly!$D462</f>
        <v>71.533157894736831</v>
      </c>
    </row>
    <row r="364" spans="1:7" x14ac:dyDescent="0.2">
      <c r="A364" s="27">
        <v>45717</v>
      </c>
      <c r="C364" s="42">
        <v>99.876750000000001</v>
      </c>
      <c r="D364" s="43">
        <v>125.36879999999999</v>
      </c>
      <c r="E364" s="44">
        <v>181.24754333496099</v>
      </c>
      <c r="F364" s="45">
        <v>103.8999</v>
      </c>
      <c r="G364" s="9">
        <f>[2]monthly!$D463</f>
        <v>68.239047619047625</v>
      </c>
    </row>
    <row r="365" spans="1:7" x14ac:dyDescent="0.2">
      <c r="A365" s="27">
        <v>45748</v>
      </c>
      <c r="C365" s="42">
        <v>99.579580000000007</v>
      </c>
      <c r="D365" s="43">
        <v>124.02979999999999</v>
      </c>
      <c r="E365" s="44">
        <v>180.52963256835901</v>
      </c>
      <c r="F365" s="45">
        <v>104.5017</v>
      </c>
      <c r="G365" s="9">
        <f>[2]monthly!$D464</f>
        <v>63.536666666666655</v>
      </c>
    </row>
    <row r="366" spans="1:7" x14ac:dyDescent="0.2">
      <c r="A366" s="27">
        <v>45778</v>
      </c>
      <c r="C366" s="42">
        <v>99.436760000000007</v>
      </c>
      <c r="D366" s="43">
        <v>124.8656</v>
      </c>
      <c r="E366" s="44">
        <v>180.57704162597699</v>
      </c>
      <c r="F366" s="45">
        <v>111.9228</v>
      </c>
      <c r="G366" s="9">
        <f>[2]monthly!$D465</f>
        <v>62.167619047619048</v>
      </c>
    </row>
    <row r="367" spans="1:7" x14ac:dyDescent="0.2">
      <c r="A367" s="27">
        <v>45809</v>
      </c>
      <c r="C367" s="42">
        <v>98.452650000000006</v>
      </c>
      <c r="D367" s="43">
        <v>111.14109999999999</v>
      </c>
      <c r="E367" s="44">
        <v>162.26509094238301</v>
      </c>
      <c r="F367" s="45">
        <v>98.546329999999998</v>
      </c>
      <c r="G367" s="9">
        <f>[2]monthly!$D466</f>
        <v>68.169000000000011</v>
      </c>
    </row>
    <row r="368" spans="1:7" x14ac:dyDescent="0.2">
      <c r="A368" s="27">
        <v>45839</v>
      </c>
      <c r="C368" s="42">
        <v>99.885170000000002</v>
      </c>
      <c r="D368" s="43">
        <v>131.58410000000001</v>
      </c>
      <c r="E368" s="44">
        <v>187.89169311523401</v>
      </c>
      <c r="F368" s="45">
        <v>109.03189999999999</v>
      </c>
      <c r="G368" s="9">
        <f>[2]monthly!$D467</f>
        <v>68.390909090909091</v>
      </c>
    </row>
    <row r="369" spans="1:7" x14ac:dyDescent="0.2">
      <c r="A369" s="27">
        <v>45870</v>
      </c>
      <c r="C369" s="42">
        <v>99.902289999999994</v>
      </c>
      <c r="D369" s="43">
        <v>125.8369</v>
      </c>
      <c r="E369" s="44">
        <v>180.99111938476599</v>
      </c>
      <c r="F369" s="45">
        <v>114.58620000000001</v>
      </c>
      <c r="G369" s="9">
        <f>[2]monthly!$D468</f>
        <v>64.864285714285714</v>
      </c>
    </row>
    <row r="370" spans="1:7" x14ac:dyDescent="0.2">
      <c r="A370" s="27">
        <v>45901</v>
      </c>
      <c r="C370" s="42">
        <v>100.1379</v>
      </c>
      <c r="D370" s="43">
        <v>129.23849999999999</v>
      </c>
      <c r="E370" s="44">
        <v>186.38328552246099</v>
      </c>
      <c r="F370" s="45">
        <v>108.79819999999999</v>
      </c>
      <c r="G370" s="9">
        <f>[2]monthly!$D469</f>
        <v>63.959047619047624</v>
      </c>
    </row>
    <row r="371" spans="1:7" x14ac:dyDescent="0.2">
      <c r="A371" s="27">
        <v>45931</v>
      </c>
      <c r="C371" s="42">
        <v>100.61409999999999</v>
      </c>
      <c r="D371" s="43">
        <v>128.51339999999999</v>
      </c>
      <c r="E371" s="44">
        <v>186.45719909668</v>
      </c>
      <c r="F371" s="45">
        <v>110.5801</v>
      </c>
      <c r="G371" s="9">
        <f>[2]monthly!$D470</f>
        <v>60.894545454545458</v>
      </c>
    </row>
    <row r="372" spans="1:7" x14ac:dyDescent="0.2">
      <c r="A372" s="27">
        <v>45962</v>
      </c>
      <c r="C372" s="42">
        <v>101.2517</v>
      </c>
      <c r="D372" s="43">
        <v>131.20849999999999</v>
      </c>
      <c r="E372" s="44">
        <v>186.43435668945301</v>
      </c>
      <c r="F372" s="45">
        <v>117.47110000000001</v>
      </c>
      <c r="G372" s="9">
        <f>[2]monthly!$D471</f>
        <v>60.062222222222218</v>
      </c>
    </row>
    <row r="373" spans="1:7" x14ac:dyDescent="0.2">
      <c r="A373" s="27">
        <v>45992</v>
      </c>
      <c r="C373" s="42">
        <v>101.5762</v>
      </c>
      <c r="D373" s="43">
        <v>130.65309999999999</v>
      </c>
      <c r="E373" s="44">
        <v>184.51800537109401</v>
      </c>
      <c r="F373" s="45">
        <v>113.29940000000001</v>
      </c>
      <c r="G373" s="9">
        <f>[2]monthly!$D472</f>
        <v>57.972272727272731</v>
      </c>
    </row>
    <row r="374" spans="1:7" x14ac:dyDescent="0.2">
      <c r="A374" s="27">
        <v>46023</v>
      </c>
      <c r="C374" s="42">
        <v>102.0437</v>
      </c>
      <c r="D374" s="43">
        <v>132.06710000000001</v>
      </c>
      <c r="E374" s="44">
        <v>190.44210815429699</v>
      </c>
      <c r="F374" s="45">
        <v>116.35850000000001</v>
      </c>
      <c r="G374" s="9">
        <f>[2]monthly!$D473</f>
        <v>60.301666666666655</v>
      </c>
    </row>
    <row r="375" spans="1:7" x14ac:dyDescent="0.2">
      <c r="A375" s="27">
        <v>46054</v>
      </c>
      <c r="C375" s="42">
        <v>101.78879999999999</v>
      </c>
      <c r="D375" s="43">
        <v>131.92240000000001</v>
      </c>
      <c r="E375" s="44">
        <v>190.88844299316401</v>
      </c>
      <c r="G375" s="9">
        <f>[2]monthly!$D474</f>
        <v>64.508421052631576</v>
      </c>
    </row>
    <row r="376" spans="1:7" x14ac:dyDescent="0.2">
      <c r="A376" s="27">
        <v>46082</v>
      </c>
      <c r="C376" s="42">
        <v>100.6541</v>
      </c>
      <c r="D376" s="43">
        <v>115.2499</v>
      </c>
      <c r="G376" s="9">
        <f>[2]monthly!$D475</f>
        <v>91.38363636363637</v>
      </c>
    </row>
    <row r="377" spans="1:7" x14ac:dyDescent="0.2">
      <c r="A377" s="27">
        <v>46113</v>
      </c>
      <c r="G377" s="9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9519-93A7-4054-83A1-28944BB58BE9}">
  <dimension ref="A1:F377"/>
  <sheetViews>
    <sheetView workbookViewId="0">
      <selection activeCell="B375" sqref="B375"/>
    </sheetView>
  </sheetViews>
  <sheetFormatPr defaultRowHeight="14.25" x14ac:dyDescent="0.2"/>
  <cols>
    <col min="1" max="1" width="10.375" style="26" bestFit="1" customWidth="1"/>
    <col min="2" max="2" width="9.875" bestFit="1" customWidth="1"/>
  </cols>
  <sheetData>
    <row r="1" spans="1:6" ht="38.25" x14ac:dyDescent="0.2">
      <c r="A1" s="24" t="s">
        <v>42</v>
      </c>
      <c r="B1" s="12" t="s">
        <v>53</v>
      </c>
      <c r="C1" s="12" t="s">
        <v>54</v>
      </c>
      <c r="D1" s="17" t="s">
        <v>57</v>
      </c>
      <c r="E1" s="17" t="s">
        <v>58</v>
      </c>
      <c r="F1" s="17" t="s">
        <v>59</v>
      </c>
    </row>
    <row r="2" spans="1:6" x14ac:dyDescent="0.2">
      <c r="A2" s="27">
        <v>34700</v>
      </c>
      <c r="B2" s="46">
        <f>[3]monthly!$M102</f>
        <v>7427.31396484375</v>
      </c>
      <c r="C2" s="46">
        <f>[3]monthly!$R102</f>
        <v>2021.13024902344</v>
      </c>
      <c r="D2" s="9"/>
      <c r="E2" s="9"/>
      <c r="F2" s="9"/>
    </row>
    <row r="3" spans="1:6" x14ac:dyDescent="0.2">
      <c r="A3" s="27">
        <v>34731</v>
      </c>
      <c r="B3" s="46">
        <f>[3]monthly!$M103</f>
        <v>7544.89111328125</v>
      </c>
      <c r="C3" s="46">
        <f>[3]monthly!$R103</f>
        <v>2016.67395019531</v>
      </c>
      <c r="D3" s="9"/>
      <c r="E3" s="9"/>
      <c r="F3" s="9"/>
    </row>
    <row r="4" spans="1:6" x14ac:dyDescent="0.2">
      <c r="A4" s="27">
        <v>34759</v>
      </c>
      <c r="B4" s="46">
        <f>[3]monthly!$M104</f>
        <v>7546.61767578125</v>
      </c>
      <c r="C4" s="46">
        <f>[3]monthly!$R104</f>
        <v>2048.50512695312</v>
      </c>
      <c r="D4" s="9"/>
      <c r="E4" s="9"/>
      <c r="F4" s="9"/>
    </row>
    <row r="5" spans="1:6" x14ac:dyDescent="0.2">
      <c r="A5" s="27">
        <v>34790</v>
      </c>
      <c r="B5" s="46">
        <f>[3]monthly!$M105</f>
        <v>7457.2373046875</v>
      </c>
      <c r="C5" s="46">
        <f>[3]monthly!$R105</f>
        <v>2059.99267578125</v>
      </c>
      <c r="D5" s="9"/>
      <c r="E5" s="9"/>
      <c r="F5" s="9"/>
    </row>
    <row r="6" spans="1:6" x14ac:dyDescent="0.2">
      <c r="A6" s="27">
        <v>34820</v>
      </c>
      <c r="B6" s="46">
        <f>[3]monthly!$M106</f>
        <v>7634.60498046875</v>
      </c>
      <c r="C6" s="46">
        <f>[3]monthly!$R106</f>
        <v>2066.80346679688</v>
      </c>
      <c r="D6" s="9"/>
      <c r="E6" s="9"/>
      <c r="F6" s="9"/>
    </row>
    <row r="7" spans="1:6" x14ac:dyDescent="0.2">
      <c r="A7" s="27">
        <v>34851</v>
      </c>
      <c r="B7" s="46">
        <f>[3]monthly!$M107</f>
        <v>7666.61376953125</v>
      </c>
      <c r="C7" s="46">
        <f>[3]monthly!$R107</f>
        <v>2072.44653320312</v>
      </c>
      <c r="D7" s="9"/>
      <c r="E7" s="9"/>
      <c r="F7" s="9"/>
    </row>
    <row r="8" spans="1:6" x14ac:dyDescent="0.2">
      <c r="A8" s="27">
        <v>34881</v>
      </c>
      <c r="B8" s="46">
        <f>[3]monthly!$M108</f>
        <v>7711.33837890625</v>
      </c>
      <c r="C8" s="46">
        <f>[3]monthly!$R108</f>
        <v>2083.43090820312</v>
      </c>
      <c r="D8" s="9"/>
      <c r="E8" s="9"/>
      <c r="F8" s="9"/>
    </row>
    <row r="9" spans="1:6" x14ac:dyDescent="0.2">
      <c r="A9" s="27">
        <v>34912</v>
      </c>
      <c r="B9" s="46">
        <f>[3]monthly!$M109</f>
        <v>7663.509765625</v>
      </c>
      <c r="C9" s="46">
        <f>[3]monthly!$R109</f>
        <v>2090.76782226562</v>
      </c>
      <c r="D9" s="9"/>
      <c r="E9" s="9"/>
      <c r="F9" s="9"/>
    </row>
    <row r="10" spans="1:6" x14ac:dyDescent="0.2">
      <c r="A10" s="27">
        <v>34943</v>
      </c>
      <c r="B10" s="46">
        <f>[3]monthly!$M110</f>
        <v>7623.0068359375</v>
      </c>
      <c r="C10" s="46">
        <f>[3]monthly!$R110</f>
        <v>2100.96118164062</v>
      </c>
      <c r="D10" s="9"/>
      <c r="E10" s="9"/>
      <c r="F10" s="9"/>
    </row>
    <row r="11" spans="1:6" x14ac:dyDescent="0.2">
      <c r="A11" s="27">
        <v>34973</v>
      </c>
      <c r="B11" s="46">
        <f>[3]monthly!$M111</f>
        <v>7583.44970703125</v>
      </c>
      <c r="C11" s="46">
        <f>[3]monthly!$R111</f>
        <v>2105.47338867188</v>
      </c>
      <c r="D11" s="9"/>
      <c r="E11" s="9"/>
      <c r="F11" s="9"/>
    </row>
    <row r="12" spans="1:6" x14ac:dyDescent="0.2">
      <c r="A12" s="27">
        <v>35004</v>
      </c>
      <c r="B12" s="46">
        <f>[3]monthly!$M112</f>
        <v>7649.24755859375</v>
      </c>
      <c r="C12" s="46">
        <f>[3]monthly!$R112</f>
        <v>2108.09301757812</v>
      </c>
      <c r="D12" s="9"/>
      <c r="E12" s="9"/>
      <c r="F12" s="9"/>
    </row>
    <row r="13" spans="1:6" x14ac:dyDescent="0.2">
      <c r="A13" s="27">
        <v>35034</v>
      </c>
      <c r="B13" s="46">
        <f>[3]monthly!$M113</f>
        <v>7579.8232421875</v>
      </c>
      <c r="C13" s="46">
        <f>[3]monthly!$R113</f>
        <v>2113.39965820312</v>
      </c>
      <c r="D13" s="9"/>
      <c r="E13" s="9"/>
      <c r="F13" s="9"/>
    </row>
    <row r="14" spans="1:6" x14ac:dyDescent="0.2">
      <c r="A14" s="27">
        <v>35065</v>
      </c>
      <c r="B14" s="46">
        <f>[3]monthly!$M114</f>
        <v>7629.40185546875</v>
      </c>
      <c r="C14" s="46">
        <f>[3]monthly!$R114</f>
        <v>2141.7998046875</v>
      </c>
      <c r="D14" s="9"/>
      <c r="E14" s="9"/>
      <c r="F14" s="9"/>
    </row>
    <row r="15" spans="1:6" x14ac:dyDescent="0.2">
      <c r="A15" s="27">
        <v>35096</v>
      </c>
      <c r="B15" s="46">
        <f>[3]monthly!$M115</f>
        <v>7658.28369140625</v>
      </c>
      <c r="C15" s="46">
        <f>[3]monthly!$R115</f>
        <v>2137.3857421875</v>
      </c>
      <c r="D15" s="9"/>
      <c r="E15" s="9"/>
      <c r="F15" s="9"/>
    </row>
    <row r="16" spans="1:6" x14ac:dyDescent="0.2">
      <c r="A16" s="27">
        <v>35125</v>
      </c>
      <c r="B16" s="46">
        <f>[3]monthly!$M116</f>
        <v>7670.72509765625</v>
      </c>
      <c r="C16" s="46">
        <f>[3]monthly!$R116</f>
        <v>2133.59985351562</v>
      </c>
      <c r="D16" s="9"/>
      <c r="E16" s="9"/>
      <c r="F16" s="9"/>
    </row>
    <row r="17" spans="1:6" x14ac:dyDescent="0.2">
      <c r="A17" s="27">
        <v>35156</v>
      </c>
      <c r="B17" s="46">
        <f>[3]monthly!$M117</f>
        <v>7650.9833984375</v>
      </c>
      <c r="C17" s="46">
        <f>[3]monthly!$R117</f>
        <v>2139.04638671875</v>
      </c>
      <c r="D17" s="9"/>
      <c r="E17" s="9"/>
      <c r="F17" s="9"/>
    </row>
    <row r="18" spans="1:6" x14ac:dyDescent="0.2">
      <c r="A18" s="27">
        <v>35186</v>
      </c>
      <c r="B18" s="46">
        <f>[3]monthly!$M118</f>
        <v>7659.22119140625</v>
      </c>
      <c r="C18" s="46">
        <f>[3]monthly!$R118</f>
        <v>2153.7314453125</v>
      </c>
      <c r="D18" s="9"/>
      <c r="E18" s="9"/>
      <c r="F18" s="9"/>
    </row>
    <row r="19" spans="1:6" x14ac:dyDescent="0.2">
      <c r="A19" s="27">
        <v>35217</v>
      </c>
      <c r="B19" s="46">
        <f>[3]monthly!$M119</f>
        <v>7677.96435546875</v>
      </c>
      <c r="C19" s="46">
        <f>[3]monthly!$R119</f>
        <v>2167.02197265625</v>
      </c>
      <c r="D19" s="9"/>
      <c r="E19" s="9"/>
      <c r="F19" s="9"/>
    </row>
    <row r="20" spans="1:6" x14ac:dyDescent="0.2">
      <c r="A20" s="27">
        <v>35247</v>
      </c>
      <c r="B20" s="46">
        <f>[3]monthly!$M120</f>
        <v>7588.0751953125</v>
      </c>
      <c r="C20" s="46">
        <f>[3]monthly!$R120</f>
        <v>2185.6748046875</v>
      </c>
      <c r="D20" s="9"/>
      <c r="E20" s="9"/>
      <c r="F20" s="9"/>
    </row>
    <row r="21" spans="1:6" x14ac:dyDescent="0.2">
      <c r="A21" s="27">
        <v>35278</v>
      </c>
      <c r="B21" s="46">
        <f>[3]monthly!$M121</f>
        <v>7884.833984375</v>
      </c>
      <c r="C21" s="46">
        <f>[3]monthly!$R121</f>
        <v>2194.02319335938</v>
      </c>
      <c r="D21" s="9"/>
      <c r="E21" s="9"/>
      <c r="F21" s="9"/>
    </row>
    <row r="22" spans="1:6" x14ac:dyDescent="0.2">
      <c r="A22" s="27">
        <v>35309</v>
      </c>
      <c r="B22" s="46">
        <f>[3]monthly!$M122</f>
        <v>7750.2275390625</v>
      </c>
      <c r="C22" s="46">
        <f>[3]monthly!$R122</f>
        <v>2198.29370117188</v>
      </c>
      <c r="D22" s="9"/>
      <c r="E22" s="9"/>
      <c r="F22" s="9"/>
    </row>
    <row r="23" spans="1:6" x14ac:dyDescent="0.2">
      <c r="A23" s="27">
        <v>35339</v>
      </c>
      <c r="B23" s="46">
        <f>[3]monthly!$M123</f>
        <v>7801.09326171875</v>
      </c>
      <c r="C23" s="46">
        <f>[3]monthly!$R123</f>
        <v>2221.02221679688</v>
      </c>
      <c r="D23" s="9"/>
      <c r="E23" s="9"/>
      <c r="F23" s="9"/>
    </row>
    <row r="24" spans="1:6" x14ac:dyDescent="0.2">
      <c r="A24" s="27">
        <v>35370</v>
      </c>
      <c r="B24" s="46">
        <f>[3]monthly!$M124</f>
        <v>7744.5322265625</v>
      </c>
      <c r="C24" s="46">
        <f>[3]monthly!$R124</f>
        <v>2207.97778320312</v>
      </c>
      <c r="D24" s="9"/>
      <c r="E24" s="9"/>
      <c r="F24" s="9"/>
    </row>
    <row r="25" spans="1:6" x14ac:dyDescent="0.2">
      <c r="A25" s="27">
        <v>35400</v>
      </c>
      <c r="B25" s="46">
        <f>[3]monthly!$M125</f>
        <v>7839.373046875</v>
      </c>
      <c r="C25" s="46">
        <f>[3]monthly!$R125</f>
        <v>2215.29663085938</v>
      </c>
      <c r="D25" s="9"/>
      <c r="E25" s="9"/>
      <c r="F25" s="9"/>
    </row>
    <row r="26" spans="1:6" x14ac:dyDescent="0.2">
      <c r="A26" s="27">
        <v>35431</v>
      </c>
      <c r="B26" s="46">
        <f>[3]monthly!$M126</f>
        <v>7852.73974609375</v>
      </c>
      <c r="C26" s="46">
        <f>[3]monthly!$R126</f>
        <v>2213.8173828125</v>
      </c>
      <c r="D26" s="9"/>
      <c r="E26" s="9"/>
      <c r="F26" s="9"/>
    </row>
    <row r="27" spans="1:6" x14ac:dyDescent="0.2">
      <c r="A27" s="27">
        <v>35462</v>
      </c>
      <c r="B27" s="46">
        <f>[3]monthly!$M127</f>
        <v>7773.84814453125</v>
      </c>
      <c r="C27" s="46">
        <f>[3]monthly!$R127</f>
        <v>2212.90283203125</v>
      </c>
      <c r="D27" s="9"/>
      <c r="E27" s="9"/>
      <c r="F27" s="9"/>
    </row>
    <row r="28" spans="1:6" x14ac:dyDescent="0.2">
      <c r="A28" s="27">
        <v>35490</v>
      </c>
      <c r="B28" s="46">
        <f>[3]monthly!$M128</f>
        <v>7682.26025390625</v>
      </c>
      <c r="C28" s="46">
        <f>[3]monthly!$R128</f>
        <v>2217.36059570312</v>
      </c>
      <c r="D28" s="9"/>
      <c r="E28" s="9"/>
      <c r="F28" s="9"/>
    </row>
    <row r="29" spans="1:6" x14ac:dyDescent="0.2">
      <c r="A29" s="27">
        <v>35521</v>
      </c>
      <c r="B29" s="46">
        <f>[3]monthly!$M129</f>
        <v>7852.5185546875</v>
      </c>
      <c r="C29" s="46">
        <f>[3]monthly!$R129</f>
        <v>2220.12475585938</v>
      </c>
      <c r="D29" s="9"/>
      <c r="E29" s="9"/>
      <c r="F29" s="9"/>
    </row>
    <row r="30" spans="1:6" x14ac:dyDescent="0.2">
      <c r="A30" s="27">
        <v>35551</v>
      </c>
      <c r="B30" s="46">
        <f>[3]monthly!$M130</f>
        <v>7835.73583984375</v>
      </c>
      <c r="C30" s="46">
        <f>[3]monthly!$R130</f>
        <v>2223.27416992188</v>
      </c>
      <c r="D30" s="9"/>
      <c r="E30" s="9"/>
      <c r="F30" s="9"/>
    </row>
    <row r="31" spans="1:6" x14ac:dyDescent="0.2">
      <c r="A31" s="27">
        <v>35582</v>
      </c>
      <c r="B31" s="46">
        <f>[3]monthly!$M131</f>
        <v>7872.74169921875</v>
      </c>
      <c r="C31" s="46">
        <f>[3]monthly!$R131</f>
        <v>2225.48193359375</v>
      </c>
      <c r="D31" s="9"/>
      <c r="E31" s="9"/>
      <c r="F31" s="9"/>
    </row>
    <row r="32" spans="1:6" x14ac:dyDescent="0.2">
      <c r="A32" s="27">
        <v>35612</v>
      </c>
      <c r="B32" s="46">
        <f>[3]monthly!$M132</f>
        <v>7910.0673828125</v>
      </c>
      <c r="C32" s="46">
        <f>[3]monthly!$R132</f>
        <v>2223.77856445312</v>
      </c>
      <c r="D32" s="9"/>
      <c r="E32" s="9"/>
      <c r="F32" s="9"/>
    </row>
    <row r="33" spans="1:6" x14ac:dyDescent="0.2">
      <c r="A33" s="27">
        <v>35643</v>
      </c>
      <c r="B33" s="46">
        <f>[3]monthly!$M133</f>
        <v>7883.53955078125</v>
      </c>
      <c r="C33" s="46">
        <f>[3]monthly!$R133</f>
        <v>2200.95532226562</v>
      </c>
      <c r="D33" s="9"/>
      <c r="E33" s="9"/>
      <c r="F33" s="9"/>
    </row>
    <row r="34" spans="1:6" x14ac:dyDescent="0.2">
      <c r="A34" s="27">
        <v>35674</v>
      </c>
      <c r="B34" s="46">
        <f>[3]monthly!$M134</f>
        <v>8131.03955078125</v>
      </c>
      <c r="C34" s="46">
        <f>[3]monthly!$R134</f>
        <v>2249.26904296875</v>
      </c>
      <c r="D34" s="9"/>
      <c r="E34" s="9"/>
      <c r="F34" s="9"/>
    </row>
    <row r="35" spans="1:6" x14ac:dyDescent="0.2">
      <c r="A35" s="27">
        <v>35704</v>
      </c>
      <c r="B35" s="46">
        <f>[3]monthly!$M135</f>
        <v>7963.6572265625</v>
      </c>
      <c r="C35" s="46">
        <f>[3]monthly!$R135</f>
        <v>2221.2685546875</v>
      </c>
      <c r="D35" s="9"/>
      <c r="E35" s="9"/>
      <c r="F35" s="9"/>
    </row>
    <row r="36" spans="1:6" x14ac:dyDescent="0.2">
      <c r="A36" s="27">
        <v>35735</v>
      </c>
      <c r="B36" s="46">
        <f>[3]monthly!$M136</f>
        <v>8009.83935546875</v>
      </c>
      <c r="C36" s="46">
        <f>[3]monthly!$R136</f>
        <v>2234.02587890625</v>
      </c>
      <c r="D36" s="9"/>
      <c r="E36" s="9"/>
      <c r="F36" s="9"/>
    </row>
    <row r="37" spans="1:6" x14ac:dyDescent="0.2">
      <c r="A37" s="27">
        <v>35765</v>
      </c>
      <c r="B37" s="46">
        <f>[3]monthly!$M137</f>
        <v>8020.92041015625</v>
      </c>
      <c r="C37" s="46">
        <f>[3]monthly!$R137</f>
        <v>2245.02709960938</v>
      </c>
      <c r="D37" s="9"/>
      <c r="E37" s="9"/>
      <c r="F37" s="9"/>
    </row>
    <row r="38" spans="1:6" x14ac:dyDescent="0.2">
      <c r="A38" s="27">
        <v>35796</v>
      </c>
      <c r="B38" s="46">
        <f>[3]monthly!$M138</f>
        <v>8016.20751953125</v>
      </c>
      <c r="C38" s="46">
        <f>[3]monthly!$R138</f>
        <v>2244.41870117188</v>
      </c>
      <c r="D38" s="9"/>
      <c r="E38" s="9"/>
      <c r="F38" s="9"/>
    </row>
    <row r="39" spans="1:6" x14ac:dyDescent="0.2">
      <c r="A39" s="27">
        <v>35827</v>
      </c>
      <c r="B39" s="46">
        <f>[3]monthly!$M139</f>
        <v>8115.29541015625</v>
      </c>
      <c r="C39" s="46">
        <f>[3]monthly!$R139</f>
        <v>2244.38891601562</v>
      </c>
      <c r="D39" s="9"/>
      <c r="E39" s="9"/>
      <c r="F39" s="9"/>
    </row>
    <row r="40" spans="1:6" x14ac:dyDescent="0.2">
      <c r="A40" s="27">
        <v>35855</v>
      </c>
      <c r="B40" s="46">
        <f>[3]monthly!$M140</f>
        <v>8105.77880859375</v>
      </c>
      <c r="C40" s="46">
        <f>[3]monthly!$R140</f>
        <v>2250.48193359375</v>
      </c>
      <c r="D40" s="9"/>
      <c r="E40" s="9"/>
      <c r="F40" s="9"/>
    </row>
    <row r="41" spans="1:6" x14ac:dyDescent="0.2">
      <c r="A41" s="27">
        <v>35886</v>
      </c>
      <c r="B41" s="46">
        <f>[3]monthly!$M141</f>
        <v>8069.83154296875</v>
      </c>
      <c r="C41" s="46">
        <f>[3]monthly!$R141</f>
        <v>2251.20043945312</v>
      </c>
      <c r="D41" s="9"/>
      <c r="E41" s="9"/>
      <c r="F41" s="9"/>
    </row>
    <row r="42" spans="1:6" x14ac:dyDescent="0.2">
      <c r="A42" s="27">
        <v>35916</v>
      </c>
      <c r="B42" s="46">
        <f>[3]monthly!$M142</f>
        <v>8084.23388671875</v>
      </c>
      <c r="C42" s="46">
        <f>[3]monthly!$R142</f>
        <v>2247.85961914062</v>
      </c>
      <c r="D42" s="9"/>
      <c r="E42" s="9"/>
      <c r="F42" s="9"/>
    </row>
    <row r="43" spans="1:6" x14ac:dyDescent="0.2">
      <c r="A43" s="27">
        <v>35947</v>
      </c>
      <c r="B43" s="46">
        <f>[3]monthly!$M143</f>
        <v>8150.34619140625</v>
      </c>
      <c r="C43" s="46">
        <f>[3]monthly!$R143</f>
        <v>2251.60131835938</v>
      </c>
      <c r="D43" s="9"/>
      <c r="E43" s="9"/>
      <c r="F43" s="9"/>
    </row>
    <row r="44" spans="1:6" x14ac:dyDescent="0.2">
      <c r="A44" s="27">
        <v>35977</v>
      </c>
      <c r="B44" s="46">
        <f>[3]monthly!$M144</f>
        <v>8145.77294921875</v>
      </c>
      <c r="C44" s="46">
        <f>[3]monthly!$R144</f>
        <v>2248.8798828125</v>
      </c>
      <c r="D44" s="9"/>
      <c r="E44" s="9"/>
      <c r="F44" s="9"/>
    </row>
    <row r="45" spans="1:6" x14ac:dyDescent="0.2">
      <c r="A45" s="27">
        <v>36008</v>
      </c>
      <c r="B45" s="46">
        <f>[3]monthly!$M145</f>
        <v>8157.22021484375</v>
      </c>
      <c r="C45" s="46">
        <f>[3]monthly!$R145</f>
        <v>2255.33911132812</v>
      </c>
      <c r="D45" s="9"/>
      <c r="E45" s="9"/>
      <c r="F45" s="9"/>
    </row>
    <row r="46" spans="1:6" x14ac:dyDescent="0.2">
      <c r="A46" s="27">
        <v>36039</v>
      </c>
      <c r="B46" s="46">
        <f>[3]monthly!$M146</f>
        <v>8196.2939453125</v>
      </c>
      <c r="C46" s="46">
        <f>[3]monthly!$R146</f>
        <v>2265.45190429688</v>
      </c>
      <c r="D46" s="9"/>
      <c r="E46" s="9"/>
      <c r="F46" s="9"/>
    </row>
    <row r="47" spans="1:6" x14ac:dyDescent="0.2">
      <c r="A47" s="27">
        <v>36069</v>
      </c>
      <c r="B47" s="46">
        <f>[3]monthly!$M147</f>
        <v>7864.50537109375</v>
      </c>
      <c r="C47" s="46">
        <f>[3]monthly!$R147</f>
        <v>2268.99682617188</v>
      </c>
      <c r="D47" s="9"/>
      <c r="E47" s="9"/>
      <c r="F47" s="9"/>
    </row>
    <row r="48" spans="1:6" x14ac:dyDescent="0.2">
      <c r="A48" s="27">
        <v>36100</v>
      </c>
      <c r="B48" s="46">
        <f>[3]monthly!$M148</f>
        <v>7955.04541015625</v>
      </c>
      <c r="C48" s="46">
        <f>[3]monthly!$R148</f>
        <v>2283.73803710938</v>
      </c>
      <c r="D48" s="9"/>
      <c r="E48" s="9"/>
      <c r="F48" s="9"/>
    </row>
    <row r="49" spans="1:6" x14ac:dyDescent="0.2">
      <c r="A49" s="27">
        <v>36130</v>
      </c>
      <c r="B49" s="46">
        <f>[3]monthly!$M149</f>
        <v>7977.43310546875</v>
      </c>
      <c r="C49" s="46">
        <f>[3]monthly!$R149</f>
        <v>2285.14770507812</v>
      </c>
      <c r="D49" s="9"/>
      <c r="E49" s="9"/>
      <c r="F49" s="9"/>
    </row>
    <row r="50" spans="1:6" x14ac:dyDescent="0.2">
      <c r="A50" s="27">
        <v>36161</v>
      </c>
      <c r="B50" s="46">
        <f>[3]monthly!$M150</f>
        <v>8023.69140625</v>
      </c>
      <c r="C50" s="46">
        <f>[3]monthly!$R150</f>
        <v>2283.43994140625</v>
      </c>
      <c r="D50" s="9"/>
      <c r="E50" s="9"/>
      <c r="F50" s="9"/>
    </row>
    <row r="51" spans="1:6" x14ac:dyDescent="0.2">
      <c r="A51" s="27">
        <v>36192</v>
      </c>
      <c r="B51" s="46">
        <f>[3]monthly!$M151</f>
        <v>8078.3427734375</v>
      </c>
      <c r="C51" s="46">
        <f>[3]monthly!$R151</f>
        <v>2288.35302734375</v>
      </c>
      <c r="D51" s="9"/>
      <c r="E51" s="9"/>
      <c r="F51" s="9"/>
    </row>
    <row r="52" spans="1:6" x14ac:dyDescent="0.2">
      <c r="A52" s="27">
        <v>36220</v>
      </c>
      <c r="B52" s="46">
        <f>[3]monthly!$M152</f>
        <v>8115.41845703125</v>
      </c>
      <c r="C52" s="46">
        <f>[3]monthly!$R152</f>
        <v>2294.95654296875</v>
      </c>
      <c r="D52" s="9"/>
      <c r="E52" s="9"/>
      <c r="F52" s="9"/>
    </row>
    <row r="53" spans="1:6" x14ac:dyDescent="0.2">
      <c r="A53" s="27">
        <v>36251</v>
      </c>
      <c r="B53" s="46">
        <f>[3]monthly!$M153</f>
        <v>8151.00537109375</v>
      </c>
      <c r="C53" s="46">
        <f>[3]monthly!$R153</f>
        <v>2300.25341796875</v>
      </c>
      <c r="D53" s="9"/>
      <c r="E53" s="9"/>
      <c r="F53" s="9"/>
    </row>
    <row r="54" spans="1:6" x14ac:dyDescent="0.2">
      <c r="A54" s="27">
        <v>36281</v>
      </c>
      <c r="B54" s="46">
        <f>[3]monthly!$M154</f>
        <v>8195.25390625</v>
      </c>
      <c r="C54" s="46">
        <f>[3]monthly!$R154</f>
        <v>2302.39868164062</v>
      </c>
      <c r="D54" s="9"/>
      <c r="E54" s="9"/>
      <c r="F54" s="9"/>
    </row>
    <row r="55" spans="1:6" x14ac:dyDescent="0.2">
      <c r="A55" s="27">
        <v>36312</v>
      </c>
      <c r="B55" s="46">
        <f>[3]monthly!$M155</f>
        <v>8380.6572265625</v>
      </c>
      <c r="C55" s="46">
        <f>[3]monthly!$R155</f>
        <v>2305.7080078125</v>
      </c>
      <c r="D55" s="9"/>
      <c r="E55" s="9"/>
      <c r="F55" s="9"/>
    </row>
    <row r="56" spans="1:6" x14ac:dyDescent="0.2">
      <c r="A56" s="27">
        <v>36342</v>
      </c>
      <c r="B56" s="46">
        <f>[3]monthly!$M156</f>
        <v>8258.3466796875</v>
      </c>
      <c r="C56" s="46">
        <f>[3]monthly!$R156</f>
        <v>2297.83935546875</v>
      </c>
      <c r="D56" s="9"/>
      <c r="E56" s="9"/>
      <c r="F56" s="9"/>
    </row>
    <row r="57" spans="1:6" x14ac:dyDescent="0.2">
      <c r="A57" s="27">
        <v>36373</v>
      </c>
      <c r="B57" s="46">
        <f>[3]monthly!$M157</f>
        <v>8280.6171875</v>
      </c>
      <c r="C57" s="46">
        <f>[3]monthly!$R157</f>
        <v>2315.83666992188</v>
      </c>
      <c r="D57" s="9"/>
      <c r="E57" s="9"/>
      <c r="F57" s="9"/>
    </row>
    <row r="58" spans="1:6" x14ac:dyDescent="0.2">
      <c r="A58" s="27">
        <v>36404</v>
      </c>
      <c r="B58" s="46">
        <f>[3]monthly!$M158</f>
        <v>8189.337890625</v>
      </c>
      <c r="C58" s="46">
        <f>[3]monthly!$R158</f>
        <v>2329.6982421875</v>
      </c>
      <c r="D58" s="9"/>
      <c r="E58" s="9"/>
      <c r="F58" s="9"/>
    </row>
    <row r="59" spans="1:6" x14ac:dyDescent="0.2">
      <c r="A59" s="27">
        <v>36434</v>
      </c>
      <c r="B59" s="46">
        <f>[3]monthly!$M159</f>
        <v>8178.314453125</v>
      </c>
      <c r="C59" s="46">
        <f>[3]monthly!$R159</f>
        <v>2345.9296875</v>
      </c>
      <c r="D59" s="9"/>
      <c r="E59" s="9"/>
      <c r="F59" s="9"/>
    </row>
    <row r="60" spans="1:6" x14ac:dyDescent="0.2">
      <c r="A60" s="27">
        <v>36465</v>
      </c>
      <c r="B60" s="46">
        <f>[3]monthly!$M160</f>
        <v>8736.4921875</v>
      </c>
      <c r="C60" s="46">
        <f>[3]monthly!$R160</f>
        <v>2344.42822265625</v>
      </c>
      <c r="D60" s="9"/>
      <c r="E60" s="9"/>
      <c r="F60" s="9"/>
    </row>
    <row r="61" spans="1:6" x14ac:dyDescent="0.2">
      <c r="A61" s="27">
        <v>36495</v>
      </c>
      <c r="B61" s="46">
        <f>[3]monthly!$M161</f>
        <v>8697.9287109375</v>
      </c>
      <c r="C61" s="46">
        <f>[3]monthly!$R161</f>
        <v>2337.72021484375</v>
      </c>
      <c r="D61" s="9"/>
      <c r="E61" s="9"/>
      <c r="F61" s="9"/>
    </row>
    <row r="62" spans="1:6" x14ac:dyDescent="0.2">
      <c r="A62" s="27">
        <v>36526</v>
      </c>
      <c r="B62" s="46">
        <f>[3]monthly!$M162</f>
        <v>8609.2568359375</v>
      </c>
      <c r="C62" s="46">
        <f>[3]monthly!$R162</f>
        <v>2348.62573242188</v>
      </c>
      <c r="D62" s="9"/>
      <c r="E62" s="9"/>
      <c r="F62" s="9"/>
    </row>
    <row r="63" spans="1:6" x14ac:dyDescent="0.2">
      <c r="A63" s="27">
        <v>36557</v>
      </c>
      <c r="B63" s="46">
        <f>[3]monthly!$M163</f>
        <v>8605.6181640625</v>
      </c>
      <c r="C63" s="46">
        <f>[3]monthly!$R163</f>
        <v>2361.95385742188</v>
      </c>
      <c r="D63" s="9"/>
      <c r="E63" s="9"/>
      <c r="F63" s="9"/>
    </row>
    <row r="64" spans="1:6" x14ac:dyDescent="0.2">
      <c r="A64" s="27">
        <v>36586</v>
      </c>
      <c r="B64" s="46">
        <f>[3]monthly!$M164</f>
        <v>8758.6640625</v>
      </c>
      <c r="C64" s="46">
        <f>[3]monthly!$R164</f>
        <v>2368.55639648438</v>
      </c>
      <c r="D64" s="9"/>
      <c r="E64" s="9"/>
      <c r="F64" s="9"/>
    </row>
    <row r="65" spans="1:6" x14ac:dyDescent="0.2">
      <c r="A65" s="27">
        <v>36617</v>
      </c>
      <c r="B65" s="46">
        <f>[3]monthly!$M165</f>
        <v>8651.7177734375</v>
      </c>
      <c r="C65" s="46">
        <f>[3]monthly!$R165</f>
        <v>2375.34252929688</v>
      </c>
      <c r="D65" s="9"/>
      <c r="E65" s="9"/>
      <c r="F65" s="9"/>
    </row>
    <row r="66" spans="1:6" x14ac:dyDescent="0.2">
      <c r="A66" s="27">
        <v>36647</v>
      </c>
      <c r="B66" s="46">
        <f>[3]monthly!$M166</f>
        <v>8695.2939453125</v>
      </c>
      <c r="C66" s="46">
        <f>[3]monthly!$R166</f>
        <v>2382.158203125</v>
      </c>
      <c r="D66" s="9"/>
      <c r="E66" s="9"/>
      <c r="F66" s="9"/>
    </row>
    <row r="67" spans="1:6" x14ac:dyDescent="0.2">
      <c r="A67" s="27">
        <v>36678</v>
      </c>
      <c r="B67" s="46">
        <f>[3]monthly!$M167</f>
        <v>8686.265625</v>
      </c>
      <c r="C67" s="46">
        <f>[3]monthly!$R167</f>
        <v>2382.91235351562</v>
      </c>
      <c r="D67" s="9"/>
      <c r="E67" s="9"/>
      <c r="F67" s="9"/>
    </row>
    <row r="68" spans="1:6" x14ac:dyDescent="0.2">
      <c r="A68" s="27">
        <v>36708</v>
      </c>
      <c r="B68" s="46">
        <f>[3]monthly!$M168</f>
        <v>8704.7900390625</v>
      </c>
      <c r="C68" s="46">
        <f>[3]monthly!$R168</f>
        <v>2399.64721679688</v>
      </c>
      <c r="D68" s="9"/>
      <c r="E68" s="9"/>
      <c r="F68" s="9"/>
    </row>
    <row r="69" spans="1:6" x14ac:dyDescent="0.2">
      <c r="A69" s="27">
        <v>36739</v>
      </c>
      <c r="B69" s="46">
        <f>[3]monthly!$M169</f>
        <v>8883.220703125</v>
      </c>
      <c r="C69" s="46">
        <f>[3]monthly!$R169</f>
        <v>2412.197265625</v>
      </c>
      <c r="D69" s="9"/>
      <c r="E69" s="9"/>
      <c r="F69" s="9"/>
    </row>
    <row r="70" spans="1:6" x14ac:dyDescent="0.2">
      <c r="A70" s="27">
        <v>36770</v>
      </c>
      <c r="B70" s="46">
        <f>[3]monthly!$M170</f>
        <v>8913.7529296875</v>
      </c>
      <c r="C70" s="46">
        <f>[3]monthly!$R170</f>
        <v>2447.77587890625</v>
      </c>
      <c r="D70" s="9"/>
      <c r="E70" s="9"/>
      <c r="F70" s="9"/>
    </row>
    <row r="71" spans="1:6" x14ac:dyDescent="0.2">
      <c r="A71" s="27">
        <v>36800</v>
      </c>
      <c r="B71" s="46">
        <f>[3]monthly!$M171</f>
        <v>9014.3642578125</v>
      </c>
      <c r="C71" s="46">
        <f>[3]monthly!$R171</f>
        <v>2406.71362304688</v>
      </c>
      <c r="D71" s="9"/>
      <c r="E71" s="9"/>
      <c r="F71" s="9"/>
    </row>
    <row r="72" spans="1:6" x14ac:dyDescent="0.2">
      <c r="A72" s="27">
        <v>36831</v>
      </c>
      <c r="B72" s="46">
        <f>[3]monthly!$M172</f>
        <v>8993.8203125</v>
      </c>
      <c r="C72" s="46">
        <f>[3]monthly!$R172</f>
        <v>2405.62133789062</v>
      </c>
      <c r="D72" s="9"/>
      <c r="E72" s="9"/>
      <c r="F72" s="9"/>
    </row>
    <row r="73" spans="1:6" x14ac:dyDescent="0.2">
      <c r="A73" s="27">
        <v>36861</v>
      </c>
      <c r="B73" s="46">
        <f>[3]monthly!$M173</f>
        <v>8961.8447265625</v>
      </c>
      <c r="C73" s="46">
        <f>[3]monthly!$R173</f>
        <v>2412.95874023438</v>
      </c>
      <c r="D73" s="9"/>
      <c r="E73" s="9"/>
      <c r="F73" s="9"/>
    </row>
    <row r="74" spans="1:6" x14ac:dyDescent="0.2">
      <c r="A74" s="27">
        <v>36892</v>
      </c>
      <c r="B74" s="46">
        <f>[3]monthly!$M174</f>
        <v>9067.5166015625</v>
      </c>
      <c r="C74" s="46">
        <f>[3]monthly!$R174</f>
        <v>2422.38671875</v>
      </c>
      <c r="D74" s="9"/>
      <c r="E74" s="9"/>
      <c r="F74" s="9"/>
    </row>
    <row r="75" spans="1:6" x14ac:dyDescent="0.2">
      <c r="A75" s="27">
        <v>36923</v>
      </c>
      <c r="B75" s="46">
        <f>[3]monthly!$M175</f>
        <v>9261.0322265625</v>
      </c>
      <c r="C75" s="46">
        <f>[3]monthly!$R175</f>
        <v>2426.8486328125</v>
      </c>
      <c r="D75" s="9"/>
      <c r="E75" s="9"/>
      <c r="F75" s="9"/>
    </row>
    <row r="76" spans="1:6" x14ac:dyDescent="0.2">
      <c r="A76" s="27">
        <v>36951</v>
      </c>
      <c r="B76" s="46">
        <f>[3]monthly!$M176</f>
        <v>8992.7119140625</v>
      </c>
      <c r="C76" s="46">
        <f>[3]monthly!$R176</f>
        <v>2435.8759765625</v>
      </c>
      <c r="D76" s="9"/>
      <c r="E76" s="9"/>
      <c r="F76" s="9"/>
    </row>
    <row r="77" spans="1:6" x14ac:dyDescent="0.2">
      <c r="A77" s="27">
        <v>36982</v>
      </c>
      <c r="B77" s="46">
        <f>[3]monthly!$M177</f>
        <v>9187.9228515625</v>
      </c>
      <c r="C77" s="46">
        <f>[3]monthly!$R177</f>
        <v>2447.9140625</v>
      </c>
      <c r="D77" s="9"/>
      <c r="E77" s="9"/>
      <c r="F77" s="9"/>
    </row>
    <row r="78" spans="1:6" x14ac:dyDescent="0.2">
      <c r="A78" s="27">
        <v>37012</v>
      </c>
      <c r="B78" s="46">
        <f>[3]monthly!$M178</f>
        <v>9302.6552734375</v>
      </c>
      <c r="C78" s="46">
        <f>[3]monthly!$R178</f>
        <v>2434.22119140625</v>
      </c>
      <c r="D78" s="9"/>
      <c r="E78" s="9"/>
      <c r="F78" s="9"/>
    </row>
    <row r="79" spans="1:6" x14ac:dyDescent="0.2">
      <c r="A79" s="27">
        <v>37043</v>
      </c>
      <c r="B79" s="46">
        <f>[3]monthly!$M179</f>
        <v>9165.9052734375</v>
      </c>
      <c r="C79" s="46">
        <f>[3]monthly!$R179</f>
        <v>2425.88818359375</v>
      </c>
      <c r="D79" s="9"/>
      <c r="E79" s="9"/>
      <c r="F79" s="9"/>
    </row>
    <row r="80" spans="1:6" x14ac:dyDescent="0.2">
      <c r="A80" s="27">
        <v>37073</v>
      </c>
      <c r="B80" s="46">
        <f>[3]monthly!$M180</f>
        <v>9068.7099609375</v>
      </c>
      <c r="C80" s="46">
        <f>[3]monthly!$R180</f>
        <v>2409.9404296875</v>
      </c>
      <c r="D80" s="9"/>
      <c r="E80" s="9"/>
      <c r="F80" s="9"/>
    </row>
    <row r="81" spans="1:6" x14ac:dyDescent="0.2">
      <c r="A81" s="27">
        <v>37104</v>
      </c>
      <c r="B81" s="46">
        <f>[3]monthly!$M181</f>
        <v>8983.74609375</v>
      </c>
      <c r="C81" s="46">
        <f>[3]monthly!$R181</f>
        <v>2412.35180664062</v>
      </c>
      <c r="D81" s="9"/>
      <c r="E81" s="9"/>
      <c r="F81" s="9"/>
    </row>
    <row r="82" spans="1:6" x14ac:dyDescent="0.2">
      <c r="A82" s="27">
        <v>37135</v>
      </c>
      <c r="B82" s="46">
        <f>[3]monthly!$M182</f>
        <v>8895.3271484375</v>
      </c>
      <c r="C82" s="46">
        <f>[3]monthly!$R182</f>
        <v>2405.05151367188</v>
      </c>
      <c r="D82" s="9"/>
      <c r="E82" s="9"/>
      <c r="F82" s="9"/>
    </row>
    <row r="83" spans="1:6" x14ac:dyDescent="0.2">
      <c r="A83" s="27">
        <v>37165</v>
      </c>
      <c r="B83" s="46">
        <f>[3]monthly!$M183</f>
        <v>8886.125</v>
      </c>
      <c r="C83" s="46">
        <f>[3]monthly!$R183</f>
        <v>2413.99462890625</v>
      </c>
      <c r="D83" s="9"/>
      <c r="E83" s="9"/>
      <c r="F83" s="9"/>
    </row>
    <row r="84" spans="1:6" x14ac:dyDescent="0.2">
      <c r="A84" s="27">
        <v>37196</v>
      </c>
      <c r="B84" s="46">
        <f>[3]monthly!$M184</f>
        <v>8920.3525390625</v>
      </c>
      <c r="C84" s="46">
        <f>[3]monthly!$R184</f>
        <v>2414.84741210938</v>
      </c>
      <c r="D84" s="9"/>
      <c r="E84" s="9"/>
      <c r="F84" s="9"/>
    </row>
    <row r="85" spans="1:6" x14ac:dyDescent="0.2">
      <c r="A85" s="27">
        <v>37226</v>
      </c>
      <c r="B85" s="46">
        <f>[3]monthly!$M185</f>
        <v>8922.171875</v>
      </c>
      <c r="C85" s="46">
        <f>[3]monthly!$R185</f>
        <v>2413.9814453125</v>
      </c>
      <c r="D85" s="9"/>
      <c r="E85" s="9"/>
      <c r="F85" s="9"/>
    </row>
    <row r="86" spans="1:6" x14ac:dyDescent="0.2">
      <c r="A86" s="27">
        <v>37257</v>
      </c>
      <c r="B86" s="46">
        <f>[3]monthly!$M186</f>
        <v>8958.009765625</v>
      </c>
      <c r="C86" s="46">
        <f>[3]monthly!$R186</f>
        <v>2422.84228515625</v>
      </c>
      <c r="D86" s="9"/>
      <c r="E86" s="9"/>
      <c r="F86" s="9"/>
    </row>
    <row r="87" spans="1:6" x14ac:dyDescent="0.2">
      <c r="A87" s="27">
        <v>37288</v>
      </c>
      <c r="B87" s="46">
        <f>[3]monthly!$M187</f>
        <v>8784.7958984375</v>
      </c>
      <c r="C87" s="46">
        <f>[3]monthly!$R187</f>
        <v>2421.19775390625</v>
      </c>
      <c r="D87" s="9"/>
      <c r="E87" s="9"/>
      <c r="F87" s="9"/>
    </row>
    <row r="88" spans="1:6" x14ac:dyDescent="0.2">
      <c r="A88" s="27">
        <v>37316</v>
      </c>
      <c r="B88" s="46">
        <f>[3]monthly!$M188</f>
        <v>8600.7490234375</v>
      </c>
      <c r="C88" s="46">
        <f>[3]monthly!$R188</f>
        <v>2417.724609375</v>
      </c>
      <c r="D88" s="9"/>
      <c r="E88" s="9"/>
      <c r="F88" s="9"/>
    </row>
    <row r="89" spans="1:6" x14ac:dyDescent="0.2">
      <c r="A89" s="27">
        <v>37347</v>
      </c>
      <c r="B89" s="46">
        <f>[3]monthly!$M189</f>
        <v>8593.703125</v>
      </c>
      <c r="C89" s="46">
        <f>[3]monthly!$R189</f>
        <v>2419.90844726562</v>
      </c>
      <c r="D89" s="9"/>
      <c r="E89" s="9"/>
      <c r="F89" s="9"/>
    </row>
    <row r="90" spans="1:6" x14ac:dyDescent="0.2">
      <c r="A90" s="27">
        <v>37377</v>
      </c>
      <c r="B90" s="46">
        <f>[3]monthly!$M190</f>
        <v>8509.80078125</v>
      </c>
      <c r="C90" s="46">
        <f>[3]monthly!$R190</f>
        <v>2423.85009765625</v>
      </c>
      <c r="D90" s="9"/>
      <c r="E90" s="9"/>
      <c r="F90" s="9"/>
    </row>
    <row r="91" spans="1:6" x14ac:dyDescent="0.2">
      <c r="A91" s="27">
        <v>37408</v>
      </c>
      <c r="B91" s="46">
        <f>[3]monthly!$M191</f>
        <v>8885.61328125</v>
      </c>
      <c r="C91" s="46">
        <f>[3]monthly!$R191</f>
        <v>2428.01782226562</v>
      </c>
      <c r="D91" s="9"/>
      <c r="E91" s="9"/>
      <c r="F91" s="9"/>
    </row>
    <row r="92" spans="1:6" x14ac:dyDescent="0.2">
      <c r="A92" s="27">
        <v>37438</v>
      </c>
      <c r="B92" s="46">
        <f>[3]monthly!$M192</f>
        <v>8345.966796875</v>
      </c>
      <c r="C92" s="46">
        <f>[3]monthly!$R192</f>
        <v>2433.22607421875</v>
      </c>
      <c r="D92" s="9"/>
      <c r="E92" s="9"/>
      <c r="F92" s="9"/>
    </row>
    <row r="93" spans="1:6" x14ac:dyDescent="0.2">
      <c r="A93" s="27">
        <v>37469</v>
      </c>
      <c r="B93" s="46">
        <f>[3]monthly!$M193</f>
        <v>8325.365234375</v>
      </c>
      <c r="C93" s="46">
        <f>[3]monthly!$R193</f>
        <v>2441.07348632812</v>
      </c>
      <c r="D93" s="9"/>
      <c r="E93" s="9"/>
      <c r="F93" s="9"/>
    </row>
    <row r="94" spans="1:6" x14ac:dyDescent="0.2">
      <c r="A94" s="27">
        <v>37500</v>
      </c>
      <c r="B94" s="46">
        <f>[3]monthly!$M194</f>
        <v>8339.7783203125</v>
      </c>
      <c r="C94" s="46">
        <f>[3]monthly!$R194</f>
        <v>2429.07690429688</v>
      </c>
      <c r="D94" s="9"/>
      <c r="E94" s="9"/>
      <c r="F94" s="9"/>
    </row>
    <row r="95" spans="1:6" x14ac:dyDescent="0.2">
      <c r="A95" s="27">
        <v>37530</v>
      </c>
      <c r="B95" s="46">
        <f>[3]monthly!$M195</f>
        <v>8178.9609375</v>
      </c>
      <c r="C95" s="46">
        <f>[3]monthly!$R195</f>
        <v>2445.69702148438</v>
      </c>
      <c r="D95" s="9"/>
      <c r="E95" s="9"/>
      <c r="F95" s="9"/>
    </row>
    <row r="96" spans="1:6" x14ac:dyDescent="0.2">
      <c r="A96" s="27">
        <v>37561</v>
      </c>
      <c r="B96" s="46">
        <f>[3]monthly!$M196</f>
        <v>8230.0302734375</v>
      </c>
      <c r="C96" s="46">
        <f>[3]monthly!$R196</f>
        <v>2435.08520507812</v>
      </c>
      <c r="D96" s="9"/>
      <c r="E96" s="9"/>
      <c r="F96" s="9"/>
    </row>
    <row r="97" spans="1:6" x14ac:dyDescent="0.2">
      <c r="A97" s="27">
        <v>37591</v>
      </c>
      <c r="B97" s="46">
        <f>[3]monthly!$M197</f>
        <v>8235.6572265625</v>
      </c>
      <c r="C97" s="46">
        <f>[3]monthly!$R197</f>
        <v>2435.2822265625</v>
      </c>
      <c r="D97" s="9"/>
      <c r="E97" s="9"/>
      <c r="F97" s="9"/>
    </row>
    <row r="98" spans="1:6" x14ac:dyDescent="0.2">
      <c r="A98" s="27">
        <v>37622</v>
      </c>
      <c r="B98" s="46">
        <f>[3]monthly!$M198</f>
        <v>8217.9150390625</v>
      </c>
      <c r="C98" s="46">
        <f>[3]monthly!$R198</f>
        <v>2437.91918945312</v>
      </c>
      <c r="D98" s="9"/>
      <c r="E98" s="9"/>
      <c r="F98" s="9"/>
    </row>
    <row r="99" spans="1:6" x14ac:dyDescent="0.2">
      <c r="A99" s="27">
        <v>37653</v>
      </c>
      <c r="B99" s="46">
        <f>[3]monthly!$M199</f>
        <v>8247.271484375</v>
      </c>
      <c r="C99" s="46">
        <f>[3]monthly!$R199</f>
        <v>2422.35205078125</v>
      </c>
      <c r="D99" s="9"/>
      <c r="E99" s="9"/>
      <c r="F99" s="9"/>
    </row>
    <row r="100" spans="1:6" x14ac:dyDescent="0.2">
      <c r="A100" s="27">
        <v>37681</v>
      </c>
      <c r="B100" s="46">
        <f>[3]monthly!$M200</f>
        <v>8154.59375</v>
      </c>
      <c r="C100" s="46">
        <f>[3]monthly!$R200</f>
        <v>2416.05078125</v>
      </c>
      <c r="D100" s="9"/>
      <c r="E100" s="9"/>
      <c r="F100" s="9"/>
    </row>
    <row r="101" spans="1:6" x14ac:dyDescent="0.2">
      <c r="A101" s="27">
        <v>37712</v>
      </c>
      <c r="B101" s="46">
        <f>[3]monthly!$M201</f>
        <v>8178.96826171875</v>
      </c>
      <c r="C101" s="46">
        <f>[3]monthly!$R201</f>
        <v>2418.2236328125</v>
      </c>
      <c r="D101" s="9"/>
      <c r="E101" s="9"/>
      <c r="F101" s="9"/>
    </row>
    <row r="102" spans="1:6" x14ac:dyDescent="0.2">
      <c r="A102" s="27">
        <v>37742</v>
      </c>
      <c r="B102" s="46">
        <f>[3]monthly!$M202</f>
        <v>8133.44970703125</v>
      </c>
      <c r="C102" s="46">
        <f>[3]monthly!$R202</f>
        <v>2417.39599609375</v>
      </c>
      <c r="D102" s="9"/>
      <c r="E102" s="9"/>
      <c r="F102" s="9"/>
    </row>
    <row r="103" spans="1:6" x14ac:dyDescent="0.2">
      <c r="A103" s="27">
        <v>37773</v>
      </c>
      <c r="B103" s="46">
        <f>[3]monthly!$M203</f>
        <v>7964.77197265625</v>
      </c>
      <c r="C103" s="46">
        <f>[3]monthly!$R203</f>
        <v>2420.5859375</v>
      </c>
      <c r="D103" s="9"/>
      <c r="E103" s="9"/>
      <c r="F103" s="9"/>
    </row>
    <row r="104" spans="1:6" x14ac:dyDescent="0.2">
      <c r="A104" s="27">
        <v>37803</v>
      </c>
      <c r="B104" s="46">
        <f>[3]monthly!$M204</f>
        <v>8352.595703125</v>
      </c>
      <c r="C104" s="46">
        <f>[3]monthly!$R204</f>
        <v>2426.19116210938</v>
      </c>
      <c r="D104" s="9"/>
      <c r="E104" s="9"/>
      <c r="F104" s="9"/>
    </row>
    <row r="105" spans="1:6" x14ac:dyDescent="0.2">
      <c r="A105" s="27">
        <v>37834</v>
      </c>
      <c r="B105" s="46">
        <f>[3]monthly!$M205</f>
        <v>8291.2587890625</v>
      </c>
      <c r="C105" s="46">
        <f>[3]monthly!$R205</f>
        <v>2417.5927734375</v>
      </c>
      <c r="D105" s="9"/>
      <c r="E105" s="9"/>
      <c r="F105" s="9"/>
    </row>
    <row r="106" spans="1:6" x14ac:dyDescent="0.2">
      <c r="A106" s="27">
        <v>37865</v>
      </c>
      <c r="B106" s="46">
        <f>[3]monthly!$M206</f>
        <v>8369.4990234375</v>
      </c>
      <c r="C106" s="46">
        <f>[3]monthly!$R206</f>
        <v>2447.45336914062</v>
      </c>
      <c r="D106" s="9"/>
      <c r="E106" s="9"/>
      <c r="F106" s="9"/>
    </row>
    <row r="107" spans="1:6" x14ac:dyDescent="0.2">
      <c r="A107" s="27">
        <v>37895</v>
      </c>
      <c r="B107" s="46">
        <f>[3]monthly!$M207</f>
        <v>8413.22265625</v>
      </c>
      <c r="C107" s="46">
        <f>[3]monthly!$R207</f>
        <v>2415.78930664062</v>
      </c>
      <c r="D107" s="9"/>
      <c r="E107" s="9"/>
      <c r="F107" s="9"/>
    </row>
    <row r="108" spans="1:6" x14ac:dyDescent="0.2">
      <c r="A108" s="27">
        <v>37926</v>
      </c>
      <c r="B108" s="46">
        <f>[3]monthly!$M208</f>
        <v>8336.1123046875</v>
      </c>
      <c r="C108" s="46">
        <f>[3]monthly!$R208</f>
        <v>2421.55517578125</v>
      </c>
      <c r="D108" s="9"/>
      <c r="E108" s="9"/>
      <c r="F108" s="9"/>
    </row>
    <row r="109" spans="1:6" x14ac:dyDescent="0.2">
      <c r="A109" s="27">
        <v>37956</v>
      </c>
      <c r="B109" s="46">
        <f>[3]monthly!$M209</f>
        <v>8302.3837890625</v>
      </c>
      <c r="C109" s="46">
        <f>[3]monthly!$R209</f>
        <v>2427.70483398438</v>
      </c>
      <c r="D109" s="9"/>
      <c r="E109" s="9"/>
      <c r="F109" s="9"/>
    </row>
    <row r="110" spans="1:6" x14ac:dyDescent="0.2">
      <c r="A110" s="27">
        <v>37987</v>
      </c>
      <c r="B110" s="46">
        <f>[3]monthly!$M210</f>
        <v>8944.6103515625</v>
      </c>
      <c r="C110" s="46">
        <f>[3]monthly!$R210</f>
        <v>2423.94702148438</v>
      </c>
      <c r="D110" s="9"/>
      <c r="E110" s="9"/>
      <c r="F110" s="9"/>
    </row>
    <row r="111" spans="1:6" x14ac:dyDescent="0.2">
      <c r="A111" s="27">
        <v>38018</v>
      </c>
      <c r="B111" s="46">
        <f>[3]monthly!$M211</f>
        <v>8589.5107421875</v>
      </c>
      <c r="C111" s="46">
        <f>[3]monthly!$R211</f>
        <v>2438.279296875</v>
      </c>
      <c r="D111" s="9"/>
      <c r="E111" s="9"/>
      <c r="F111" s="9"/>
    </row>
    <row r="112" spans="1:6" x14ac:dyDescent="0.2">
      <c r="A112" s="27">
        <v>38047</v>
      </c>
      <c r="B112" s="46">
        <f>[3]monthly!$M212</f>
        <v>8539.21875</v>
      </c>
      <c r="C112" s="46">
        <f>[3]monthly!$R212</f>
        <v>2441.51904296875</v>
      </c>
      <c r="D112" s="9"/>
      <c r="E112" s="9"/>
      <c r="F112" s="9"/>
    </row>
    <row r="113" spans="1:6" x14ac:dyDescent="0.2">
      <c r="A113" s="27">
        <v>38078</v>
      </c>
      <c r="B113" s="46">
        <f>[3]monthly!$M213</f>
        <v>8272.90625</v>
      </c>
      <c r="C113" s="46">
        <f>[3]monthly!$R213</f>
        <v>2446.89599609375</v>
      </c>
      <c r="D113" s="9"/>
      <c r="E113" s="9"/>
      <c r="F113" s="9"/>
    </row>
    <row r="114" spans="1:6" x14ac:dyDescent="0.2">
      <c r="A114" s="27">
        <v>38108</v>
      </c>
      <c r="B114" s="46">
        <f>[3]monthly!$M214</f>
        <v>8347.4287109375</v>
      </c>
      <c r="C114" s="46">
        <f>[3]monthly!$R214</f>
        <v>2453.80151367188</v>
      </c>
      <c r="D114" s="9"/>
      <c r="E114" s="9"/>
      <c r="F114" s="9"/>
    </row>
    <row r="115" spans="1:6" x14ac:dyDescent="0.2">
      <c r="A115" s="27">
        <v>38139</v>
      </c>
      <c r="B115" s="46">
        <f>[3]monthly!$M215</f>
        <v>8061.99658203125</v>
      </c>
      <c r="C115" s="46">
        <f>[3]monthly!$R215</f>
        <v>2470.96459960938</v>
      </c>
      <c r="D115" s="9"/>
      <c r="E115" s="9"/>
      <c r="F115" s="9"/>
    </row>
    <row r="116" spans="1:6" x14ac:dyDescent="0.2">
      <c r="A116" s="27">
        <v>38169</v>
      </c>
      <c r="B116" s="46">
        <f>[3]monthly!$M216</f>
        <v>8330.6767578125</v>
      </c>
      <c r="C116" s="46">
        <f>[3]monthly!$R216</f>
        <v>2465.224609375</v>
      </c>
      <c r="D116" s="9"/>
      <c r="E116" s="9"/>
      <c r="F116" s="9"/>
    </row>
    <row r="117" spans="1:6" x14ac:dyDescent="0.2">
      <c r="A117" s="27">
        <v>38200</v>
      </c>
      <c r="B117" s="46">
        <f>[3]monthly!$M217</f>
        <v>8339.0751953125</v>
      </c>
      <c r="C117" s="46">
        <f>[3]monthly!$R217</f>
        <v>2483.9814453125</v>
      </c>
      <c r="D117" s="9"/>
      <c r="E117" s="9"/>
      <c r="F117" s="9"/>
    </row>
    <row r="118" spans="1:6" x14ac:dyDescent="0.2">
      <c r="A118" s="27">
        <v>38231</v>
      </c>
      <c r="B118" s="46">
        <f>[3]monthly!$M218</f>
        <v>8327.220703125</v>
      </c>
      <c r="C118" s="46">
        <f>[3]monthly!$R218</f>
        <v>2470.73291015625</v>
      </c>
      <c r="D118" s="9"/>
      <c r="E118" s="9"/>
      <c r="F118" s="9"/>
    </row>
    <row r="119" spans="1:6" x14ac:dyDescent="0.2">
      <c r="A119" s="27">
        <v>38261</v>
      </c>
      <c r="B119" s="46">
        <f>[3]monthly!$M219</f>
        <v>8415.521484375</v>
      </c>
      <c r="C119" s="46">
        <f>[3]monthly!$R219</f>
        <v>2484.375</v>
      </c>
      <c r="D119" s="9"/>
      <c r="E119" s="9"/>
      <c r="F119" s="9"/>
    </row>
    <row r="120" spans="1:6" x14ac:dyDescent="0.2">
      <c r="A120" s="27">
        <v>38292</v>
      </c>
      <c r="B120" s="46">
        <f>[3]monthly!$M220</f>
        <v>8408.6767578125</v>
      </c>
      <c r="C120" s="46">
        <f>[3]monthly!$R220</f>
        <v>2495.86083984375</v>
      </c>
      <c r="D120" s="9"/>
      <c r="E120" s="9"/>
      <c r="F120" s="9"/>
    </row>
    <row r="121" spans="1:6" x14ac:dyDescent="0.2">
      <c r="A121" s="27">
        <v>38322</v>
      </c>
      <c r="B121" s="46">
        <f>[3]monthly!$M221</f>
        <v>8839.5283203125</v>
      </c>
      <c r="C121" s="46">
        <f>[3]monthly!$R221</f>
        <v>2506.97265625</v>
      </c>
      <c r="D121" s="9"/>
      <c r="E121" s="9"/>
      <c r="F121" s="9"/>
    </row>
    <row r="122" spans="1:6" x14ac:dyDescent="0.2">
      <c r="A122" s="27">
        <v>38353</v>
      </c>
      <c r="B122" s="46">
        <f>[3]monthly!$M222</f>
        <v>8686.1630859375</v>
      </c>
      <c r="C122" s="46">
        <f>[3]monthly!$R222</f>
        <v>2512.22094726562</v>
      </c>
      <c r="D122" s="9"/>
      <c r="E122" s="9"/>
      <c r="F122" s="9"/>
    </row>
    <row r="123" spans="1:6" x14ac:dyDescent="0.2">
      <c r="A123" s="27">
        <v>38384</v>
      </c>
      <c r="B123" s="46">
        <f>[3]monthly!$M223</f>
        <v>8485.529296875</v>
      </c>
      <c r="C123" s="46">
        <f>[3]monthly!$R223</f>
        <v>2519.95043945312</v>
      </c>
      <c r="D123" s="9"/>
      <c r="E123" s="9"/>
      <c r="F123" s="9"/>
    </row>
    <row r="124" spans="1:6" x14ac:dyDescent="0.2">
      <c r="A124" s="27">
        <v>38412</v>
      </c>
      <c r="B124" s="46">
        <f>[3]monthly!$M224</f>
        <v>8534.8466796875</v>
      </c>
      <c r="C124" s="46">
        <f>[3]monthly!$R224</f>
        <v>2533.904296875</v>
      </c>
      <c r="D124" s="9"/>
      <c r="E124" s="9"/>
      <c r="F124" s="9"/>
    </row>
    <row r="125" spans="1:6" x14ac:dyDescent="0.2">
      <c r="A125" s="27">
        <v>38443</v>
      </c>
      <c r="B125" s="46">
        <f>[3]monthly!$M225</f>
        <v>8523.712890625</v>
      </c>
      <c r="C125" s="46">
        <f>[3]monthly!$R225</f>
        <v>2561.21166992188</v>
      </c>
      <c r="D125" s="9"/>
      <c r="E125" s="9"/>
      <c r="F125" s="9"/>
    </row>
    <row r="126" spans="1:6" x14ac:dyDescent="0.2">
      <c r="A126" s="27">
        <v>38473</v>
      </c>
      <c r="B126" s="46">
        <f>[3]monthly!$M226</f>
        <v>8581.5654296875</v>
      </c>
      <c r="C126" s="46">
        <f>[3]monthly!$R226</f>
        <v>2553.52416992188</v>
      </c>
      <c r="D126" s="9"/>
      <c r="E126" s="9"/>
      <c r="F126" s="9"/>
    </row>
    <row r="127" spans="1:6" x14ac:dyDescent="0.2">
      <c r="A127" s="27">
        <v>38504</v>
      </c>
      <c r="B127" s="46">
        <f>[3]monthly!$M227</f>
        <v>8482.5009765625</v>
      </c>
      <c r="C127" s="46">
        <f>[3]monthly!$R227</f>
        <v>2562.61889648438</v>
      </c>
      <c r="D127" s="9"/>
      <c r="E127" s="9"/>
      <c r="F127" s="9"/>
    </row>
    <row r="128" spans="1:6" x14ac:dyDescent="0.2">
      <c r="A128" s="27">
        <v>38534</v>
      </c>
      <c r="B128" s="46">
        <f>[3]monthly!$M228</f>
        <v>8496.2490234375</v>
      </c>
      <c r="C128" s="46">
        <f>[3]monthly!$R228</f>
        <v>2573.03735351562</v>
      </c>
      <c r="D128" s="9"/>
      <c r="E128" s="9"/>
      <c r="F128" s="9"/>
    </row>
    <row r="129" spans="1:6" x14ac:dyDescent="0.2">
      <c r="A129" s="27">
        <v>38565</v>
      </c>
      <c r="B129" s="46">
        <f>[3]monthly!$M229</f>
        <v>8509.408203125</v>
      </c>
      <c r="C129" s="46">
        <f>[3]monthly!$R229</f>
        <v>2572.89868164062</v>
      </c>
      <c r="D129" s="9"/>
      <c r="E129" s="9"/>
      <c r="F129" s="9"/>
    </row>
    <row r="130" spans="1:6" x14ac:dyDescent="0.2">
      <c r="A130" s="27">
        <v>38596</v>
      </c>
      <c r="B130" s="46">
        <f>[3]monthly!$M230</f>
        <v>8707.357421875</v>
      </c>
      <c r="C130" s="46">
        <f>[3]monthly!$R230</f>
        <v>2590.291015625</v>
      </c>
      <c r="D130" s="9"/>
      <c r="E130" s="9"/>
      <c r="F130" s="9"/>
    </row>
    <row r="131" spans="1:6" x14ac:dyDescent="0.2">
      <c r="A131" s="27">
        <v>38626</v>
      </c>
      <c r="B131" s="46">
        <f>[3]monthly!$M231</f>
        <v>8517.541015625</v>
      </c>
      <c r="C131" s="46">
        <f>[3]monthly!$R231</f>
        <v>2539.76782226562</v>
      </c>
      <c r="D131" s="9"/>
      <c r="E131" s="9"/>
      <c r="F131" s="9"/>
    </row>
    <row r="132" spans="1:6" x14ac:dyDescent="0.2">
      <c r="A132" s="27">
        <v>38657</v>
      </c>
      <c r="B132" s="46">
        <f>[3]monthly!$M232</f>
        <v>8481.6044921875</v>
      </c>
      <c r="C132" s="46">
        <f>[3]monthly!$R232</f>
        <v>2593.60180664062</v>
      </c>
      <c r="D132" s="9"/>
      <c r="E132" s="9"/>
      <c r="F132" s="9"/>
    </row>
    <row r="133" spans="1:6" x14ac:dyDescent="0.2">
      <c r="A133" s="27">
        <v>38687</v>
      </c>
      <c r="B133" s="46">
        <f>[3]monthly!$M233</f>
        <v>8513.859375</v>
      </c>
      <c r="C133" s="46">
        <f>[3]monthly!$R233</f>
        <v>2600.40942382812</v>
      </c>
      <c r="D133" s="9"/>
      <c r="E133" s="9"/>
      <c r="F133" s="9"/>
    </row>
    <row r="134" spans="1:6" x14ac:dyDescent="0.2">
      <c r="A134" s="27">
        <v>38718</v>
      </c>
      <c r="B134" s="46">
        <f>[3]monthly!$M234</f>
        <v>8567.78515625</v>
      </c>
      <c r="C134" s="46">
        <f>[3]monthly!$R234</f>
        <v>2618.22924804688</v>
      </c>
      <c r="D134" s="9"/>
      <c r="E134" s="9"/>
      <c r="F134" s="9"/>
    </row>
    <row r="135" spans="1:6" x14ac:dyDescent="0.2">
      <c r="A135" s="27">
        <v>38749</v>
      </c>
      <c r="B135" s="46">
        <f>[3]monthly!$M235</f>
        <v>8656.9833984375</v>
      </c>
      <c r="C135" s="46">
        <f>[3]monthly!$R235</f>
        <v>2634.93090820312</v>
      </c>
      <c r="D135" s="9"/>
      <c r="E135" s="9"/>
      <c r="F135" s="9"/>
    </row>
    <row r="136" spans="1:6" x14ac:dyDescent="0.2">
      <c r="A136" s="27">
        <v>38777</v>
      </c>
      <c r="B136" s="46">
        <f>[3]monthly!$M236</f>
        <v>8569.9111328125</v>
      </c>
      <c r="C136" s="46">
        <f>[3]monthly!$R236</f>
        <v>2649.01708984375</v>
      </c>
      <c r="D136" s="9"/>
      <c r="E136" s="9"/>
      <c r="F136" s="9"/>
    </row>
    <row r="137" spans="1:6" x14ac:dyDescent="0.2">
      <c r="A137" s="27">
        <v>38808</v>
      </c>
      <c r="B137" s="46">
        <f>[3]monthly!$M237</f>
        <v>8549.2880859375</v>
      </c>
      <c r="C137" s="46">
        <f>[3]monthly!$R237</f>
        <v>2648.51806640625</v>
      </c>
      <c r="D137" s="9"/>
      <c r="E137" s="9"/>
      <c r="F137" s="9"/>
    </row>
    <row r="138" spans="1:6" x14ac:dyDescent="0.2">
      <c r="A138" s="27">
        <v>38838</v>
      </c>
      <c r="B138" s="46">
        <f>[3]monthly!$M238</f>
        <v>8567.0517578125</v>
      </c>
      <c r="C138" s="46">
        <f>[3]monthly!$R238</f>
        <v>2661.3955078125</v>
      </c>
      <c r="D138" s="9"/>
      <c r="E138" s="9"/>
      <c r="F138" s="9"/>
    </row>
    <row r="139" spans="1:6" x14ac:dyDescent="0.2">
      <c r="A139" s="27">
        <v>38869</v>
      </c>
      <c r="B139" s="46">
        <f>[3]monthly!$M239</f>
        <v>8591.5146484375</v>
      </c>
      <c r="C139" s="46">
        <f>[3]monthly!$R239</f>
        <v>2671.48828125</v>
      </c>
      <c r="D139" s="9"/>
      <c r="E139" s="9"/>
      <c r="F139" s="9"/>
    </row>
    <row r="140" spans="1:6" x14ac:dyDescent="0.2">
      <c r="A140" s="27">
        <v>38899</v>
      </c>
      <c r="B140" s="46">
        <f>[3]monthly!$M240</f>
        <v>8628.5625</v>
      </c>
      <c r="C140" s="46">
        <f>[3]monthly!$R240</f>
        <v>2673.08032226562</v>
      </c>
      <c r="D140" s="9"/>
      <c r="E140" s="9"/>
      <c r="F140" s="9"/>
    </row>
    <row r="141" spans="1:6" x14ac:dyDescent="0.2">
      <c r="A141" s="27">
        <v>38930</v>
      </c>
      <c r="B141" s="46">
        <f>[3]monthly!$M241</f>
        <v>8660.908203125</v>
      </c>
      <c r="C141" s="46">
        <f>[3]monthly!$R241</f>
        <v>2686.29907226562</v>
      </c>
      <c r="D141" s="9"/>
      <c r="E141" s="9"/>
      <c r="F141" s="9"/>
    </row>
    <row r="142" spans="1:6" x14ac:dyDescent="0.2">
      <c r="A142" s="27">
        <v>38961</v>
      </c>
      <c r="B142" s="46">
        <f>[3]monthly!$M242</f>
        <v>8720.4912109375</v>
      </c>
      <c r="C142" s="46">
        <f>[3]monthly!$R242</f>
        <v>2706.89086914062</v>
      </c>
      <c r="D142" s="9"/>
      <c r="E142" s="9"/>
      <c r="F142" s="9"/>
    </row>
    <row r="143" spans="1:6" x14ac:dyDescent="0.2">
      <c r="A143" s="27">
        <v>38991</v>
      </c>
      <c r="B143" s="46">
        <f>[3]monthly!$M243</f>
        <v>8744.619140625</v>
      </c>
      <c r="C143" s="46">
        <f>[3]monthly!$R243</f>
        <v>2713.67138671875</v>
      </c>
      <c r="D143" s="9"/>
      <c r="E143" s="9"/>
      <c r="F143" s="9"/>
    </row>
    <row r="144" spans="1:6" x14ac:dyDescent="0.2">
      <c r="A144" s="27">
        <v>39022</v>
      </c>
      <c r="B144" s="46">
        <f>[3]monthly!$M244</f>
        <v>8819.017578125</v>
      </c>
      <c r="C144" s="46">
        <f>[3]monthly!$R244</f>
        <v>2728.72265625</v>
      </c>
      <c r="D144" s="9"/>
      <c r="E144" s="9"/>
      <c r="F144" s="9"/>
    </row>
    <row r="145" spans="1:6" x14ac:dyDescent="0.2">
      <c r="A145" s="27">
        <v>39052</v>
      </c>
      <c r="B145" s="46">
        <f>[3]monthly!$M245</f>
        <v>8790.607421875</v>
      </c>
      <c r="C145" s="46">
        <f>[3]monthly!$R245</f>
        <v>2736.181640625</v>
      </c>
      <c r="D145" s="9"/>
      <c r="E145" s="9"/>
      <c r="F145" s="9"/>
    </row>
    <row r="146" spans="1:6" x14ac:dyDescent="0.2">
      <c r="A146" s="27">
        <v>39083</v>
      </c>
      <c r="B146" s="46">
        <f>[3]monthly!$M246</f>
        <v>8688.4814453125</v>
      </c>
      <c r="C146" s="46">
        <f>[3]monthly!$R246</f>
        <v>2749.8076171875</v>
      </c>
      <c r="D146" s="9"/>
      <c r="E146" s="9"/>
      <c r="F146" s="9"/>
    </row>
    <row r="147" spans="1:6" x14ac:dyDescent="0.2">
      <c r="A147" s="27">
        <v>39114</v>
      </c>
      <c r="B147" s="46">
        <f>[3]monthly!$M247</f>
        <v>8766.5380859375</v>
      </c>
      <c r="C147" s="46">
        <f>[3]monthly!$R247</f>
        <v>2757.41870117188</v>
      </c>
      <c r="D147" s="9"/>
      <c r="E147" s="9"/>
      <c r="F147" s="9"/>
    </row>
    <row r="148" spans="1:6" x14ac:dyDescent="0.2">
      <c r="A148" s="27">
        <v>39142</v>
      </c>
      <c r="B148" s="46">
        <f>[3]monthly!$M248</f>
        <v>8833.8818359375</v>
      </c>
      <c r="C148" s="46">
        <f>[3]monthly!$R248</f>
        <v>2760.06665039062</v>
      </c>
      <c r="D148" s="9"/>
      <c r="E148" s="9"/>
      <c r="F148" s="9"/>
    </row>
    <row r="149" spans="1:6" x14ac:dyDescent="0.2">
      <c r="A149" s="27">
        <v>39173</v>
      </c>
      <c r="B149" s="46">
        <f>[3]monthly!$M249</f>
        <v>8904.08984375</v>
      </c>
      <c r="C149" s="46">
        <f>[3]monthly!$R249</f>
        <v>2780.35400390625</v>
      </c>
      <c r="D149" s="9"/>
      <c r="E149" s="9"/>
      <c r="F149" s="9"/>
    </row>
    <row r="150" spans="1:6" x14ac:dyDescent="0.2">
      <c r="A150" s="27">
        <v>39203</v>
      </c>
      <c r="B150" s="46">
        <f>[3]monthly!$M250</f>
        <v>8919.9482421875</v>
      </c>
      <c r="C150" s="46">
        <f>[3]monthly!$R250</f>
        <v>2793.06665039062</v>
      </c>
      <c r="D150" s="9"/>
      <c r="E150" s="9"/>
      <c r="F150" s="9"/>
    </row>
    <row r="151" spans="1:6" x14ac:dyDescent="0.2">
      <c r="A151" s="27">
        <v>39234</v>
      </c>
      <c r="B151" s="46">
        <f>[3]monthly!$M251</f>
        <v>8796.1728515625</v>
      </c>
      <c r="C151" s="46">
        <f>[3]monthly!$R251</f>
        <v>2802.7236328125</v>
      </c>
      <c r="D151" s="9"/>
      <c r="E151" s="9"/>
      <c r="F151" s="9"/>
    </row>
    <row r="152" spans="1:6" x14ac:dyDescent="0.2">
      <c r="A152" s="27">
        <v>39264</v>
      </c>
      <c r="B152" s="46">
        <f>[3]monthly!$M252</f>
        <v>8765.064453125</v>
      </c>
      <c r="C152" s="46">
        <f>[3]monthly!$R252</f>
        <v>2820.85180664062</v>
      </c>
      <c r="D152" s="9"/>
      <c r="E152" s="9"/>
      <c r="F152" s="9"/>
    </row>
    <row r="153" spans="1:6" x14ac:dyDescent="0.2">
      <c r="A153" s="27">
        <v>39295</v>
      </c>
      <c r="B153" s="46">
        <f>[3]monthly!$M253</f>
        <v>8799.7080078125</v>
      </c>
      <c r="C153" s="46">
        <f>[3]monthly!$R253</f>
        <v>2844.30395507812</v>
      </c>
      <c r="D153" s="9"/>
      <c r="E153" s="9"/>
      <c r="F153" s="9"/>
    </row>
    <row r="154" spans="1:6" x14ac:dyDescent="0.2">
      <c r="A154" s="27">
        <v>39326</v>
      </c>
      <c r="B154" s="46">
        <f>[3]monthly!$M254</f>
        <v>8777.79296875</v>
      </c>
      <c r="C154" s="46">
        <f>[3]monthly!$R254</f>
        <v>2814.76318359375</v>
      </c>
      <c r="D154" s="9"/>
      <c r="E154" s="9"/>
      <c r="F154" s="9"/>
    </row>
    <row r="155" spans="1:6" x14ac:dyDescent="0.2">
      <c r="A155" s="27">
        <v>39356</v>
      </c>
      <c r="B155" s="46">
        <f>[3]monthly!$M255</f>
        <v>8713.7138671875</v>
      </c>
      <c r="C155" s="46">
        <f>[3]monthly!$R255</f>
        <v>2872.39770507812</v>
      </c>
      <c r="D155" s="9"/>
      <c r="E155" s="9"/>
      <c r="F155" s="9"/>
    </row>
    <row r="156" spans="1:6" x14ac:dyDescent="0.2">
      <c r="A156" s="27">
        <v>39387</v>
      </c>
      <c r="B156" s="46">
        <f>[3]monthly!$M256</f>
        <v>8705.78125</v>
      </c>
      <c r="C156" s="46">
        <f>[3]monthly!$R256</f>
        <v>2861.69750976562</v>
      </c>
      <c r="D156" s="9"/>
      <c r="E156" s="9"/>
      <c r="F156" s="9"/>
    </row>
    <row r="157" spans="1:6" x14ac:dyDescent="0.2">
      <c r="A157" s="27">
        <v>39417</v>
      </c>
      <c r="B157" s="46">
        <f>[3]monthly!$M257</f>
        <v>8879.6396484375</v>
      </c>
      <c r="C157" s="46">
        <f>[3]monthly!$R257</f>
        <v>2881.751953125</v>
      </c>
      <c r="D157" s="9"/>
      <c r="E157" s="9"/>
      <c r="F157" s="9"/>
    </row>
    <row r="158" spans="1:6" x14ac:dyDescent="0.2">
      <c r="A158" s="27">
        <v>39448</v>
      </c>
      <c r="B158" s="46">
        <f>[3]monthly!$M258</f>
        <v>8845.8173828125</v>
      </c>
      <c r="C158" s="46">
        <f>[3]monthly!$R258</f>
        <v>2894.0966796875</v>
      </c>
      <c r="D158" s="9"/>
      <c r="E158" s="9"/>
      <c r="F158" s="9"/>
    </row>
    <row r="159" spans="1:6" x14ac:dyDescent="0.2">
      <c r="A159" s="27">
        <v>39479</v>
      </c>
      <c r="B159" s="46">
        <f>[3]monthly!$M259</f>
        <v>8875.251953125</v>
      </c>
      <c r="C159" s="46">
        <f>[3]monthly!$R259</f>
        <v>2895.55615234375</v>
      </c>
      <c r="D159" s="9"/>
      <c r="E159" s="9"/>
      <c r="F159" s="9"/>
    </row>
    <row r="160" spans="1:6" x14ac:dyDescent="0.2">
      <c r="A160" s="27">
        <v>39508</v>
      </c>
      <c r="B160" s="46">
        <f>[3]monthly!$M260</f>
        <v>8827.2998046875</v>
      </c>
      <c r="C160" s="46">
        <f>[3]monthly!$R260</f>
        <v>2908.09521484375</v>
      </c>
      <c r="D160" s="9"/>
      <c r="E160" s="9"/>
      <c r="F160" s="9"/>
    </row>
    <row r="161" spans="1:6" x14ac:dyDescent="0.2">
      <c r="A161" s="27">
        <v>39539</v>
      </c>
      <c r="B161" s="46">
        <f>[3]monthly!$M261</f>
        <v>8772.1982421875</v>
      </c>
      <c r="C161" s="46">
        <f>[3]monthly!$R261</f>
        <v>2937.61547851562</v>
      </c>
      <c r="D161" s="9"/>
      <c r="E161" s="9"/>
      <c r="F161" s="9"/>
    </row>
    <row r="162" spans="1:6" x14ac:dyDescent="0.2">
      <c r="A162" s="27">
        <v>39569</v>
      </c>
      <c r="B162" s="46">
        <f>[3]monthly!$M262</f>
        <v>8916.8583984375</v>
      </c>
      <c r="C162" s="46">
        <f>[3]monthly!$R262</f>
        <v>2904.66577148438</v>
      </c>
      <c r="D162" s="9"/>
      <c r="E162" s="9"/>
      <c r="F162" s="9"/>
    </row>
    <row r="163" spans="1:6" x14ac:dyDescent="0.2">
      <c r="A163" s="27">
        <v>39600</v>
      </c>
      <c r="B163" s="46">
        <f>[3]monthly!$M263</f>
        <v>8797.0546875</v>
      </c>
      <c r="C163" s="46">
        <f>[3]monthly!$R263</f>
        <v>2911.1416015625</v>
      </c>
      <c r="D163" s="9"/>
      <c r="E163" s="9"/>
      <c r="F163" s="9"/>
    </row>
    <row r="164" spans="1:6" x14ac:dyDescent="0.2">
      <c r="A164" s="27">
        <v>39630</v>
      </c>
      <c r="B164" s="46">
        <f>[3]monthly!$M264</f>
        <v>8666.0009765625</v>
      </c>
      <c r="C164" s="46">
        <f>[3]monthly!$R264</f>
        <v>2940.7607421875</v>
      </c>
      <c r="D164" s="9"/>
      <c r="E164" s="9"/>
      <c r="F164" s="9"/>
    </row>
    <row r="165" spans="1:6" x14ac:dyDescent="0.2">
      <c r="A165" s="27">
        <v>39661</v>
      </c>
      <c r="B165" s="46">
        <f>[3]monthly!$M265</f>
        <v>8630.984375</v>
      </c>
      <c r="C165" s="46">
        <f>[3]monthly!$R265</f>
        <v>2932.46752929688</v>
      </c>
      <c r="D165" s="9"/>
      <c r="E165" s="9"/>
      <c r="F165" s="9"/>
    </row>
    <row r="166" spans="1:6" x14ac:dyDescent="0.2">
      <c r="A166" s="27">
        <v>39692</v>
      </c>
      <c r="B166" s="46">
        <f>[3]monthly!$M266</f>
        <v>8633.83203125</v>
      </c>
      <c r="C166" s="46">
        <f>[3]monthly!$R266</f>
        <v>2952.65283203125</v>
      </c>
      <c r="D166" s="9"/>
      <c r="E166" s="9"/>
      <c r="F166" s="9"/>
    </row>
    <row r="167" spans="1:6" x14ac:dyDescent="0.2">
      <c r="A167" s="27">
        <v>39722</v>
      </c>
      <c r="B167" s="46">
        <f>[3]monthly!$M267</f>
        <v>8677.5576171875</v>
      </c>
      <c r="C167" s="46">
        <f>[3]monthly!$R267</f>
        <v>2906.16040039062</v>
      </c>
      <c r="D167" s="9"/>
      <c r="E167" s="9"/>
      <c r="F167" s="9"/>
    </row>
    <row r="168" spans="1:6" x14ac:dyDescent="0.2">
      <c r="A168" s="27">
        <v>39753</v>
      </c>
      <c r="B168" s="46">
        <f>[3]monthly!$M268</f>
        <v>8580.28515625</v>
      </c>
      <c r="C168" s="46">
        <f>[3]monthly!$R268</f>
        <v>2946.0078125</v>
      </c>
      <c r="D168" s="9"/>
      <c r="E168" s="9"/>
      <c r="F168" s="9"/>
    </row>
    <row r="169" spans="1:6" x14ac:dyDescent="0.2">
      <c r="A169" s="27">
        <v>39783</v>
      </c>
      <c r="B169" s="46">
        <f>[3]monthly!$M269</f>
        <v>8557.7919921875</v>
      </c>
      <c r="C169" s="46">
        <f>[3]monthly!$R269</f>
        <v>2935.08081054688</v>
      </c>
      <c r="D169" s="9"/>
      <c r="E169" s="9"/>
      <c r="F169" s="9"/>
    </row>
    <row r="170" spans="1:6" x14ac:dyDescent="0.2">
      <c r="A170" s="27">
        <v>39814</v>
      </c>
      <c r="B170" s="46">
        <f>[3]monthly!$M270</f>
        <v>8648.0419921875</v>
      </c>
      <c r="C170" s="46">
        <f>[3]monthly!$R270</f>
        <v>2907.69360351562</v>
      </c>
      <c r="D170" s="9"/>
      <c r="E170" s="9"/>
      <c r="F170" s="9"/>
    </row>
    <row r="171" spans="1:6" x14ac:dyDescent="0.2">
      <c r="A171" s="27">
        <v>39845</v>
      </c>
      <c r="B171" s="46">
        <f>[3]monthly!$M271</f>
        <v>8606.6376953125</v>
      </c>
      <c r="C171" s="46">
        <f>[3]monthly!$R271</f>
        <v>2912.00659179688</v>
      </c>
      <c r="D171" s="9"/>
      <c r="E171" s="9"/>
      <c r="F171" s="9"/>
    </row>
    <row r="172" spans="1:6" x14ac:dyDescent="0.2">
      <c r="A172" s="27">
        <v>39873</v>
      </c>
      <c r="B172" s="46">
        <f>[3]monthly!$M272</f>
        <v>8575.6875</v>
      </c>
      <c r="C172" s="46">
        <f>[3]monthly!$R272</f>
        <v>2909.18896484375</v>
      </c>
      <c r="D172" s="9"/>
      <c r="E172" s="9"/>
      <c r="F172" s="9"/>
    </row>
    <row r="173" spans="1:6" x14ac:dyDescent="0.2">
      <c r="A173" s="27">
        <v>39904</v>
      </c>
      <c r="B173" s="46">
        <f>[3]monthly!$M273</f>
        <v>8549.474609375</v>
      </c>
      <c r="C173" s="46">
        <f>[3]monthly!$R273</f>
        <v>2902.79541015625</v>
      </c>
      <c r="D173" s="9"/>
      <c r="E173" s="9"/>
      <c r="F173" s="9"/>
    </row>
    <row r="174" spans="1:6" x14ac:dyDescent="0.2">
      <c r="A174" s="27">
        <v>39934</v>
      </c>
      <c r="B174" s="46">
        <f>[3]monthly!$M274</f>
        <v>8448.146484375</v>
      </c>
      <c r="C174" s="46">
        <f>[3]monthly!$R274</f>
        <v>2908.78002929688</v>
      </c>
      <c r="D174" s="9"/>
      <c r="E174" s="9"/>
      <c r="F174" s="9"/>
    </row>
    <row r="175" spans="1:6" x14ac:dyDescent="0.2">
      <c r="A175" s="27">
        <v>39965</v>
      </c>
      <c r="B175" s="46">
        <f>[3]monthly!$M275</f>
        <v>8511.6513671875</v>
      </c>
      <c r="C175" s="46">
        <f>[3]monthly!$R275</f>
        <v>2919.31787109375</v>
      </c>
      <c r="D175" s="9"/>
      <c r="E175" s="9"/>
      <c r="F175" s="9"/>
    </row>
    <row r="176" spans="1:6" x14ac:dyDescent="0.2">
      <c r="A176" s="27">
        <v>39995</v>
      </c>
      <c r="B176" s="46">
        <f>[3]monthly!$M276</f>
        <v>8543.3271484375</v>
      </c>
      <c r="C176" s="46">
        <f>[3]monthly!$R276</f>
        <v>2919.271484375</v>
      </c>
      <c r="D176" s="9"/>
      <c r="E176" s="9"/>
      <c r="F176" s="9"/>
    </row>
    <row r="177" spans="1:6" x14ac:dyDescent="0.2">
      <c r="A177" s="27">
        <v>40026</v>
      </c>
      <c r="B177" s="46">
        <f>[3]monthly!$M277</f>
        <v>8445.3427734375</v>
      </c>
      <c r="C177" s="46">
        <f>[3]monthly!$R277</f>
        <v>2937.00390625</v>
      </c>
      <c r="D177" s="9"/>
      <c r="E177" s="9"/>
      <c r="F177" s="9"/>
    </row>
    <row r="178" spans="1:6" x14ac:dyDescent="0.2">
      <c r="A178" s="27">
        <v>40057</v>
      </c>
      <c r="B178" s="46">
        <f>[3]monthly!$M278</f>
        <v>8491.0693359375</v>
      </c>
      <c r="C178" s="46">
        <f>[3]monthly!$R278</f>
        <v>2946.50732421875</v>
      </c>
      <c r="D178" s="9"/>
      <c r="E178" s="9"/>
      <c r="F178" s="9"/>
    </row>
    <row r="179" spans="1:6" x14ac:dyDescent="0.2">
      <c r="A179" s="27">
        <v>40087</v>
      </c>
      <c r="B179" s="46">
        <f>[3]monthly!$M279</f>
        <v>8418.1689453125</v>
      </c>
      <c r="C179" s="46">
        <f>[3]monthly!$R279</f>
        <v>2955.86938476562</v>
      </c>
      <c r="D179" s="9"/>
      <c r="E179" s="9"/>
      <c r="F179" s="9"/>
    </row>
    <row r="180" spans="1:6" x14ac:dyDescent="0.2">
      <c r="A180" s="27">
        <v>40118</v>
      </c>
      <c r="B180" s="46">
        <f>[3]monthly!$M280</f>
        <v>8420.28125</v>
      </c>
      <c r="C180" s="46">
        <f>[3]monthly!$R280</f>
        <v>2963.31176757812</v>
      </c>
      <c r="D180" s="9"/>
      <c r="E180" s="9"/>
      <c r="F180" s="9"/>
    </row>
    <row r="181" spans="1:6" x14ac:dyDescent="0.2">
      <c r="A181" s="27">
        <v>40148</v>
      </c>
      <c r="B181" s="46">
        <f>[3]monthly!$M281</f>
        <v>8383.8671875</v>
      </c>
      <c r="C181" s="46">
        <f>[3]monthly!$R281</f>
        <v>2973.31372070312</v>
      </c>
      <c r="D181" s="9"/>
      <c r="E181" s="9"/>
      <c r="F181" s="9"/>
    </row>
    <row r="182" spans="1:6" x14ac:dyDescent="0.2">
      <c r="A182" s="27">
        <v>40179</v>
      </c>
      <c r="B182" s="46">
        <f>[3]monthly!$M282</f>
        <v>8511.2841796875</v>
      </c>
      <c r="C182" s="46">
        <f>[3]monthly!$R282</f>
        <v>2983.10327148438</v>
      </c>
      <c r="D182" s="9"/>
      <c r="E182" s="9"/>
      <c r="F182" s="9"/>
    </row>
    <row r="183" spans="1:6" x14ac:dyDescent="0.2">
      <c r="A183" s="27">
        <v>40210</v>
      </c>
      <c r="B183" s="46">
        <f>[3]monthly!$M283</f>
        <v>8605.4794921875</v>
      </c>
      <c r="C183" s="46">
        <f>[3]monthly!$R283</f>
        <v>2996.21484375</v>
      </c>
      <c r="D183" s="9"/>
      <c r="E183" s="9"/>
      <c r="F183" s="9"/>
    </row>
    <row r="184" spans="1:6" x14ac:dyDescent="0.2">
      <c r="A184" s="27">
        <v>40238</v>
      </c>
      <c r="B184" s="46">
        <f>[3]monthly!$M284</f>
        <v>8576.0693359375</v>
      </c>
      <c r="C184" s="46">
        <f>[3]monthly!$R284</f>
        <v>3004.8271484375</v>
      </c>
      <c r="D184" s="9"/>
      <c r="E184" s="9"/>
      <c r="F184" s="9"/>
    </row>
    <row r="185" spans="1:6" x14ac:dyDescent="0.2">
      <c r="A185" s="27">
        <v>40269</v>
      </c>
      <c r="B185" s="46">
        <f>[3]monthly!$M285</f>
        <v>8499.21484375</v>
      </c>
      <c r="C185" s="46">
        <f>[3]monthly!$R285</f>
        <v>3019.92504882812</v>
      </c>
      <c r="D185" s="9"/>
      <c r="E185" s="9"/>
      <c r="F185" s="9"/>
    </row>
    <row r="186" spans="1:6" x14ac:dyDescent="0.2">
      <c r="A186" s="27">
        <v>40299</v>
      </c>
      <c r="B186" s="46">
        <f>[3]monthly!$M286</f>
        <v>8543.49609375</v>
      </c>
      <c r="C186" s="46">
        <f>[3]monthly!$R286</f>
        <v>3035.6728515625</v>
      </c>
      <c r="D186" s="9"/>
      <c r="E186" s="9"/>
      <c r="F186" s="9"/>
    </row>
    <row r="187" spans="1:6" x14ac:dyDescent="0.2">
      <c r="A187" s="27">
        <v>40330</v>
      </c>
      <c r="B187" s="46">
        <f>[3]monthly!$M287</f>
        <v>8604.5361328125</v>
      </c>
      <c r="C187" s="46">
        <f>[3]monthly!$R287</f>
        <v>3045.05712890625</v>
      </c>
      <c r="D187" s="9"/>
      <c r="E187" s="9"/>
      <c r="F187" s="9"/>
    </row>
    <row r="188" spans="1:6" x14ac:dyDescent="0.2">
      <c r="A188" s="27">
        <v>40360</v>
      </c>
      <c r="B188" s="46">
        <f>[3]monthly!$M288</f>
        <v>8562.5234375</v>
      </c>
      <c r="C188" s="46">
        <f>[3]monthly!$R288</f>
        <v>3045.43286132812</v>
      </c>
      <c r="D188" s="9"/>
      <c r="E188" s="9"/>
      <c r="F188" s="9"/>
    </row>
    <row r="189" spans="1:6" x14ac:dyDescent="0.2">
      <c r="A189" s="27">
        <v>40391</v>
      </c>
      <c r="B189" s="46">
        <f>[3]monthly!$M289</f>
        <v>8671.658203125</v>
      </c>
      <c r="C189" s="46">
        <f>[3]monthly!$R289</f>
        <v>3062.00659179688</v>
      </c>
      <c r="D189" s="9"/>
      <c r="E189" s="9"/>
      <c r="F189" s="9"/>
    </row>
    <row r="190" spans="1:6" x14ac:dyDescent="0.2">
      <c r="A190" s="27">
        <v>40422</v>
      </c>
      <c r="B190" s="46">
        <f>[3]monthly!$M290</f>
        <v>8506.826171875</v>
      </c>
      <c r="C190" s="46">
        <f>[3]monthly!$R290</f>
        <v>3040.36499023438</v>
      </c>
      <c r="D190" s="9"/>
      <c r="E190" s="9"/>
      <c r="F190" s="9"/>
    </row>
    <row r="191" spans="1:6" x14ac:dyDescent="0.2">
      <c r="A191" s="27">
        <v>40452</v>
      </c>
      <c r="B191" s="46">
        <f>[3]monthly!$M291</f>
        <v>8486.1435546875</v>
      </c>
      <c r="C191" s="46">
        <f>[3]monthly!$R291</f>
        <v>3092.6005859375</v>
      </c>
      <c r="D191" s="9"/>
      <c r="E191" s="9"/>
      <c r="F191" s="9"/>
    </row>
    <row r="192" spans="1:6" x14ac:dyDescent="0.2">
      <c r="A192" s="27">
        <v>40483</v>
      </c>
      <c r="B192" s="46">
        <f>[3]monthly!$M292</f>
        <v>8615.5966796875</v>
      </c>
      <c r="C192" s="46">
        <f>[3]monthly!$R292</f>
        <v>3107.13256835938</v>
      </c>
      <c r="D192" s="9"/>
      <c r="E192" s="9"/>
      <c r="F192" s="9"/>
    </row>
    <row r="193" spans="1:6" x14ac:dyDescent="0.2">
      <c r="A193" s="27">
        <v>40513</v>
      </c>
      <c r="B193" s="46">
        <f>[3]monthly!$M293</f>
        <v>8555.1708984375</v>
      </c>
      <c r="C193" s="46">
        <f>[3]monthly!$R293</f>
        <v>3106.52099609375</v>
      </c>
      <c r="D193" s="9"/>
      <c r="E193" s="9"/>
      <c r="F193" s="9"/>
    </row>
    <row r="194" spans="1:6" x14ac:dyDescent="0.2">
      <c r="A194" s="27">
        <v>40544</v>
      </c>
      <c r="B194" s="46">
        <f>[3]monthly!$M294</f>
        <v>8586.0400390625</v>
      </c>
      <c r="C194" s="46">
        <f>[3]monthly!$R294</f>
        <v>3115.44018554688</v>
      </c>
      <c r="D194" s="9"/>
      <c r="E194" s="9"/>
      <c r="F194" s="9"/>
    </row>
    <row r="195" spans="1:6" x14ac:dyDescent="0.2">
      <c r="A195" s="27">
        <v>40575</v>
      </c>
      <c r="B195" s="46">
        <f>[3]monthly!$M295</f>
        <v>8514.4638671875</v>
      </c>
      <c r="C195" s="46">
        <f>[3]monthly!$R295</f>
        <v>3120.01123046875</v>
      </c>
      <c r="D195" s="9"/>
      <c r="E195" s="9"/>
      <c r="F195" s="9"/>
    </row>
    <row r="196" spans="1:6" x14ac:dyDescent="0.2">
      <c r="A196" s="27">
        <v>40603</v>
      </c>
      <c r="B196" s="46">
        <f>[3]monthly!$M296</f>
        <v>8589.1845703125</v>
      </c>
      <c r="C196" s="46">
        <f>[3]monthly!$R296</f>
        <v>3132.29663085938</v>
      </c>
      <c r="D196" s="9"/>
      <c r="E196" s="9"/>
      <c r="F196" s="9"/>
    </row>
    <row r="197" spans="1:6" x14ac:dyDescent="0.2">
      <c r="A197" s="27">
        <v>40634</v>
      </c>
      <c r="B197" s="46">
        <f>[3]monthly!$M297</f>
        <v>8603.056640625</v>
      </c>
      <c r="C197" s="46">
        <f>[3]monthly!$R297</f>
        <v>3143.00732421875</v>
      </c>
      <c r="D197" s="9"/>
      <c r="E197" s="9"/>
      <c r="F197" s="9"/>
    </row>
    <row r="198" spans="1:6" x14ac:dyDescent="0.2">
      <c r="A198" s="27">
        <v>40664</v>
      </c>
      <c r="B198" s="46">
        <f>[3]monthly!$M298</f>
        <v>8545.6005859375</v>
      </c>
      <c r="C198" s="46">
        <f>[3]monthly!$R298</f>
        <v>3152.11547851562</v>
      </c>
      <c r="D198" s="9"/>
      <c r="E198" s="9"/>
      <c r="F198" s="9"/>
    </row>
    <row r="199" spans="1:6" x14ac:dyDescent="0.2">
      <c r="A199" s="27">
        <v>40695</v>
      </c>
      <c r="B199" s="46">
        <f>[3]monthly!$M299</f>
        <v>8531.2509765625</v>
      </c>
      <c r="C199" s="46">
        <f>[3]monthly!$R299</f>
        <v>3163.74633789062</v>
      </c>
      <c r="D199" s="9"/>
      <c r="E199" s="9"/>
      <c r="F199" s="9"/>
    </row>
    <row r="200" spans="1:6" x14ac:dyDescent="0.2">
      <c r="A200" s="27">
        <v>40725</v>
      </c>
      <c r="B200" s="46">
        <f>[3]monthly!$M300</f>
        <v>8565.3681640625</v>
      </c>
      <c r="C200" s="46">
        <f>[3]monthly!$R300</f>
        <v>3177.7626953125</v>
      </c>
      <c r="D200" s="9"/>
      <c r="E200" s="9"/>
      <c r="F200" s="9"/>
    </row>
    <row r="201" spans="1:6" x14ac:dyDescent="0.2">
      <c r="A201" s="27">
        <v>40756</v>
      </c>
      <c r="B201" s="46">
        <f>[3]monthly!$M301</f>
        <v>8567.015625</v>
      </c>
      <c r="C201" s="46">
        <f>[3]monthly!$R301</f>
        <v>3187.68969726562</v>
      </c>
      <c r="D201" s="9"/>
      <c r="E201" s="9"/>
      <c r="F201" s="9"/>
    </row>
    <row r="202" spans="1:6" x14ac:dyDescent="0.2">
      <c r="A202" s="27">
        <v>40787</v>
      </c>
      <c r="B202" s="46">
        <f>[3]monthly!$M302</f>
        <v>8623.22265625</v>
      </c>
      <c r="C202" s="46">
        <f>[3]monthly!$R302</f>
        <v>3228.30981445312</v>
      </c>
      <c r="D202" s="9"/>
      <c r="E202" s="9"/>
      <c r="F202" s="9"/>
    </row>
    <row r="203" spans="1:6" x14ac:dyDescent="0.2">
      <c r="A203" s="27">
        <v>40817</v>
      </c>
      <c r="B203" s="46">
        <f>[3]monthly!$M303</f>
        <v>8698.0087890625</v>
      </c>
      <c r="C203" s="46">
        <f>[3]monthly!$R303</f>
        <v>3180.56176757812</v>
      </c>
      <c r="D203" s="9"/>
      <c r="E203" s="9"/>
      <c r="F203" s="9"/>
    </row>
    <row r="204" spans="1:6" x14ac:dyDescent="0.2">
      <c r="A204" s="27">
        <v>40848</v>
      </c>
      <c r="B204" s="46">
        <f>[3]monthly!$M304</f>
        <v>8651.537109375</v>
      </c>
      <c r="C204" s="46">
        <f>[3]monthly!$R304</f>
        <v>3215.03442382812</v>
      </c>
      <c r="D204" s="9"/>
      <c r="E204" s="9"/>
      <c r="F204" s="9"/>
    </row>
    <row r="205" spans="1:6" x14ac:dyDescent="0.2">
      <c r="A205" s="27">
        <v>40878</v>
      </c>
      <c r="B205" s="46">
        <f>[3]monthly!$M305</f>
        <v>8630.23046875</v>
      </c>
      <c r="C205" s="46">
        <f>[3]monthly!$R305</f>
        <v>3219.54711914062</v>
      </c>
      <c r="D205" s="9"/>
      <c r="E205" s="9"/>
      <c r="F205" s="9"/>
    </row>
    <row r="206" spans="1:6" x14ac:dyDescent="0.2">
      <c r="A206" s="27">
        <v>40909</v>
      </c>
      <c r="B206" s="46">
        <f>[3]monthly!$M306</f>
        <v>8502.4081936861803</v>
      </c>
      <c r="C206" s="46">
        <f>[3]monthly!$R306</f>
        <v>3246.69995117188</v>
      </c>
      <c r="D206" s="20">
        <f>[3]monthly!AY306</f>
        <v>5.7187235244281272E-2</v>
      </c>
      <c r="E206" s="20">
        <f>[3]monthly!AZ306</f>
        <v>0.77899078784545583</v>
      </c>
      <c r="F206" s="20">
        <f>[3]monthly!BA306</f>
        <v>0.73444245840780975</v>
      </c>
    </row>
    <row r="207" spans="1:6" x14ac:dyDescent="0.2">
      <c r="A207" s="27">
        <v>40940</v>
      </c>
      <c r="B207" s="46">
        <f>[3]monthly!$M307</f>
        <v>8615.8580141334896</v>
      </c>
      <c r="C207" s="46">
        <f>[3]monthly!$R307</f>
        <v>3253</v>
      </c>
      <c r="D207" s="20">
        <f>[3]monthly!AY307</f>
        <v>5.9773430903461863E-2</v>
      </c>
      <c r="E207" s="20">
        <f>[3]monthly!AZ307</f>
        <v>0.78072898069052665</v>
      </c>
      <c r="F207" s="20">
        <f>[3]monthly!BA307</f>
        <v>0.73406213090889116</v>
      </c>
    </row>
    <row r="208" spans="1:6" x14ac:dyDescent="0.2">
      <c r="A208" s="27">
        <v>40969</v>
      </c>
      <c r="B208" s="46">
        <f>[3]monthly!$M308</f>
        <v>8591.4369676247898</v>
      </c>
      <c r="C208" s="46">
        <f>[3]monthly!$R308</f>
        <v>3268</v>
      </c>
      <c r="D208" s="20">
        <f>[3]monthly!AY308</f>
        <v>6.0282574568288859E-2</v>
      </c>
      <c r="E208" s="20">
        <f>[3]monthly!AZ308</f>
        <v>0.78525641025641024</v>
      </c>
      <c r="F208" s="20">
        <f>[3]monthly!BA308</f>
        <v>0.73791913214990135</v>
      </c>
    </row>
    <row r="209" spans="1:6" x14ac:dyDescent="0.2">
      <c r="A209" s="27">
        <v>41000</v>
      </c>
      <c r="B209" s="46">
        <f>[3]monthly!$M309</f>
        <v>8569.4523562592203</v>
      </c>
      <c r="C209" s="46">
        <f>[3]monthly!$R309</f>
        <v>3272.39990234375</v>
      </c>
      <c r="D209" s="20">
        <f>[3]monthly!AY309</f>
        <v>5.9340352834530367E-2</v>
      </c>
      <c r="E209" s="20">
        <f>[3]monthly!AZ309</f>
        <v>0.78593741436948528</v>
      </c>
      <c r="F209" s="20">
        <f>[3]monthly!BA309</f>
        <v>0.73929961089494156</v>
      </c>
    </row>
    <row r="210" spans="1:6" x14ac:dyDescent="0.2">
      <c r="A210" s="27">
        <v>41030</v>
      </c>
      <c r="B210" s="46">
        <f>[3]monthly!$M310</f>
        <v>8663.0009691650503</v>
      </c>
      <c r="C210" s="46">
        <f>[3]monthly!$R310</f>
        <v>3275.39990234375</v>
      </c>
      <c r="D210" s="20">
        <f>[3]monthly!AY310</f>
        <v>6.1226614834611781E-2</v>
      </c>
      <c r="E210" s="20">
        <f>[3]monthly!AZ310</f>
        <v>0.78768078300571398</v>
      </c>
      <c r="F210" s="20">
        <f>[3]monthly!BA310</f>
        <v>0.73945375509199773</v>
      </c>
    </row>
    <row r="211" spans="1:6" x14ac:dyDescent="0.2">
      <c r="A211" s="27">
        <v>41061</v>
      </c>
      <c r="B211" s="46">
        <f>[3]monthly!$M311</f>
        <v>8668.4413137399206</v>
      </c>
      <c r="C211" s="46">
        <f>[3]monthly!$R311</f>
        <v>3270</v>
      </c>
      <c r="D211" s="20">
        <f>[3]monthly!AY311</f>
        <v>5.9680321062828674E-2</v>
      </c>
      <c r="E211" s="20">
        <f>[3]monthly!AZ311</f>
        <v>0.79011535727953641</v>
      </c>
      <c r="F211" s="20">
        <f>[3]monthly!BA311</f>
        <v>0.74296101908042211</v>
      </c>
    </row>
    <row r="212" spans="1:6" x14ac:dyDescent="0.2">
      <c r="A212" s="27">
        <v>41091</v>
      </c>
      <c r="B212" s="46">
        <f>[3]monthly!$M312</f>
        <v>8631.3605251145309</v>
      </c>
      <c r="C212" s="46">
        <f>[3]monthly!$R312</f>
        <v>3289.60009765625</v>
      </c>
      <c r="D212" s="20">
        <f>[3]monthly!AY312</f>
        <v>5.8193700896892166E-2</v>
      </c>
      <c r="E212" s="20">
        <f>[3]monthly!AZ312</f>
        <v>0.78722530855751072</v>
      </c>
      <c r="F212" s="20">
        <f>[3]monthly!BA312</f>
        <v>0.74144112093265102</v>
      </c>
    </row>
    <row r="213" spans="1:6" x14ac:dyDescent="0.2">
      <c r="A213" s="27">
        <v>41122</v>
      </c>
      <c r="B213" s="46">
        <f>[3]monthly!$M313</f>
        <v>8582.5050600786599</v>
      </c>
      <c r="C213" s="46">
        <f>[3]monthly!$R313</f>
        <v>3295.19995117188</v>
      </c>
      <c r="D213" s="20">
        <f>[3]monthly!AY313</f>
        <v>5.6901602619334822E-2</v>
      </c>
      <c r="E213" s="20">
        <f>[3]monthly!AZ313</f>
        <v>0.7948008546540295</v>
      </c>
      <c r="F213" s="20">
        <f>[3]monthly!BA313</f>
        <v>0.74957541226099822</v>
      </c>
    </row>
    <row r="214" spans="1:6" x14ac:dyDescent="0.2">
      <c r="A214" s="27">
        <v>41153</v>
      </c>
      <c r="B214" s="46">
        <f>[3]monthly!$M314</f>
        <v>8621.9047418402606</v>
      </c>
      <c r="C214" s="46">
        <f>[3]monthly!$R314</f>
        <v>3290.80004882812</v>
      </c>
      <c r="D214" s="20">
        <f>[3]monthly!AY314</f>
        <v>5.8503636993418776E-2</v>
      </c>
      <c r="E214" s="20">
        <f>[3]monthly!AZ314</f>
        <v>0.78877626294363545</v>
      </c>
      <c r="F214" s="20">
        <f>[3]monthly!BA314</f>
        <v>0.74262998278735548</v>
      </c>
    </row>
    <row r="215" spans="1:6" x14ac:dyDescent="0.2">
      <c r="A215" s="27">
        <v>41183</v>
      </c>
      <c r="B215" s="46">
        <f>[3]monthly!$M315</f>
        <v>8660.7394598163391</v>
      </c>
      <c r="C215" s="46">
        <f>[3]monthly!$R315</f>
        <v>3301.39990234375</v>
      </c>
      <c r="D215" s="20">
        <f>[3]monthly!AY315</f>
        <v>6.0629052283073533E-2</v>
      </c>
      <c r="E215" s="20">
        <f>[3]monthly!AZ315</f>
        <v>0.79003868998964633</v>
      </c>
      <c r="F215" s="20">
        <f>[3]monthly!BA315</f>
        <v>0.7421393929486132</v>
      </c>
    </row>
    <row r="216" spans="1:6" x14ac:dyDescent="0.2">
      <c r="A216" s="27">
        <v>41214</v>
      </c>
      <c r="B216" s="46">
        <f>[3]monthly!$M316</f>
        <v>8701.2853656471398</v>
      </c>
      <c r="C216" s="46">
        <f>[3]monthly!$R316</f>
        <v>3298.80004882812</v>
      </c>
      <c r="D216" s="20">
        <f>[3]monthly!AY316</f>
        <v>5.8203260492542493E-2</v>
      </c>
      <c r="E216" s="20">
        <f>[3]monthly!AZ316</f>
        <v>0.78583694496688206</v>
      </c>
      <c r="F216" s="20">
        <f>[3]monthly!BA316</f>
        <v>0.74009867255431083</v>
      </c>
    </row>
    <row r="217" spans="1:6" x14ac:dyDescent="0.2">
      <c r="A217" s="27">
        <v>41244</v>
      </c>
      <c r="B217" s="46">
        <f>[3]monthly!$M317</f>
        <v>8759.6366638245308</v>
      </c>
      <c r="C217" s="46">
        <f>[3]monthly!$R317</f>
        <v>3309.89990234375</v>
      </c>
      <c r="D217" s="20">
        <f>[3]monthly!AY317</f>
        <v>5.7139883430474596E-2</v>
      </c>
      <c r="E217" s="20">
        <f>[3]monthly!AZ317</f>
        <v>0.78340988775038733</v>
      </c>
      <c r="F217" s="20">
        <f>[3]monthly!BA317</f>
        <v>0.73867311716902673</v>
      </c>
    </row>
    <row r="218" spans="1:6" x14ac:dyDescent="0.2">
      <c r="A218" s="27">
        <v>41275</v>
      </c>
      <c r="B218" s="46">
        <f>[3]monthly!$M318</f>
        <v>8663.4385658555493</v>
      </c>
      <c r="C218" s="46">
        <f>[3]monthly!$R318</f>
        <v>3326.60009765625</v>
      </c>
      <c r="D218" s="20">
        <f>[3]monthly!AY318</f>
        <v>5.6337052179336156E-2</v>
      </c>
      <c r="E218" s="20">
        <f>[3]monthly!AZ318</f>
        <v>0.78664486236031617</v>
      </c>
      <c r="F218" s="20">
        <f>[3]monthly!BA318</f>
        <v>0.74235486508585435</v>
      </c>
    </row>
    <row r="219" spans="1:6" x14ac:dyDescent="0.2">
      <c r="A219" s="27">
        <v>41306</v>
      </c>
      <c r="B219" s="46">
        <f>[3]monthly!$M319</f>
        <v>8733.2001393884202</v>
      </c>
      <c r="C219" s="46">
        <f>[3]monthly!$R319</f>
        <v>3331.39990234375</v>
      </c>
      <c r="D219" s="20">
        <f>[3]monthly!AY319</f>
        <v>5.8552201301160026E-2</v>
      </c>
      <c r="E219" s="20">
        <f>[3]monthly!AZ319</f>
        <v>0.79076160923294669</v>
      </c>
      <c r="F219" s="20">
        <f>[3]monthly!BA319</f>
        <v>0.74446077630791008</v>
      </c>
    </row>
    <row r="220" spans="1:6" x14ac:dyDescent="0.2">
      <c r="A220" s="27">
        <v>41334</v>
      </c>
      <c r="B220" s="46">
        <f>[3]monthly!$M320</f>
        <v>8694.3412877265891</v>
      </c>
      <c r="C220" s="46">
        <f>[3]monthly!$R320</f>
        <v>3324.10009765625</v>
      </c>
      <c r="D220" s="20">
        <f>[3]monthly!AY320</f>
        <v>5.7011209682965414E-2</v>
      </c>
      <c r="E220" s="20">
        <f>[3]monthly!AZ320</f>
        <v>0.78919945725915874</v>
      </c>
      <c r="F220" s="20">
        <f>[3]monthly!BA320</f>
        <v>0.74420624151967441</v>
      </c>
    </row>
    <row r="221" spans="1:6" x14ac:dyDescent="0.2">
      <c r="A221" s="27">
        <v>41365</v>
      </c>
      <c r="B221" s="46">
        <f>[3]monthly!$M321</f>
        <v>8729.5809222200405</v>
      </c>
      <c r="C221" s="46">
        <f>[3]monthly!$R321</f>
        <v>3349.60009765625</v>
      </c>
      <c r="D221" s="20">
        <f>[3]monthly!AY321</f>
        <v>5.7725827950374245E-2</v>
      </c>
      <c r="E221" s="20">
        <f>[3]monthly!AZ321</f>
        <v>0.7933353217103658</v>
      </c>
      <c r="F221" s="20">
        <f>[3]monthly!BA321</f>
        <v>0.74756649765461891</v>
      </c>
    </row>
    <row r="222" spans="1:6" x14ac:dyDescent="0.2">
      <c r="A222" s="27">
        <v>41395</v>
      </c>
      <c r="B222" s="46">
        <f>[3]monthly!$M322</f>
        <v>8727.2318899697693</v>
      </c>
      <c r="C222" s="46">
        <f>[3]monthly!$R322</f>
        <v>3356.60009765625</v>
      </c>
      <c r="D222" s="20">
        <f>[3]monthly!AY322</f>
        <v>5.668002210555402E-2</v>
      </c>
      <c r="E222" s="20">
        <f>[3]monthly!AZ322</f>
        <v>0.78545849158979919</v>
      </c>
      <c r="F222" s="20">
        <f>[3]monthly!BA322</f>
        <v>0.74093868692349429</v>
      </c>
    </row>
    <row r="223" spans="1:6" x14ac:dyDescent="0.2">
      <c r="A223" s="27">
        <v>41426</v>
      </c>
      <c r="B223" s="46">
        <f>[3]monthly!$M323</f>
        <v>8826.78117597251</v>
      </c>
      <c r="C223" s="46">
        <f>[3]monthly!$R323</f>
        <v>3363.5</v>
      </c>
      <c r="D223" s="20">
        <f>[3]monthly!AY323</f>
        <v>5.5101900775406575E-2</v>
      </c>
      <c r="E223" s="20">
        <f>[3]monthly!AZ323</f>
        <v>0.78821970414041165</v>
      </c>
      <c r="F223" s="20">
        <f>[3]monthly!BA323</f>
        <v>0.74478730021364636</v>
      </c>
    </row>
    <row r="224" spans="1:6" x14ac:dyDescent="0.2">
      <c r="A224" s="27">
        <v>41456</v>
      </c>
      <c r="B224" s="46">
        <f>[3]monthly!$M324</f>
        <v>8726.0663584648591</v>
      </c>
      <c r="C224" s="46">
        <f>[3]monthly!$R324</f>
        <v>3368.60009765625</v>
      </c>
      <c r="D224" s="20">
        <f>[3]monthly!AY324</f>
        <v>5.4518781344887593E-2</v>
      </c>
      <c r="E224" s="20">
        <f>[3]monthly!AZ324</f>
        <v>0.79026691830682128</v>
      </c>
      <c r="F224" s="20">
        <f>[3]monthly!BA324</f>
        <v>0.74718252898355353</v>
      </c>
    </row>
    <row r="225" spans="1:6" x14ac:dyDescent="0.2">
      <c r="A225" s="27">
        <v>41487</v>
      </c>
      <c r="B225" s="46">
        <f>[3]monthly!$M325</f>
        <v>8790.3243065221795</v>
      </c>
      <c r="C225" s="46">
        <f>[3]monthly!$R325</f>
        <v>3375.10009765625</v>
      </c>
      <c r="D225" s="20">
        <f>[3]monthly!AY325</f>
        <v>5.2417563642576458E-2</v>
      </c>
      <c r="E225" s="20">
        <f>[3]monthly!AZ325</f>
        <v>0.78703205679862309</v>
      </c>
      <c r="F225" s="20">
        <f>[3]monthly!BA325</f>
        <v>0.74577775387263334</v>
      </c>
    </row>
    <row r="226" spans="1:6" x14ac:dyDescent="0.2">
      <c r="A226" s="27">
        <v>41518</v>
      </c>
      <c r="B226" s="46">
        <f>[3]monthly!$M326</f>
        <v>8853.9131461275701</v>
      </c>
      <c r="C226" s="46">
        <f>[3]monthly!$R326</f>
        <v>3354.19995117188</v>
      </c>
      <c r="D226" s="20">
        <f>[3]monthly!AY326</f>
        <v>5.0542498554470933E-2</v>
      </c>
      <c r="E226" s="20">
        <f>[3]monthly!AZ326</f>
        <v>0.78782925587502339</v>
      </c>
      <c r="F226" s="20">
        <f>[3]monthly!BA326</f>
        <v>0.74801039684879012</v>
      </c>
    </row>
    <row r="227" spans="1:6" x14ac:dyDescent="0.2">
      <c r="A227" s="27">
        <v>41548</v>
      </c>
      <c r="B227" s="46">
        <f>[3]monthly!$M327</f>
        <v>8704.8762063346003</v>
      </c>
      <c r="C227" s="46">
        <f>[3]monthly!$R327</f>
        <v>3398.30004882812</v>
      </c>
      <c r="D227" s="20">
        <f>[3]monthly!AY327</f>
        <v>4.9632352941176475E-2</v>
      </c>
      <c r="E227" s="20">
        <f>[3]monthly!AZ327</f>
        <v>0.78897751994198684</v>
      </c>
      <c r="F227" s="20">
        <f>[3]monthly!BA327</f>
        <v>0.74981870920957217</v>
      </c>
    </row>
    <row r="228" spans="1:6" x14ac:dyDescent="0.2">
      <c r="A228" s="27">
        <v>41579</v>
      </c>
      <c r="B228" s="46">
        <f>[3]monthly!$M328</f>
        <v>8699.5041512343196</v>
      </c>
      <c r="C228" s="46">
        <f>[3]monthly!$R328</f>
        <v>3393.30004882812</v>
      </c>
      <c r="D228" s="20">
        <f>[3]monthly!AY328</f>
        <v>5.1554439315775184E-2</v>
      </c>
      <c r="E228" s="20">
        <f>[3]monthly!AZ328</f>
        <v>0.78873541064353792</v>
      </c>
      <c r="F228" s="20">
        <f>[3]monthly!BA328</f>
        <v>0.74809936824071099</v>
      </c>
    </row>
    <row r="229" spans="1:6" x14ac:dyDescent="0.2">
      <c r="A229" s="27">
        <v>41609</v>
      </c>
      <c r="B229" s="46">
        <f>[3]monthly!$M329</f>
        <v>8714.6621222989706</v>
      </c>
      <c r="C229" s="46">
        <f>[3]monthly!$R329</f>
        <v>3400.19995117188</v>
      </c>
      <c r="D229" s="20">
        <f>[3]monthly!AY329</f>
        <v>5.07731520815633E-2</v>
      </c>
      <c r="E229" s="20">
        <f>[3]monthly!AZ329</f>
        <v>0.78477130284037877</v>
      </c>
      <c r="F229" s="20">
        <f>[3]monthly!BA329</f>
        <v>0.74492599013201755</v>
      </c>
    </row>
    <row r="230" spans="1:6" x14ac:dyDescent="0.2">
      <c r="A230" s="27">
        <v>41640</v>
      </c>
      <c r="B230" s="46">
        <f>[3]monthly!$M330</f>
        <v>8750.8671257066508</v>
      </c>
      <c r="C230" s="46">
        <f>[3]monthly!$R330</f>
        <v>3429.19995117188</v>
      </c>
      <c r="D230" s="20">
        <f>[3]monthly!AY330</f>
        <v>5.2965461685630856E-2</v>
      </c>
      <c r="E230" s="20">
        <f>[3]monthly!AZ330</f>
        <v>0.79435290353543442</v>
      </c>
      <c r="F230" s="20">
        <f>[3]monthly!BA330</f>
        <v>0.75227963525835873</v>
      </c>
    </row>
    <row r="231" spans="1:6" x14ac:dyDescent="0.2">
      <c r="A231" s="27">
        <v>41671</v>
      </c>
      <c r="B231" s="46">
        <f>[3]monthly!$M331</f>
        <v>8708.1038935643592</v>
      </c>
      <c r="C231" s="46">
        <f>[3]monthly!$R331</f>
        <v>3432.19995117188</v>
      </c>
      <c r="D231" s="20">
        <f>[3]monthly!AY331</f>
        <v>4.9443177244062796E-2</v>
      </c>
      <c r="E231" s="20">
        <f>[3]monthly!AZ331</f>
        <v>0.79749612112781554</v>
      </c>
      <c r="F231" s="20">
        <f>[3]monthly!BA331</f>
        <v>0.75806537905944049</v>
      </c>
    </row>
    <row r="232" spans="1:6" x14ac:dyDescent="0.2">
      <c r="A232" s="27">
        <v>41699</v>
      </c>
      <c r="B232" s="46">
        <f>[3]monthly!$M332</f>
        <v>8758.3012286444191</v>
      </c>
      <c r="C232" s="46">
        <f>[3]monthly!$R332</f>
        <v>3440.80004882812</v>
      </c>
      <c r="D232" s="20">
        <f>[3]monthly!AY332</f>
        <v>5.0008362602441882E-2</v>
      </c>
      <c r="E232" s="20">
        <f>[3]monthly!AZ332</f>
        <v>0.7979447484318698</v>
      </c>
      <c r="F232" s="20">
        <f>[3]monthly!BA332</f>
        <v>0.7580675296943814</v>
      </c>
    </row>
    <row r="233" spans="1:6" x14ac:dyDescent="0.2">
      <c r="A233" s="27">
        <v>41730</v>
      </c>
      <c r="B233" s="46">
        <f>[3]monthly!$M333</f>
        <v>8692.0253540255908</v>
      </c>
      <c r="C233" s="46">
        <f>[3]monthly!$R333</f>
        <v>3446.5</v>
      </c>
      <c r="D233" s="20">
        <f>[3]monthly!AY333</f>
        <v>5.2027569593147749E-2</v>
      </c>
      <c r="E233" s="20">
        <f>[3]monthly!AZ333</f>
        <v>0.79565541475881163</v>
      </c>
      <c r="F233" s="20">
        <f>[3]monthly!BA333</f>
        <v>0.7542593972952828</v>
      </c>
    </row>
    <row r="234" spans="1:6" x14ac:dyDescent="0.2">
      <c r="A234" s="27">
        <v>41760</v>
      </c>
      <c r="B234" s="46">
        <f>[3]monthly!$M334</f>
        <v>8822.1799228235905</v>
      </c>
      <c r="C234" s="46">
        <f>[3]monthly!$R334</f>
        <v>3450.39990234375</v>
      </c>
      <c r="D234" s="20">
        <f>[3]monthly!AY334</f>
        <v>5.1797987847395165E-2</v>
      </c>
      <c r="E234" s="20">
        <f>[3]monthly!AZ334</f>
        <v>0.79750556085160462</v>
      </c>
      <c r="F234" s="20">
        <f>[3]monthly!BA334</f>
        <v>0.75619637750238311</v>
      </c>
    </row>
    <row r="235" spans="1:6" x14ac:dyDescent="0.2">
      <c r="A235" s="27">
        <v>41791</v>
      </c>
      <c r="B235" s="46">
        <f>[3]monthly!$M335</f>
        <v>8817.3650928133993</v>
      </c>
      <c r="C235" s="46">
        <f>[3]monthly!$R335</f>
        <v>3460.19995117188</v>
      </c>
      <c r="D235" s="20">
        <f>[3]monthly!AY335</f>
        <v>4.9854840324356796E-2</v>
      </c>
      <c r="E235" s="20">
        <f>[3]monthly!AZ335</f>
        <v>0.79319745897300153</v>
      </c>
      <c r="F235" s="20">
        <f>[3]monthly!BA335</f>
        <v>0.75365272631021707</v>
      </c>
    </row>
    <row r="236" spans="1:6" x14ac:dyDescent="0.2">
      <c r="A236" s="27">
        <v>41821</v>
      </c>
      <c r="B236" s="46">
        <f>[3]monthly!$M336</f>
        <v>8838.8748104599508</v>
      </c>
      <c r="C236" s="46">
        <f>[3]monthly!$R336</f>
        <v>3446.30004882812</v>
      </c>
      <c r="D236" s="20">
        <f>[3]monthly!AY336</f>
        <v>5.0510085401920708E-2</v>
      </c>
      <c r="E236" s="20">
        <f>[3]monthly!AZ336</f>
        <v>0.79344530281857262</v>
      </c>
      <c r="F236" s="20">
        <f>[3]monthly!BA336</f>
        <v>0.75336831281145367</v>
      </c>
    </row>
    <row r="237" spans="1:6" x14ac:dyDescent="0.2">
      <c r="A237" s="27">
        <v>41852</v>
      </c>
      <c r="B237" s="46">
        <f>[3]monthly!$M337</f>
        <v>8865.4594588319596</v>
      </c>
      <c r="C237" s="46">
        <f>[3]monthly!$R337</f>
        <v>3447.89990234375</v>
      </c>
      <c r="D237" s="20">
        <f>[3]monthly!AY337</f>
        <v>5.1138260230990044E-2</v>
      </c>
      <c r="E237" s="20">
        <f>[3]monthly!AZ337</f>
        <v>0.79189024873780767</v>
      </c>
      <c r="F237" s="20">
        <f>[3]monthly!BA337</f>
        <v>0.75136792577515799</v>
      </c>
    </row>
    <row r="238" spans="1:6" x14ac:dyDescent="0.2">
      <c r="A238" s="27">
        <v>41883</v>
      </c>
      <c r="B238" s="46">
        <f>[3]monthly!$M338</f>
        <v>8827.0138022807296</v>
      </c>
      <c r="C238" s="46">
        <f>[3]monthly!$R338</f>
        <v>3502.19995117188</v>
      </c>
      <c r="D238" s="20">
        <f>[3]monthly!AY338</f>
        <v>5.0879000365557807E-2</v>
      </c>
      <c r="E238" s="20">
        <f>[3]monthly!AZ338</f>
        <v>0.7960160838050897</v>
      </c>
      <c r="F238" s="20">
        <f>[3]monthly!BA338</f>
        <v>0.75548912755938846</v>
      </c>
    </row>
    <row r="239" spans="1:6" x14ac:dyDescent="0.2">
      <c r="A239" s="27">
        <v>41913</v>
      </c>
      <c r="B239" s="46">
        <f>[3]monthly!$M339</f>
        <v>8896.2666208395494</v>
      </c>
      <c r="C239" s="46">
        <f>[3]monthly!$R339</f>
        <v>3472</v>
      </c>
      <c r="D239" s="20">
        <f>[3]monthly!AY339</f>
        <v>4.72972972972973E-2</v>
      </c>
      <c r="E239" s="20">
        <f>[3]monthly!AZ339</f>
        <v>0.78937501650252151</v>
      </c>
      <c r="F239" s="20">
        <f>[3]monthly!BA339</f>
        <v>0.75203971166794281</v>
      </c>
    </row>
    <row r="240" spans="1:6" x14ac:dyDescent="0.2">
      <c r="A240" s="27">
        <v>41944</v>
      </c>
      <c r="B240" s="46">
        <f>[3]monthly!$M340</f>
        <v>8829.4644950023994</v>
      </c>
      <c r="C240" s="46">
        <f>[3]monthly!$R340</f>
        <v>3497.89990234375</v>
      </c>
      <c r="D240" s="20">
        <f>[3]monthly!AY340</f>
        <v>4.847462113692013E-2</v>
      </c>
      <c r="E240" s="20">
        <f>[3]monthly!AZ340</f>
        <v>0.79711979743630312</v>
      </c>
      <c r="F240" s="20">
        <f>[3]monthly!BA340</f>
        <v>0.75847971725483987</v>
      </c>
    </row>
    <row r="241" spans="1:6" x14ac:dyDescent="0.2">
      <c r="A241" s="27">
        <v>41974</v>
      </c>
      <c r="B241" s="46">
        <f>[3]monthly!$M341</f>
        <v>8886.0348634840502</v>
      </c>
      <c r="C241" s="46">
        <f>[3]monthly!$R341</f>
        <v>3513.19995117188</v>
      </c>
      <c r="D241" s="20">
        <f>[3]monthly!AY341</f>
        <v>4.9645623866820504E-2</v>
      </c>
      <c r="E241" s="20">
        <f>[3]monthly!AZ341</f>
        <v>0.79833149113111213</v>
      </c>
      <c r="F241" s="20">
        <f>[3]monthly!BA341</f>
        <v>0.75869782620137904</v>
      </c>
    </row>
    <row r="242" spans="1:6" x14ac:dyDescent="0.2">
      <c r="A242" s="27">
        <v>42005</v>
      </c>
      <c r="B242" s="46">
        <f>[3]monthly!$M342</f>
        <v>8923.6196563676604</v>
      </c>
      <c r="C242" s="46">
        <f>[3]monthly!$R342</f>
        <v>3510.89990234375</v>
      </c>
      <c r="D242" s="20">
        <f>[3]monthly!AY342</f>
        <v>4.9077332982467678E-2</v>
      </c>
      <c r="E242" s="20">
        <f>[3]monthly!AZ342</f>
        <v>0.79713146992500916</v>
      </c>
      <c r="F242" s="20">
        <f>[3]monthly!BA342</f>
        <v>0.75803660391210859</v>
      </c>
    </row>
    <row r="243" spans="1:6" x14ac:dyDescent="0.2">
      <c r="A243" s="27">
        <v>42036</v>
      </c>
      <c r="B243" s="46">
        <f>[3]monthly!$M343</f>
        <v>8964.4240440450303</v>
      </c>
      <c r="C243" s="46">
        <f>[3]monthly!$R343</f>
        <v>3518.89990234375</v>
      </c>
      <c r="D243" s="20">
        <f>[3]monthly!AY343</f>
        <v>4.6596166556510242E-2</v>
      </c>
      <c r="E243" s="20">
        <f>[3]monthly!AZ343</f>
        <v>0.79453853223053694</v>
      </c>
      <c r="F243" s="20">
        <f>[3]monthly!BA343</f>
        <v>0.75751608244715762</v>
      </c>
    </row>
    <row r="244" spans="1:6" x14ac:dyDescent="0.2">
      <c r="A244" s="27">
        <v>42064</v>
      </c>
      <c r="B244" s="46">
        <f>[3]monthly!$M344</f>
        <v>8862.1805725347895</v>
      </c>
      <c r="C244" s="46">
        <f>[3]monthly!$R344</f>
        <v>3539.69995117188</v>
      </c>
      <c r="D244" s="20">
        <f>[3]monthly!AY344</f>
        <v>4.608569161597461E-2</v>
      </c>
      <c r="E244" s="20">
        <f>[3]monthly!AZ344</f>
        <v>0.79845841142464957</v>
      </c>
      <c r="F244" s="20">
        <f>[3]monthly!BA344</f>
        <v>0.76168730037219856</v>
      </c>
    </row>
    <row r="245" spans="1:6" x14ac:dyDescent="0.2">
      <c r="A245" s="27">
        <v>42095</v>
      </c>
      <c r="B245" s="46">
        <f>[3]monthly!$M345</f>
        <v>9034.0004113270297</v>
      </c>
      <c r="C245" s="46">
        <f>[3]monthly!$R345</f>
        <v>3534.69995117188</v>
      </c>
      <c r="D245" s="20">
        <f>[3]monthly!AY345</f>
        <v>4.2930625164864143E-2</v>
      </c>
      <c r="E245" s="20">
        <f>[3]monthly!AZ345</f>
        <v>0.79753859100113089</v>
      </c>
      <c r="F245" s="20">
        <f>[3]monthly!BA345</f>
        <v>0.76329976069634731</v>
      </c>
    </row>
    <row r="246" spans="1:6" x14ac:dyDescent="0.2">
      <c r="A246" s="27">
        <v>42125</v>
      </c>
      <c r="B246" s="46">
        <f>[3]monthly!$M346</f>
        <v>9037.1363650356307</v>
      </c>
      <c r="C246" s="46">
        <f>[3]monthly!$R346</f>
        <v>3549.69995117188</v>
      </c>
      <c r="D246" s="20">
        <f>[3]monthly!AY346</f>
        <v>4.4321693956730454E-2</v>
      </c>
      <c r="E246" s="20">
        <f>[3]monthly!AZ346</f>
        <v>0.79682464827477795</v>
      </c>
      <c r="F246" s="20">
        <f>[3]monthly!BA346</f>
        <v>0.76150803007676382</v>
      </c>
    </row>
    <row r="247" spans="1:6" x14ac:dyDescent="0.2">
      <c r="A247" s="27">
        <v>42156</v>
      </c>
      <c r="B247" s="46">
        <f>[3]monthly!$M347</f>
        <v>8991.5298171085105</v>
      </c>
      <c r="C247" s="46">
        <f>[3]monthly!$R347</f>
        <v>3565.30004882812</v>
      </c>
      <c r="D247" s="20">
        <f>[3]monthly!AY347</f>
        <v>4.4862138974392556E-2</v>
      </c>
      <c r="E247" s="20">
        <f>[3]monthly!AZ347</f>
        <v>0.80049280452960758</v>
      </c>
      <c r="F247" s="20">
        <f>[3]monthly!BA347</f>
        <v>0.7645809850847991</v>
      </c>
    </row>
    <row r="248" spans="1:6" x14ac:dyDescent="0.2">
      <c r="A248" s="27">
        <v>42186</v>
      </c>
      <c r="B248" s="46">
        <f>[3]monthly!$M348</f>
        <v>8968.0425211674101</v>
      </c>
      <c r="C248" s="46">
        <f>[3]monthly!$R348</f>
        <v>3573.69995117188</v>
      </c>
      <c r="D248" s="20">
        <f>[3]monthly!AY348</f>
        <v>4.6379756793077452E-2</v>
      </c>
      <c r="E248" s="20">
        <f>[3]monthly!AZ348</f>
        <v>0.79887405079863838</v>
      </c>
      <c r="F248" s="20">
        <f>[3]monthly!BA348</f>
        <v>0.76179628174914904</v>
      </c>
    </row>
    <row r="249" spans="1:6" x14ac:dyDescent="0.2">
      <c r="A249" s="27">
        <v>42217</v>
      </c>
      <c r="B249" s="46">
        <f>[3]monthly!$M349</f>
        <v>9082.5166220102492</v>
      </c>
      <c r="C249" s="46">
        <f>[3]monthly!$R349</f>
        <v>3579.80004882812</v>
      </c>
      <c r="D249" s="20">
        <f>[3]monthly!AY349</f>
        <v>4.3880208333333337E-2</v>
      </c>
      <c r="E249" s="20">
        <f>[3]monthly!AZ349</f>
        <v>0.80070896105927125</v>
      </c>
      <c r="F249" s="20">
        <f>[3]monthly!BA349</f>
        <v>0.76557368503362344</v>
      </c>
    </row>
    <row r="250" spans="1:6" x14ac:dyDescent="0.2">
      <c r="A250" s="27">
        <v>42248</v>
      </c>
      <c r="B250" s="46">
        <f>[3]monthly!$M350</f>
        <v>9162.7247036314202</v>
      </c>
      <c r="C250" s="46">
        <f>[3]monthly!$R350</f>
        <v>3560.80004882812</v>
      </c>
      <c r="D250" s="20">
        <f>[3]monthly!AY350</f>
        <v>4.4720213666862102E-2</v>
      </c>
      <c r="E250" s="20">
        <f>[3]monthly!AZ350</f>
        <v>0.80103318722604877</v>
      </c>
      <c r="F250" s="20">
        <f>[3]monthly!BA350</f>
        <v>0.76518472135253601</v>
      </c>
    </row>
    <row r="251" spans="1:6" x14ac:dyDescent="0.2">
      <c r="A251" s="27">
        <v>42278</v>
      </c>
      <c r="B251" s="46">
        <f>[3]monthly!$M351</f>
        <v>9133.6912400425299</v>
      </c>
      <c r="C251" s="46">
        <f>[3]monthly!$R351</f>
        <v>3593.5</v>
      </c>
      <c r="D251" s="20">
        <f>[3]monthly!AY351</f>
        <v>4.5450118494951786E-2</v>
      </c>
      <c r="E251" s="20">
        <f>[3]monthly!AZ351</f>
        <v>0.80074347509618382</v>
      </c>
      <c r="F251" s="20">
        <f>[3]monthly!BA351</f>
        <v>0.76437558490173652</v>
      </c>
    </row>
    <row r="252" spans="1:6" x14ac:dyDescent="0.2">
      <c r="A252" s="27">
        <v>42309</v>
      </c>
      <c r="B252" s="46">
        <f>[3]monthly!$M352</f>
        <v>9157.6853421305404</v>
      </c>
      <c r="C252" s="46">
        <f>[3]monthly!$R352</f>
        <v>3608.10009765625</v>
      </c>
      <c r="D252" s="20">
        <f>[3]monthly!AY352</f>
        <v>4.4104204753199268E-2</v>
      </c>
      <c r="E252" s="20">
        <f>[3]monthly!AZ352</f>
        <v>0.79446014990792846</v>
      </c>
      <c r="F252" s="20">
        <f>[3]monthly!BA352</f>
        <v>0.75942111678813184</v>
      </c>
    </row>
    <row r="253" spans="1:6" x14ac:dyDescent="0.2">
      <c r="A253" s="27">
        <v>42339</v>
      </c>
      <c r="B253" s="46">
        <f>[3]monthly!$M353</f>
        <v>9192.4419260698796</v>
      </c>
      <c r="C253" s="46">
        <f>[3]monthly!$R353</f>
        <v>3626</v>
      </c>
      <c r="D253" s="20">
        <f>[3]monthly!AY353</f>
        <v>4.5015242913666736E-2</v>
      </c>
      <c r="E253" s="20">
        <f>[3]monthly!AZ353</f>
        <v>0.79862208293403092</v>
      </c>
      <c r="F253" s="20">
        <f>[3]monthly!BA353</f>
        <v>0.76267191587453698</v>
      </c>
    </row>
    <row r="254" spans="1:6" x14ac:dyDescent="0.2">
      <c r="A254" s="27">
        <v>42370</v>
      </c>
      <c r="B254" s="46">
        <f>[3]monthly!$M354</f>
        <v>9212.2044538187092</v>
      </c>
      <c r="C254" s="46">
        <f>[3]monthly!$R354</f>
        <v>3617.60009765625</v>
      </c>
      <c r="D254" s="20">
        <f>[3]monthly!AY354</f>
        <v>4.5479701793794965E-2</v>
      </c>
      <c r="E254" s="20">
        <f>[3]monthly!AZ354</f>
        <v>0.79452161092573914</v>
      </c>
      <c r="F254" s="20">
        <f>[3]monthly!BA354</f>
        <v>0.75841287085176279</v>
      </c>
    </row>
    <row r="255" spans="1:6" x14ac:dyDescent="0.2">
      <c r="A255" s="27">
        <v>42401</v>
      </c>
      <c r="B255" s="46">
        <f>[3]monthly!$M355</f>
        <v>9193.3013760888207</v>
      </c>
      <c r="C255" s="46">
        <f>[3]monthly!$R355</f>
        <v>3643.10009765625</v>
      </c>
      <c r="D255" s="20">
        <f>[3]monthly!AY355</f>
        <v>4.5398333767248111E-2</v>
      </c>
      <c r="E255" s="20">
        <f>[3]monthly!AZ355</f>
        <v>0.79433357460448772</v>
      </c>
      <c r="F255" s="20">
        <f>[3]monthly!BA355</f>
        <v>0.75827215386206182</v>
      </c>
    </row>
    <row r="256" spans="1:6" x14ac:dyDescent="0.2">
      <c r="A256" s="27">
        <v>42430</v>
      </c>
      <c r="B256" s="46">
        <f>[3]monthly!$M356</f>
        <v>9283.7432651752697</v>
      </c>
      <c r="C256" s="46">
        <f>[3]monthly!$R356</f>
        <v>3652.19995117188</v>
      </c>
      <c r="D256" s="20">
        <f>[3]monthly!AY356</f>
        <v>4.5451598262335469E-2</v>
      </c>
      <c r="E256" s="20">
        <f>[3]monthly!AZ356</f>
        <v>0.79822995109075379</v>
      </c>
      <c r="F256" s="20">
        <f>[3]monthly!BA356</f>
        <v>0.76192324612478324</v>
      </c>
    </row>
    <row r="257" spans="1:6" x14ac:dyDescent="0.2">
      <c r="A257" s="27">
        <v>42461</v>
      </c>
      <c r="B257" s="46">
        <f>[3]monthly!$M357</f>
        <v>9308.8444130913304</v>
      </c>
      <c r="C257" s="46">
        <f>[3]monthly!$R357</f>
        <v>3672</v>
      </c>
      <c r="D257" s="20">
        <f>[3]monthly!AY357</f>
        <v>4.3264725839283986E-2</v>
      </c>
      <c r="E257" s="20">
        <f>[3]monthly!AZ357</f>
        <v>0.80066746003000988</v>
      </c>
      <c r="F257" s="20">
        <f>[3]monthly!BA357</f>
        <v>0.76602680188337557</v>
      </c>
    </row>
    <row r="258" spans="1:6" x14ac:dyDescent="0.2">
      <c r="A258" s="27">
        <v>42491</v>
      </c>
      <c r="B258" s="46">
        <f>[3]monthly!$M358</f>
        <v>9203.3508575623291</v>
      </c>
      <c r="C258" s="46">
        <f>[3]monthly!$R358</f>
        <v>3672.39990234375</v>
      </c>
      <c r="D258" s="20">
        <f>[3]monthly!AY358</f>
        <v>4.0177558889284905E-2</v>
      </c>
      <c r="E258" s="20">
        <f>[3]monthly!AZ358</f>
        <v>0.79997407983411095</v>
      </c>
      <c r="F258" s="20">
        <f>[3]monthly!BA358</f>
        <v>0.76783307413167445</v>
      </c>
    </row>
    <row r="259" spans="1:6" x14ac:dyDescent="0.2">
      <c r="A259" s="27">
        <v>42522</v>
      </c>
      <c r="B259" s="46">
        <f>[3]monthly!$M359</f>
        <v>9276.3212871619107</v>
      </c>
      <c r="C259" s="46">
        <f>[3]monthly!$R359</f>
        <v>3688.89990234375</v>
      </c>
      <c r="D259" s="20">
        <f>[3]monthly!AY359</f>
        <v>3.7633540974082558E-2</v>
      </c>
      <c r="E259" s="20">
        <f>[3]monthly!AZ359</f>
        <v>0.79877797256883576</v>
      </c>
      <c r="F259" s="20">
        <f>[3]monthly!BA359</f>
        <v>0.76871712900897171</v>
      </c>
    </row>
    <row r="260" spans="1:6" x14ac:dyDescent="0.2">
      <c r="A260" s="27">
        <v>42552</v>
      </c>
      <c r="B260" s="46">
        <f>[3]monthly!$M360</f>
        <v>9351.8728963108006</v>
      </c>
      <c r="C260" s="46">
        <f>[3]monthly!$R360</f>
        <v>3702.39990234375</v>
      </c>
      <c r="D260" s="20">
        <f>[3]monthly!AY360</f>
        <v>3.9916706711516897E-2</v>
      </c>
      <c r="E260" s="20">
        <f>[3]monthly!AZ360</f>
        <v>0.80248341817059998</v>
      </c>
      <c r="F260" s="20">
        <f>[3]monthly!BA360</f>
        <v>0.77045092292662865</v>
      </c>
    </row>
    <row r="261" spans="1:6" x14ac:dyDescent="0.2">
      <c r="A261" s="27">
        <v>42583</v>
      </c>
      <c r="B261" s="46">
        <f>[3]monthly!$M361</f>
        <v>9330.2873609368999</v>
      </c>
      <c r="C261" s="46">
        <f>[3]monthly!$R361</f>
        <v>3710.19995117188</v>
      </c>
      <c r="D261" s="20">
        <f>[3]monthly!AY361</f>
        <v>4.153190944314579E-2</v>
      </c>
      <c r="E261" s="20">
        <f>[3]monthly!AZ361</f>
        <v>0.80203919151449787</v>
      </c>
      <c r="F261" s="20">
        <f>[3]monthly!BA361</f>
        <v>0.76875465495544093</v>
      </c>
    </row>
    <row r="262" spans="1:6" x14ac:dyDescent="0.2">
      <c r="A262" s="27">
        <v>42614</v>
      </c>
      <c r="B262" s="46">
        <f>[3]monthly!$M362</f>
        <v>9232.8323191221098</v>
      </c>
      <c r="C262" s="46">
        <f>[3]monthly!$R362</f>
        <v>3765.30004882812</v>
      </c>
      <c r="D262" s="20">
        <f>[3]monthly!AY362</f>
        <v>4.2991736068683874E-2</v>
      </c>
      <c r="E262" s="20">
        <f>[3]monthly!AZ362</f>
        <v>0.79941905300498695</v>
      </c>
      <c r="F262" s="20">
        <f>[3]monthly!BA362</f>
        <v>0.7650506400699193</v>
      </c>
    </row>
    <row r="263" spans="1:6" x14ac:dyDescent="0.2">
      <c r="A263" s="27">
        <v>42644</v>
      </c>
      <c r="B263" s="46">
        <f>[3]monthly!$M363</f>
        <v>9536.2061077763901</v>
      </c>
      <c r="C263" s="46">
        <f>[3]monthly!$R363</f>
        <v>3662.69995117188</v>
      </c>
      <c r="D263" s="20">
        <f>[3]monthly!AY363</f>
        <v>3.9669844519802926E-2</v>
      </c>
      <c r="E263" s="20">
        <f>[3]monthly!AZ363</f>
        <v>0.79960094136907811</v>
      </c>
      <c r="F263" s="20">
        <f>[3]monthly!BA363</f>
        <v>0.76788089634707879</v>
      </c>
    </row>
    <row r="264" spans="1:6" x14ac:dyDescent="0.2">
      <c r="A264" s="27">
        <v>42675</v>
      </c>
      <c r="B264" s="46">
        <f>[3]monthly!$M364</f>
        <v>9491.0915008171905</v>
      </c>
      <c r="C264" s="46">
        <f>[3]monthly!$R364</f>
        <v>3726.39990234375</v>
      </c>
      <c r="D264" s="20">
        <f>[3]monthly!AY364</f>
        <v>3.8995606580508609E-2</v>
      </c>
      <c r="E264" s="20">
        <f>[3]monthly!AZ364</f>
        <v>0.79913379974885324</v>
      </c>
      <c r="F264" s="20">
        <f>[3]monthly!BA364</f>
        <v>0.76797109248865991</v>
      </c>
    </row>
    <row r="265" spans="1:6" x14ac:dyDescent="0.2">
      <c r="A265" s="27">
        <v>42705</v>
      </c>
      <c r="B265" s="46">
        <f>[3]monthly!$M365</f>
        <v>9428.1701952536096</v>
      </c>
      <c r="C265" s="46">
        <f>[3]monthly!$R365</f>
        <v>3730.69995117188</v>
      </c>
      <c r="D265" s="20">
        <f>[3]monthly!AY365</f>
        <v>3.8743556082097917E-2</v>
      </c>
      <c r="E265" s="20">
        <f>[3]monthly!AZ365</f>
        <v>0.80028187059577194</v>
      </c>
      <c r="F265" s="20">
        <f>[3]monthly!BA365</f>
        <v>0.76925048046124278</v>
      </c>
    </row>
    <row r="266" spans="1:6" x14ac:dyDescent="0.2">
      <c r="A266" s="27">
        <v>42736</v>
      </c>
      <c r="B266" s="46">
        <f>[3]monthly!$M366</f>
        <v>9434.4412125763301</v>
      </c>
      <c r="C266" s="46">
        <f>[3]monthly!$R366</f>
        <v>3756.10009765625</v>
      </c>
      <c r="D266" s="20">
        <f>[3]monthly!AY366</f>
        <v>3.8734874191689604E-2</v>
      </c>
      <c r="E266" s="20">
        <f>[3]monthly!AZ366</f>
        <v>0.7987419775499246</v>
      </c>
      <c r="F266" s="20">
        <f>[3]monthly!BA366</f>
        <v>0.76777723797591346</v>
      </c>
    </row>
    <row r="267" spans="1:6" x14ac:dyDescent="0.2">
      <c r="A267" s="27">
        <v>42767</v>
      </c>
      <c r="B267" s="46">
        <f>[3]monthly!$M367</f>
        <v>9514.6829764706799</v>
      </c>
      <c r="C267" s="46">
        <f>[3]monthly!$R367</f>
        <v>3773.80004882812</v>
      </c>
      <c r="D267" s="20">
        <f>[3]monthly!AY367</f>
        <v>3.7619153887843912E-2</v>
      </c>
      <c r="E267" s="20">
        <f>[3]monthly!AZ367</f>
        <v>0.79948514043941477</v>
      </c>
      <c r="F267" s="20">
        <f>[3]monthly!BA367</f>
        <v>0.76940918591017993</v>
      </c>
    </row>
    <row r="268" spans="1:6" x14ac:dyDescent="0.2">
      <c r="A268" s="27">
        <v>42795</v>
      </c>
      <c r="B268" s="46">
        <f>[3]monthly!$M368</f>
        <v>9437.1849580774197</v>
      </c>
      <c r="C268" s="46">
        <f>[3]monthly!$R368</f>
        <v>3788.60009765625</v>
      </c>
      <c r="D268" s="20">
        <f>[3]monthly!AY368</f>
        <v>3.8406465777834346E-2</v>
      </c>
      <c r="E268" s="20">
        <f>[3]monthly!AZ368</f>
        <v>0.79952680184191105</v>
      </c>
      <c r="F268" s="20">
        <f>[3]monthly!BA368</f>
        <v>0.76881980308850839</v>
      </c>
    </row>
    <row r="269" spans="1:6" x14ac:dyDescent="0.2">
      <c r="A269" s="27">
        <v>42826</v>
      </c>
      <c r="B269" s="46">
        <f>[3]monthly!$M369</f>
        <v>9478.4645152940793</v>
      </c>
      <c r="C269" s="46">
        <f>[3]monthly!$R369</f>
        <v>3787.39990234375</v>
      </c>
      <c r="D269" s="20">
        <f>[3]monthly!AY369</f>
        <v>3.8241646550628894E-2</v>
      </c>
      <c r="E269" s="20">
        <f>[3]monthly!AZ369</f>
        <v>0.80028469027223514</v>
      </c>
      <c r="F269" s="20">
        <f>[3]monthly!BA369</f>
        <v>0.76968048600696481</v>
      </c>
    </row>
    <row r="270" spans="1:6" x14ac:dyDescent="0.2">
      <c r="A270" s="27">
        <v>42856</v>
      </c>
      <c r="B270" s="46">
        <f>[3]monthly!$M370</f>
        <v>9649.55107911907</v>
      </c>
      <c r="C270" s="46">
        <f>[3]monthly!$R370</f>
        <v>3806.39990234375</v>
      </c>
      <c r="D270" s="20">
        <f>[3]monthly!AY370</f>
        <v>3.8440800532842781E-2</v>
      </c>
      <c r="E270" s="20">
        <f>[3]monthly!AZ370</f>
        <v>0.80248924635394137</v>
      </c>
      <c r="F270" s="20">
        <f>[3]monthly!BA370</f>
        <v>0.7716409173050981</v>
      </c>
    </row>
    <row r="271" spans="1:6" x14ac:dyDescent="0.2">
      <c r="A271" s="27">
        <v>42887</v>
      </c>
      <c r="B271" s="46">
        <f>[3]monthly!$M371</f>
        <v>9531.4459733982294</v>
      </c>
      <c r="C271" s="46">
        <f>[3]monthly!$R371</f>
        <v>3807.19995117188</v>
      </c>
      <c r="D271" s="20">
        <f>[3]monthly!AY371</f>
        <v>3.8085844283941579E-2</v>
      </c>
      <c r="E271" s="20">
        <f>[3]monthly!AZ371</f>
        <v>0.79951666242686337</v>
      </c>
      <c r="F271" s="20">
        <f>[3]monthly!BA371</f>
        <v>0.76906639531925713</v>
      </c>
    </row>
    <row r="272" spans="1:6" x14ac:dyDescent="0.2">
      <c r="A272" s="27">
        <v>42917</v>
      </c>
      <c r="B272" s="46">
        <f>[3]monthly!$M372</f>
        <v>9573.0902342296195</v>
      </c>
      <c r="C272" s="46">
        <f>[3]monthly!$R372</f>
        <v>3812.60009765625</v>
      </c>
      <c r="D272" s="20">
        <f>[3]monthly!AY372</f>
        <v>3.5907837606566725E-2</v>
      </c>
      <c r="E272" s="20">
        <f>[3]monthly!AZ372</f>
        <v>0.80032974001268231</v>
      </c>
      <c r="F272" s="20">
        <f>[3]monthly!BA372</f>
        <v>0.77159162967660111</v>
      </c>
    </row>
    <row r="273" spans="1:6" x14ac:dyDescent="0.2">
      <c r="A273" s="27">
        <v>42948</v>
      </c>
      <c r="B273" s="46">
        <f>[3]monthly!$M373</f>
        <v>9659.7137715004992</v>
      </c>
      <c r="C273" s="46">
        <f>[3]monthly!$R373</f>
        <v>3809.39990234375</v>
      </c>
      <c r="D273" s="20">
        <f>[3]monthly!AY373</f>
        <v>3.5828025477707005E-2</v>
      </c>
      <c r="E273" s="20">
        <f>[3]monthly!AZ373</f>
        <v>0.79465505896644228</v>
      </c>
      <c r="F273" s="20">
        <f>[3]monthly!BA373</f>
        <v>0.76620944475375807</v>
      </c>
    </row>
    <row r="274" spans="1:6" x14ac:dyDescent="0.2">
      <c r="A274" s="27">
        <v>42979</v>
      </c>
      <c r="B274" s="46">
        <f>[3]monthly!$M374</f>
        <v>9604.5471234568795</v>
      </c>
      <c r="C274" s="46">
        <f>[3]monthly!$R374</f>
        <v>3829</v>
      </c>
      <c r="D274" s="20">
        <f>[3]monthly!AY374</f>
        <v>3.4701810941499954E-2</v>
      </c>
      <c r="E274" s="20">
        <f>[3]monthly!AZ374</f>
        <v>0.80134228187919465</v>
      </c>
      <c r="F274" s="20">
        <f>[3]monthly!BA374</f>
        <v>0.77353425351399274</v>
      </c>
    </row>
    <row r="275" spans="1:6" x14ac:dyDescent="0.2">
      <c r="A275" s="27">
        <v>43009</v>
      </c>
      <c r="B275" s="46">
        <f>[3]monthly!$M375</f>
        <v>9605.6034343813699</v>
      </c>
      <c r="C275" s="46">
        <f>[3]monthly!$R375</f>
        <v>3832.5</v>
      </c>
      <c r="D275" s="20">
        <f>[3]monthly!AY375</f>
        <v>3.5569137708326773E-2</v>
      </c>
      <c r="E275" s="20">
        <f>[3]monthly!AZ375</f>
        <v>0.80166186795979189</v>
      </c>
      <c r="F275" s="20">
        <f>[3]monthly!BA375</f>
        <v>0.77314744658281553</v>
      </c>
    </row>
    <row r="276" spans="1:6" x14ac:dyDescent="0.2">
      <c r="A276" s="27">
        <v>43040</v>
      </c>
      <c r="B276" s="46">
        <f>[3]monthly!$M376</f>
        <v>9639.0916562373204</v>
      </c>
      <c r="C276" s="46">
        <f>[3]monthly!$R376</f>
        <v>3847.89990234375</v>
      </c>
      <c r="D276" s="20">
        <f>[3]monthly!AY376</f>
        <v>3.6043138244197782E-2</v>
      </c>
      <c r="E276" s="20">
        <f>[3]monthly!AZ376</f>
        <v>0.80161779575328607</v>
      </c>
      <c r="F276" s="20">
        <f>[3]monthly!BA376</f>
        <v>0.77272497472194135</v>
      </c>
    </row>
    <row r="277" spans="1:6" x14ac:dyDescent="0.2">
      <c r="A277" s="27">
        <v>43070</v>
      </c>
      <c r="B277" s="46">
        <f>[3]monthly!$M377</f>
        <v>9688.7327063877801</v>
      </c>
      <c r="C277" s="46">
        <f>[3]monthly!$R377</f>
        <v>3834.39990234375</v>
      </c>
      <c r="D277" s="20">
        <f>[3]monthly!AY377</f>
        <v>3.4698825529771091E-2</v>
      </c>
      <c r="E277" s="20">
        <f>[3]monthly!AZ377</f>
        <v>0.80223805193492981</v>
      </c>
      <c r="F277" s="20">
        <f>[3]monthly!BA377</f>
        <v>0.77440133373749609</v>
      </c>
    </row>
    <row r="278" spans="1:6" x14ac:dyDescent="0.2">
      <c r="A278" s="27">
        <v>43101</v>
      </c>
      <c r="B278" s="46">
        <f>[3]monthly!$M378</f>
        <v>9737.2019626821002</v>
      </c>
      <c r="C278" s="46">
        <f>[3]monthly!$R378</f>
        <v>3862.60009765625</v>
      </c>
      <c r="D278" s="20">
        <f>[3]monthly!AY378</f>
        <v>3.2557845492476929E-2</v>
      </c>
      <c r="E278" s="20">
        <f>[3]monthly!AZ378</f>
        <v>0.79820356259776959</v>
      </c>
      <c r="F278" s="20">
        <f>[3]monthly!BA378</f>
        <v>0.77221577433516675</v>
      </c>
    </row>
    <row r="279" spans="1:6" x14ac:dyDescent="0.2">
      <c r="A279" s="27">
        <v>43132</v>
      </c>
      <c r="B279" s="46">
        <f>[3]monthly!$M379</f>
        <v>9696.2265366077409</v>
      </c>
      <c r="C279" s="46">
        <f>[3]monthly!$R379</f>
        <v>3888</v>
      </c>
      <c r="D279" s="20">
        <f>[3]monthly!AY379</f>
        <v>3.2268190093540081E-2</v>
      </c>
      <c r="E279" s="20">
        <f>[3]monthly!AZ379</f>
        <v>0.80099565031554065</v>
      </c>
      <c r="F279" s="20">
        <f>[3]monthly!BA379</f>
        <v>0.77514897040705999</v>
      </c>
    </row>
    <row r="280" spans="1:6" x14ac:dyDescent="0.2">
      <c r="A280" s="27">
        <v>43160</v>
      </c>
      <c r="B280" s="46">
        <f>[3]monthly!$M380</f>
        <v>9784.0219421953607</v>
      </c>
      <c r="C280" s="46">
        <f>[3]monthly!$R380</f>
        <v>3896.89990234375</v>
      </c>
      <c r="D280" s="20">
        <f>[3]monthly!AY380</f>
        <v>3.2864293134384742E-2</v>
      </c>
      <c r="E280" s="20">
        <f>[3]monthly!AZ380</f>
        <v>0.80266316294817697</v>
      </c>
      <c r="F280" s="20">
        <f>[3]monthly!BA380</f>
        <v>0.77628420547287569</v>
      </c>
    </row>
    <row r="281" spans="1:6" x14ac:dyDescent="0.2">
      <c r="A281" s="27">
        <v>43191</v>
      </c>
      <c r="B281" s="46">
        <f>[3]monthly!$M381</f>
        <v>9797.9699596011797</v>
      </c>
      <c r="C281" s="46">
        <f>[3]monthly!$R381</f>
        <v>3903.39990234375</v>
      </c>
      <c r="D281" s="20">
        <f>[3]monthly!AY381</f>
        <v>3.5250289578311361E-2</v>
      </c>
      <c r="E281" s="20">
        <f>[3]monthly!AZ381</f>
        <v>0.80033573862497498</v>
      </c>
      <c r="F281" s="20">
        <f>[3]monthly!BA381</f>
        <v>0.7721236720785728</v>
      </c>
    </row>
    <row r="282" spans="1:6" x14ac:dyDescent="0.2">
      <c r="A282" s="27">
        <v>43221</v>
      </c>
      <c r="B282" s="46">
        <f>[3]monthly!$M382</f>
        <v>9731.0513258154097</v>
      </c>
      <c r="C282" s="46">
        <f>[3]monthly!$R382</f>
        <v>3924.10009765625</v>
      </c>
      <c r="D282" s="20">
        <f>[3]monthly!AY382</f>
        <v>3.5778844355793801E-2</v>
      </c>
      <c r="E282" s="20">
        <f>[3]monthly!AZ382</f>
        <v>0.8089859311179467</v>
      </c>
      <c r="F282" s="20">
        <f>[3]monthly!BA382</f>
        <v>0.78004134940245085</v>
      </c>
    </row>
    <row r="283" spans="1:6" x14ac:dyDescent="0.2">
      <c r="A283" s="27">
        <v>43252</v>
      </c>
      <c r="B283" s="46">
        <f>[3]monthly!$M383</f>
        <v>9781.4140253913592</v>
      </c>
      <c r="C283" s="46">
        <f>[3]monthly!$R383</f>
        <v>3907.89990234375</v>
      </c>
      <c r="D283" s="20">
        <f>[3]monthly!AY383</f>
        <v>3.6320666708128613E-2</v>
      </c>
      <c r="E283" s="20">
        <f>[3]monthly!AZ383</f>
        <v>0.80807116293094794</v>
      </c>
      <c r="F283" s="20">
        <f>[3]monthly!BA383</f>
        <v>0.77872147954568305</v>
      </c>
    </row>
    <row r="284" spans="1:6" x14ac:dyDescent="0.2">
      <c r="A284" s="27">
        <v>43282</v>
      </c>
      <c r="B284" s="46">
        <f>[3]monthly!$M384</f>
        <v>9800.05368627805</v>
      </c>
      <c r="C284" s="46">
        <f>[3]monthly!$R384</f>
        <v>3886.19995117188</v>
      </c>
      <c r="D284" s="20">
        <f>[3]monthly!AY384</f>
        <v>3.3933561005898789E-2</v>
      </c>
      <c r="E284" s="20">
        <f>[3]monthly!AZ384</f>
        <v>0.80492802878848457</v>
      </c>
      <c r="F284" s="20">
        <f>[3]monthly!BA384</f>
        <v>0.77761395441823267</v>
      </c>
    </row>
    <row r="285" spans="1:6" x14ac:dyDescent="0.2">
      <c r="A285" s="27">
        <v>43313</v>
      </c>
      <c r="B285" s="46">
        <f>[3]monthly!$M385</f>
        <v>9846.4726740755505</v>
      </c>
      <c r="C285" s="46">
        <f>[3]monthly!$R385</f>
        <v>3895.69995117188</v>
      </c>
      <c r="D285" s="20">
        <f>[3]monthly!AY385</f>
        <v>3.3230941077911198E-2</v>
      </c>
      <c r="E285" s="20">
        <f>[3]monthly!AZ385</f>
        <v>0.80383598543422952</v>
      </c>
      <c r="F285" s="20">
        <f>[3]monthly!BA385</f>
        <v>0.77712375916595999</v>
      </c>
    </row>
    <row r="286" spans="1:6" x14ac:dyDescent="0.2">
      <c r="A286" s="27">
        <v>43344</v>
      </c>
      <c r="B286" s="46">
        <f>[3]monthly!$M386</f>
        <v>9982.2848876076496</v>
      </c>
      <c r="C286" s="46">
        <f>[3]monthly!$R386</f>
        <v>3852.10009765625</v>
      </c>
      <c r="D286" s="20">
        <f>[3]monthly!AY386</f>
        <v>3.5493587553954598E-2</v>
      </c>
      <c r="E286" s="20">
        <f>[3]monthly!AZ386</f>
        <v>0.80182759822717997</v>
      </c>
      <c r="F286" s="20">
        <f>[3]monthly!BA386</f>
        <v>0.77336786016632642</v>
      </c>
    </row>
    <row r="287" spans="1:6" x14ac:dyDescent="0.2">
      <c r="A287" s="27">
        <v>43374</v>
      </c>
      <c r="B287" s="46">
        <f>[3]monthly!$M387</f>
        <v>9954.6216315289603</v>
      </c>
      <c r="C287" s="46">
        <f>[3]monthly!$R387</f>
        <v>3946.19995117188</v>
      </c>
      <c r="D287" s="20">
        <f>[3]monthly!AY387</f>
        <v>3.6177156177156181E-2</v>
      </c>
      <c r="E287" s="20">
        <f>[3]monthly!AZ387</f>
        <v>0.80091105966694043</v>
      </c>
      <c r="F287" s="20">
        <f>[3]monthly!BA387</f>
        <v>0.77196126751798466</v>
      </c>
    </row>
    <row r="288" spans="1:6" x14ac:dyDescent="0.2">
      <c r="A288" s="27">
        <v>43405</v>
      </c>
      <c r="B288" s="46">
        <f>[3]monthly!$M388</f>
        <v>9976.3208702864704</v>
      </c>
      <c r="C288" s="46">
        <f>[3]monthly!$R388</f>
        <v>3940.19995117188</v>
      </c>
      <c r="D288" s="20">
        <f>[3]monthly!AY388</f>
        <v>3.7524850894632207E-2</v>
      </c>
      <c r="E288" s="20">
        <f>[3]monthly!AZ388</f>
        <v>0.7995032906991183</v>
      </c>
      <c r="F288" s="20">
        <f>[3]monthly!BA388</f>
        <v>0.76950204892586616</v>
      </c>
    </row>
    <row r="289" spans="1:6" x14ac:dyDescent="0.2">
      <c r="A289" s="27">
        <v>43435</v>
      </c>
      <c r="B289" s="46">
        <f>[3]monthly!$M389</f>
        <v>9937.2265930631493</v>
      </c>
      <c r="C289" s="46">
        <f>[3]monthly!$R389</f>
        <v>3937.80004882812</v>
      </c>
      <c r="D289" s="20">
        <f>[3]monthly!AY389</f>
        <v>3.6079133360081485E-2</v>
      </c>
      <c r="E289" s="20">
        <f>[3]monthly!AZ389</f>
        <v>0.80459399056369507</v>
      </c>
      <c r="F289" s="20">
        <f>[3]monthly!BA389</f>
        <v>0.77556493667742732</v>
      </c>
    </row>
    <row r="290" spans="1:6" x14ac:dyDescent="0.2">
      <c r="A290" s="27">
        <v>43466</v>
      </c>
      <c r="B290" s="46">
        <f>[3]monthly!$M390</f>
        <v>9948.7662977994296</v>
      </c>
      <c r="C290" s="46">
        <f>[3]monthly!$R390</f>
        <v>3951.30004882812</v>
      </c>
      <c r="D290" s="20">
        <f>[3]monthly!AY390</f>
        <v>3.718639372017854E-2</v>
      </c>
      <c r="E290" s="20">
        <f>[3]monthly!AZ390</f>
        <v>0.80510049815360973</v>
      </c>
      <c r="F290" s="20">
        <f>[3]monthly!BA390</f>
        <v>0.77516171404495771</v>
      </c>
    </row>
    <row r="291" spans="1:6" x14ac:dyDescent="0.2">
      <c r="A291" s="27">
        <v>43497</v>
      </c>
      <c r="B291" s="46">
        <f>[3]monthly!$M391</f>
        <v>9905.0247713231001</v>
      </c>
      <c r="C291" s="46">
        <f>[3]monthly!$R391</f>
        <v>3978.69995117188</v>
      </c>
      <c r="D291" s="20">
        <f>[3]monthly!AY391</f>
        <v>3.5694538305584569E-2</v>
      </c>
      <c r="E291" s="20">
        <f>[3]monthly!AZ391</f>
        <v>0.80747097926381595</v>
      </c>
      <c r="F291" s="20">
        <f>[3]monthly!BA391</f>
        <v>0.77864867546383565</v>
      </c>
    </row>
    <row r="292" spans="1:6" x14ac:dyDescent="0.2">
      <c r="A292" s="27">
        <v>43525</v>
      </c>
      <c r="B292" s="46">
        <f>[3]monthly!$M392</f>
        <v>9893.5973767749692</v>
      </c>
      <c r="C292" s="46">
        <f>[3]monthly!$R392</f>
        <v>3967.80004882812</v>
      </c>
      <c r="D292" s="20">
        <f>[3]monthly!AY392</f>
        <v>3.3100562955671084E-2</v>
      </c>
      <c r="E292" s="20">
        <f>[3]monthly!AZ392</f>
        <v>0.80640519957331747</v>
      </c>
      <c r="F292" s="20">
        <f>[3]monthly!BA392</f>
        <v>0.77971273349706038</v>
      </c>
    </row>
    <row r="293" spans="1:6" x14ac:dyDescent="0.2">
      <c r="A293" s="27">
        <v>43556</v>
      </c>
      <c r="B293" s="46">
        <f>[3]monthly!$M393</f>
        <v>9853.1035966649106</v>
      </c>
      <c r="C293" s="46">
        <f>[3]monthly!$R393</f>
        <v>4004.30004882812</v>
      </c>
      <c r="D293" s="20">
        <f>[3]monthly!AY393</f>
        <v>3.4295029527559057E-2</v>
      </c>
      <c r="E293" s="20">
        <f>[3]monthly!AZ393</f>
        <v>0.80586952210985519</v>
      </c>
      <c r="F293" s="20">
        <f>[3]monthly!BA393</f>
        <v>0.77823220305373775</v>
      </c>
    </row>
    <row r="294" spans="1:6" x14ac:dyDescent="0.2">
      <c r="A294" s="27">
        <v>43586</v>
      </c>
      <c r="B294" s="46">
        <f>[3]monthly!$M394</f>
        <v>9982.7430442922105</v>
      </c>
      <c r="C294" s="46">
        <f>[3]monthly!$R394</f>
        <v>3991.80004882812</v>
      </c>
      <c r="D294" s="20">
        <f>[3]monthly!AY394</f>
        <v>3.2794939507461769E-2</v>
      </c>
      <c r="E294" s="20">
        <f>[3]monthly!AZ394</f>
        <v>0.80513251582278478</v>
      </c>
      <c r="F294" s="20">
        <f>[3]monthly!BA394</f>
        <v>0.77872824367088611</v>
      </c>
    </row>
    <row r="295" spans="1:6" x14ac:dyDescent="0.2">
      <c r="A295" s="27">
        <v>43617</v>
      </c>
      <c r="B295" s="46">
        <f>[3]monthly!$M395</f>
        <v>9973.3646050213192</v>
      </c>
      <c r="C295" s="46">
        <f>[3]monthly!$R395</f>
        <v>3990.60009765625</v>
      </c>
      <c r="D295" s="20">
        <f>[3]monthly!AY395</f>
        <v>3.4226969128012555E-2</v>
      </c>
      <c r="E295" s="20">
        <f>[3]monthly!AZ395</f>
        <v>0.80376536948615818</v>
      </c>
      <c r="F295" s="20">
        <f>[3]monthly!BA395</f>
        <v>0.77627965661413623</v>
      </c>
    </row>
    <row r="296" spans="1:6" x14ac:dyDescent="0.2">
      <c r="A296" s="27">
        <v>43647</v>
      </c>
      <c r="B296" s="46">
        <f>[3]monthly!$M396</f>
        <v>10142.159684001001</v>
      </c>
      <c r="C296" s="46">
        <f>[3]monthly!$R396</f>
        <v>3964.19995117188</v>
      </c>
      <c r="D296" s="20">
        <f>[3]monthly!AY396</f>
        <v>3.3206890118773709E-2</v>
      </c>
      <c r="E296" s="20">
        <f>[3]monthly!AZ396</f>
        <v>0.79445693253958438</v>
      </c>
      <c r="F296" s="20">
        <f>[3]monthly!BA396</f>
        <v>0.76807548847664453</v>
      </c>
    </row>
    <row r="297" spans="1:6" x14ac:dyDescent="0.2">
      <c r="A297" s="27">
        <v>43678</v>
      </c>
      <c r="B297" s="46">
        <f>[3]monthly!$M397</f>
        <v>10144.5997279856</v>
      </c>
      <c r="C297" s="46">
        <f>[3]monthly!$R397</f>
        <v>3942.5</v>
      </c>
      <c r="D297" s="20">
        <f>[3]monthly!AY397</f>
        <v>3.2084244234381255E-2</v>
      </c>
      <c r="E297" s="20">
        <f>[3]monthly!AZ397</f>
        <v>0.80095195817302944</v>
      </c>
      <c r="F297" s="20">
        <f>[3]monthly!BA397</f>
        <v>0.77525401992700005</v>
      </c>
    </row>
    <row r="298" spans="1:6" x14ac:dyDescent="0.2">
      <c r="A298" s="27">
        <v>43709</v>
      </c>
      <c r="B298" s="46">
        <f>[3]monthly!$M398</f>
        <v>10038.683883657301</v>
      </c>
      <c r="C298" s="46">
        <f>[3]monthly!$R398</f>
        <v>4017.30004882812</v>
      </c>
      <c r="D298" s="20">
        <f>[3]monthly!AY398</f>
        <v>3.1926258279156364E-2</v>
      </c>
      <c r="E298" s="20">
        <f>[3]monthly!AZ398</f>
        <v>0.80704995566065629</v>
      </c>
      <c r="F298" s="20">
        <f>[3]monthly!BA398</f>
        <v>0.78125923736328706</v>
      </c>
    </row>
    <row r="299" spans="1:6" x14ac:dyDescent="0.2">
      <c r="A299" s="27">
        <v>43739</v>
      </c>
      <c r="B299" s="46">
        <f>[3]monthly!$M399</f>
        <v>10218.7617792541</v>
      </c>
      <c r="C299" s="46">
        <f>[3]monthly!$R399</f>
        <v>3965.89990234375</v>
      </c>
      <c r="D299" s="20">
        <f>[3]monthly!AY399</f>
        <v>3.0794214977325655E-2</v>
      </c>
      <c r="E299" s="20">
        <f>[3]monthly!AZ399</f>
        <v>0.80184762045158597</v>
      </c>
      <c r="F299" s="20">
        <f>[3]monthly!BA399</f>
        <v>0.77715535244834277</v>
      </c>
    </row>
    <row r="300" spans="1:6" x14ac:dyDescent="0.2">
      <c r="A300" s="27">
        <v>43770</v>
      </c>
      <c r="B300" s="46">
        <f>[3]monthly!$M400</f>
        <v>10141.5583331175</v>
      </c>
      <c r="C300" s="46">
        <f>[3]monthly!$R400</f>
        <v>4000.5</v>
      </c>
      <c r="D300" s="20">
        <f>[3]monthly!AY400</f>
        <v>3.3888517415354688E-2</v>
      </c>
      <c r="E300" s="20">
        <f>[3]monthly!AZ400</f>
        <v>0.80693579241673608</v>
      </c>
      <c r="F300" s="20">
        <f>[3]monthly!BA400</f>
        <v>0.77961446019522251</v>
      </c>
    </row>
    <row r="301" spans="1:6" x14ac:dyDescent="0.2">
      <c r="A301" s="27">
        <v>43800</v>
      </c>
      <c r="B301" s="46">
        <f>[3]monthly!$M401</f>
        <v>10194.8488737549</v>
      </c>
      <c r="C301" s="46">
        <f>[3]monthly!$R401</f>
        <v>4003.69995117188</v>
      </c>
      <c r="D301" s="20">
        <f>[3]monthly!AY401</f>
        <v>3.1851035158642654E-2</v>
      </c>
      <c r="E301" s="20">
        <f>[3]monthly!AZ401</f>
        <v>0.80011762111298967</v>
      </c>
      <c r="F301" s="20">
        <f>[3]monthly!BA401</f>
        <v>0.77463304663187038</v>
      </c>
    </row>
    <row r="302" spans="1:6" x14ac:dyDescent="0.2">
      <c r="A302" s="27">
        <v>43831</v>
      </c>
      <c r="B302" s="46">
        <f>[3]monthly!$M402</f>
        <v>10196.9031900913</v>
      </c>
      <c r="C302" s="46">
        <f>[3]monthly!$R402</f>
        <v>4038.10009765625</v>
      </c>
      <c r="D302" s="20">
        <f>[3]monthly!AY402</f>
        <v>3.1880266480090041E-2</v>
      </c>
      <c r="E302" s="20">
        <f>[3]monthly!AZ402</f>
        <v>0.80174137846934301</v>
      </c>
      <c r="F302" s="20">
        <f>[3]monthly!BA402</f>
        <v>0.77618164967562564</v>
      </c>
    </row>
    <row r="303" spans="1:6" x14ac:dyDescent="0.2">
      <c r="A303" s="27">
        <v>43862</v>
      </c>
      <c r="B303" s="46">
        <f>[3]monthly!$M403</f>
        <v>10130.373199306699</v>
      </c>
      <c r="C303" s="46">
        <f>[3]monthly!$R403</f>
        <v>4068.80004882812</v>
      </c>
      <c r="D303" s="20">
        <f>[3]monthly!AY403</f>
        <v>3.1882467690807118E-2</v>
      </c>
      <c r="E303" s="20">
        <f>[3]monthly!AZ403</f>
        <v>0.8004879834085642</v>
      </c>
      <c r="F303" s="20">
        <f>[3]monthly!BA403</f>
        <v>0.7749908503110895</v>
      </c>
    </row>
    <row r="304" spans="1:6" x14ac:dyDescent="0.2">
      <c r="A304" s="27">
        <v>43891</v>
      </c>
      <c r="B304" s="46">
        <f>[3]monthly!$M404</f>
        <v>9458.6435721877206</v>
      </c>
      <c r="C304" s="46">
        <f>[3]monthly!$R404</f>
        <v>3899.80004882812</v>
      </c>
      <c r="D304" s="20">
        <f>[3]monthly!AY404</f>
        <v>3.1809389296570359E-2</v>
      </c>
      <c r="E304" s="20">
        <f>[3]monthly!AZ404</f>
        <v>0.79183584157934395</v>
      </c>
      <c r="F304" s="20">
        <f>[3]monthly!BA404</f>
        <v>0.76664802703556922</v>
      </c>
    </row>
    <row r="305" spans="1:6" x14ac:dyDescent="0.2">
      <c r="A305" s="27">
        <v>43922</v>
      </c>
      <c r="B305" s="46">
        <f>[3]monthly!$M405</f>
        <v>12128.6792927223</v>
      </c>
      <c r="C305" s="46">
        <f>[3]monthly!$R405</f>
        <v>2795.30004882812</v>
      </c>
      <c r="D305" s="20">
        <f>[3]monthly!AY405</f>
        <v>3.145832693312034E-2</v>
      </c>
      <c r="E305" s="20">
        <f>[3]monthly!AZ405</f>
        <v>0.78980443538603395</v>
      </c>
      <c r="F305" s="20">
        <f>[3]monthly!BA405</f>
        <v>0.76495850924443154</v>
      </c>
    </row>
    <row r="306" spans="1:6" x14ac:dyDescent="0.2">
      <c r="A306" s="27">
        <v>43952</v>
      </c>
      <c r="B306" s="46">
        <f>[3]monthly!$M406</f>
        <v>11330.6992689783</v>
      </c>
      <c r="C306" s="46">
        <f>[3]monthly!$R406</f>
        <v>3249.80004882812</v>
      </c>
      <c r="D306" s="20">
        <f>[3]monthly!AY406</f>
        <v>3.3220129669651127E-2</v>
      </c>
      <c r="E306" s="20">
        <f>[3]monthly!AZ406</f>
        <v>0.78717768002527522</v>
      </c>
      <c r="F306" s="20">
        <f>[3]monthly!BA406</f>
        <v>0.76102753542178048</v>
      </c>
    </row>
    <row r="307" spans="1:6" x14ac:dyDescent="0.2">
      <c r="A307" s="27">
        <v>43983</v>
      </c>
      <c r="B307" s="46">
        <f>[3]monthly!$M407</f>
        <v>10708.9751712417</v>
      </c>
      <c r="C307" s="46">
        <f>[3]monthly!$R407</f>
        <v>3636.19995117188</v>
      </c>
      <c r="D307" s="20">
        <f>[3]monthly!AY407</f>
        <v>4.1556849524977013E-2</v>
      </c>
      <c r="E307" s="20">
        <f>[3]monthly!AZ407</f>
        <v>0.79177889398461565</v>
      </c>
      <c r="F307" s="20">
        <f>[3]monthly!BA407</f>
        <v>0.75887505763024432</v>
      </c>
    </row>
    <row r="308" spans="1:6" x14ac:dyDescent="0.2">
      <c r="A308" s="27">
        <v>44013</v>
      </c>
      <c r="B308" s="46">
        <f>[3]monthly!$M408</f>
        <v>10733.256613147199</v>
      </c>
      <c r="C308" s="46">
        <f>[3]monthly!$R408</f>
        <v>3603.69995117188</v>
      </c>
      <c r="D308" s="20">
        <f>[3]monthly!AY408</f>
        <v>4.4029782149094587E-2</v>
      </c>
      <c r="E308" s="20">
        <f>[3]monthly!AZ408</f>
        <v>0.79223711039906775</v>
      </c>
      <c r="F308" s="20">
        <f>[3]monthly!BA408</f>
        <v>0.75735508301776866</v>
      </c>
    </row>
    <row r="309" spans="1:6" x14ac:dyDescent="0.2">
      <c r="A309" s="27">
        <v>44044</v>
      </c>
      <c r="B309" s="46">
        <f>[3]monthly!$M409</f>
        <v>10825.672730504</v>
      </c>
      <c r="C309" s="46">
        <f>[3]monthly!$R409</f>
        <v>3640.69995117188</v>
      </c>
      <c r="D309" s="20">
        <f>[3]monthly!AY409</f>
        <v>4.3774854695625573E-2</v>
      </c>
      <c r="E309" s="20">
        <f>[3]monthly!AZ409</f>
        <v>0.79414051112622686</v>
      </c>
      <c r="F309" s="20">
        <f>[3]monthly!BA409</f>
        <v>0.75937712564376647</v>
      </c>
    </row>
    <row r="310" spans="1:6" x14ac:dyDescent="0.2">
      <c r="A310" s="27">
        <v>44075</v>
      </c>
      <c r="B310" s="46">
        <f>[3]monthly!$M410</f>
        <v>10554.3821753916</v>
      </c>
      <c r="C310" s="46">
        <f>[3]monthly!$R410</f>
        <v>3653.80004882812</v>
      </c>
      <c r="D310" s="20">
        <f>[3]monthly!AY410</f>
        <v>4.0522755792244361E-2</v>
      </c>
      <c r="E310" s="20">
        <f>[3]monthly!AZ410</f>
        <v>0.79168887811969957</v>
      </c>
      <c r="F310" s="20">
        <f>[3]monthly!BA410</f>
        <v>0.75963169372425488</v>
      </c>
    </row>
    <row r="311" spans="1:6" x14ac:dyDescent="0.2">
      <c r="A311" s="27">
        <v>44105</v>
      </c>
      <c r="B311" s="46">
        <f>[3]monthly!$M411</f>
        <v>11452.442716416501</v>
      </c>
      <c r="C311" s="46">
        <f>[3]monthly!$R411</f>
        <v>3351.89990234375</v>
      </c>
      <c r="D311" s="20">
        <f>[3]monthly!AY411</f>
        <v>4.1165700335672871E-2</v>
      </c>
      <c r="E311" s="20">
        <f>[3]monthly!AZ411</f>
        <v>0.79127831168203999</v>
      </c>
      <c r="F311" s="20">
        <f>[3]monthly!BA411</f>
        <v>0.75868063939730535</v>
      </c>
    </row>
    <row r="312" spans="1:6" x14ac:dyDescent="0.2">
      <c r="A312" s="27">
        <v>44136</v>
      </c>
      <c r="B312" s="46">
        <f>[3]monthly!$M412</f>
        <v>11048.4016069681</v>
      </c>
      <c r="C312" s="46">
        <f>[3]monthly!$R412</f>
        <v>3509.30004882812</v>
      </c>
      <c r="D312" s="20">
        <f>[3]monthly!AY412</f>
        <v>4.337297694948504E-2</v>
      </c>
      <c r="E312" s="20">
        <f>[3]monthly!AZ412</f>
        <v>0.7882858937805054</v>
      </c>
      <c r="F312" s="20">
        <f>[3]monthly!BA412</f>
        <v>0.75409558787995934</v>
      </c>
    </row>
    <row r="313" spans="1:6" x14ac:dyDescent="0.2">
      <c r="A313" s="27">
        <v>44166</v>
      </c>
      <c r="B313" s="46">
        <f>[3]monthly!$M413</f>
        <v>11269.0271940696</v>
      </c>
      <c r="C313" s="46">
        <f>[3]monthly!$R413</f>
        <v>3578.19995117188</v>
      </c>
      <c r="D313" s="20">
        <f>[3]monthly!AY413</f>
        <v>4.256435582443361E-2</v>
      </c>
      <c r="E313" s="20">
        <f>[3]monthly!AZ413</f>
        <v>0.78163526261188465</v>
      </c>
      <c r="F313" s="20">
        <f>[3]monthly!BA413</f>
        <v>0.74836546116914771</v>
      </c>
    </row>
    <row r="314" spans="1:6" x14ac:dyDescent="0.2">
      <c r="A314" s="27">
        <v>44197</v>
      </c>
      <c r="B314" s="46">
        <f>[3]monthly!$M414</f>
        <v>11269.8547515966</v>
      </c>
      <c r="C314" s="46">
        <f>[3]monthly!$R414</f>
        <v>3451.80004882812</v>
      </c>
      <c r="D314" s="20">
        <f>[3]monthly!AY414</f>
        <v>4.0671560883437104E-2</v>
      </c>
      <c r="E314" s="20">
        <f>[3]monthly!AZ414</f>
        <v>0.77865412445730831</v>
      </c>
      <c r="F314" s="20">
        <f>[3]monthly!BA414</f>
        <v>0.74698504582730341</v>
      </c>
    </row>
    <row r="315" spans="1:6" x14ac:dyDescent="0.2">
      <c r="A315" s="27">
        <v>44228</v>
      </c>
      <c r="B315" s="46">
        <f>[3]monthly!$M415</f>
        <v>11148.6857354737</v>
      </c>
      <c r="C315" s="46">
        <f>[3]monthly!$R415</f>
        <v>3569.89990234375</v>
      </c>
      <c r="D315" s="20">
        <f>[3]monthly!AY415</f>
        <v>4.7666120910691674E-2</v>
      </c>
      <c r="E315" s="20">
        <f>[3]monthly!AZ415</f>
        <v>0.77940432908771329</v>
      </c>
      <c r="F315" s="20">
        <f>[3]monthly!BA415</f>
        <v>0.74227722533888718</v>
      </c>
    </row>
    <row r="316" spans="1:6" x14ac:dyDescent="0.2">
      <c r="A316" s="27">
        <v>44256</v>
      </c>
      <c r="B316" s="46">
        <f>[3]monthly!$M416</f>
        <v>10886.566398668099</v>
      </c>
      <c r="C316" s="46">
        <f>[3]monthly!$R416</f>
        <v>3716.30004882812</v>
      </c>
      <c r="D316" s="20">
        <f>[3]monthly!AY416</f>
        <v>5.0485258549429014E-2</v>
      </c>
      <c r="E316" s="20">
        <f>[3]monthly!AZ416</f>
        <v>0.78700334915548276</v>
      </c>
      <c r="F316" s="20">
        <f>[3]monthly!BA416</f>
        <v>0.74729537623786224</v>
      </c>
    </row>
    <row r="317" spans="1:6" x14ac:dyDescent="0.2">
      <c r="A317" s="27">
        <v>44287</v>
      </c>
      <c r="B317" s="46">
        <f>[3]monthly!$M417</f>
        <v>10798.151983113101</v>
      </c>
      <c r="C317" s="46">
        <f>[3]monthly!$R417</f>
        <v>3785.89990234375</v>
      </c>
      <c r="D317" s="20">
        <f>[3]monthly!AY417</f>
        <v>5.0543709373671107E-2</v>
      </c>
      <c r="E317" s="20">
        <f>[3]monthly!AZ417</f>
        <v>0.79080492901924038</v>
      </c>
      <c r="F317" s="20">
        <f>[3]monthly!BA417</f>
        <v>0.75083471451562533</v>
      </c>
    </row>
    <row r="318" spans="1:6" x14ac:dyDescent="0.2">
      <c r="A318" s="27">
        <v>44317</v>
      </c>
      <c r="B318" s="46">
        <f>[3]monthly!$M418</f>
        <v>10768.405454588899</v>
      </c>
      <c r="C318" s="46">
        <f>[3]monthly!$R418</f>
        <v>3810.89990234375</v>
      </c>
      <c r="D318" s="20">
        <f>[3]monthly!AY418</f>
        <v>4.9767242435379153E-2</v>
      </c>
      <c r="E318" s="20">
        <f>[3]monthly!AZ418</f>
        <v>0.78341610883178581</v>
      </c>
      <c r="F318" s="20">
        <f>[3]monthly!BA418</f>
        <v>0.744427649415773</v>
      </c>
    </row>
    <row r="319" spans="1:6" x14ac:dyDescent="0.2">
      <c r="A319" s="27">
        <v>44348</v>
      </c>
      <c r="B319" s="46">
        <f>[3]monthly!$M419</f>
        <v>10846.3806789796</v>
      </c>
      <c r="C319" s="46">
        <f>[3]monthly!$R419</f>
        <v>3877.5</v>
      </c>
      <c r="D319" s="20">
        <f>[3]monthly!AY419</f>
        <v>5.0075369309617125E-2</v>
      </c>
      <c r="E319" s="20">
        <f>[3]monthly!AZ419</f>
        <v>0.79354066985645932</v>
      </c>
      <c r="F319" s="20">
        <f>[3]monthly!BA419</f>
        <v>0.75380382775119614</v>
      </c>
    </row>
    <row r="320" spans="1:6" x14ac:dyDescent="0.2">
      <c r="A320" s="27">
        <v>44378</v>
      </c>
      <c r="B320" s="46">
        <f>[3]monthly!$M420</f>
        <v>10785.4161179374</v>
      </c>
      <c r="C320" s="46">
        <f>[3]monthly!$R420</f>
        <v>3927.89990234375</v>
      </c>
      <c r="D320" s="20">
        <f>[3]monthly!AY420</f>
        <v>4.781980245723922E-2</v>
      </c>
      <c r="E320" s="20">
        <f>[3]monthly!AZ420</f>
        <v>0.79500131670297569</v>
      </c>
      <c r="F320" s="20">
        <f>[3]monthly!BA420</f>
        <v>0.75698451078499429</v>
      </c>
    </row>
    <row r="321" spans="1:6" x14ac:dyDescent="0.2">
      <c r="A321" s="27">
        <v>44409</v>
      </c>
      <c r="B321" s="46">
        <f>[3]monthly!$M421</f>
        <v>10825.3690886779</v>
      </c>
      <c r="C321" s="46">
        <f>[3]monthly!$R421</f>
        <v>3953.69995117188</v>
      </c>
      <c r="D321" s="20">
        <f>[3]monthly!AY421</f>
        <v>4.7800630535955561E-2</v>
      </c>
      <c r="E321" s="20">
        <f>[3]monthly!AZ421</f>
        <v>0.79927524058652721</v>
      </c>
      <c r="F321" s="20">
        <f>[3]monthly!BA421</f>
        <v>0.7610693801147137</v>
      </c>
    </row>
    <row r="322" spans="1:6" x14ac:dyDescent="0.2">
      <c r="A322" s="27">
        <v>44440</v>
      </c>
      <c r="B322" s="46">
        <f>[3]monthly!$M422</f>
        <v>11066.6372406189</v>
      </c>
      <c r="C322" s="46">
        <f>[3]monthly!$R422</f>
        <v>3909.80004882812</v>
      </c>
      <c r="D322" s="20">
        <f>[3]monthly!AY422</f>
        <v>4.8085565342441128E-2</v>
      </c>
      <c r="E322" s="20">
        <f>[3]monthly!AZ422</f>
        <v>0.80070047497960939</v>
      </c>
      <c r="F322" s="20">
        <f>[3]monthly!BA422</f>
        <v>0.76219833997025377</v>
      </c>
    </row>
    <row r="323" spans="1:6" x14ac:dyDescent="0.2">
      <c r="A323" s="27">
        <v>44470</v>
      </c>
      <c r="B323" s="46">
        <f>[3]monthly!$M423</f>
        <v>10775.187880083</v>
      </c>
      <c r="C323" s="46">
        <f>[3]monthly!$R423</f>
        <v>4055</v>
      </c>
      <c r="D323" s="20">
        <f>[3]monthly!AY423</f>
        <v>4.4086920183869616E-2</v>
      </c>
      <c r="E323" s="20">
        <f>[3]monthly!AZ423</f>
        <v>0.80075529423012559</v>
      </c>
      <c r="F323" s="20">
        <f>[3]monthly!BA423</f>
        <v>0.76547636120273432</v>
      </c>
    </row>
    <row r="324" spans="1:6" x14ac:dyDescent="0.2">
      <c r="A324" s="27">
        <v>44501</v>
      </c>
      <c r="B324" s="46">
        <f>[3]monthly!$M424</f>
        <v>10755.1223382806</v>
      </c>
      <c r="C324" s="46">
        <f>[3]monthly!$R424</f>
        <v>4094.39990234375</v>
      </c>
      <c r="D324" s="20">
        <f>[3]monthly!AY424</f>
        <v>3.8365132257969392E-2</v>
      </c>
      <c r="E324" s="20">
        <f>[3]monthly!AZ424</f>
        <v>0.80852129130704309</v>
      </c>
      <c r="F324" s="20">
        <f>[3]monthly!BA424</f>
        <v>0.77752610748176054</v>
      </c>
    </row>
    <row r="325" spans="1:6" x14ac:dyDescent="0.2">
      <c r="A325" s="27">
        <v>44531</v>
      </c>
      <c r="B325" s="46">
        <f>[3]monthly!$M425</f>
        <v>10876.481314754001</v>
      </c>
      <c r="C325" s="46">
        <f>[3]monthly!$R425</f>
        <v>4100.7001953125</v>
      </c>
      <c r="D325" s="20">
        <f>[3]monthly!AY425</f>
        <v>3.5877345429909571E-2</v>
      </c>
      <c r="E325" s="20">
        <f>[3]monthly!AZ425</f>
        <v>0.80558587632290835</v>
      </c>
      <c r="F325" s="20">
        <f>[3]monthly!BA425</f>
        <v>0.77665986426842581</v>
      </c>
    </row>
    <row r="326" spans="1:6" x14ac:dyDescent="0.2">
      <c r="A326" s="27">
        <v>44562</v>
      </c>
      <c r="B326" s="46">
        <f>[3]monthly!$M426</f>
        <v>10726.3116492108</v>
      </c>
      <c r="C326" s="46">
        <f>[3]monthly!$R426</f>
        <v>4129.2998046875</v>
      </c>
      <c r="D326" s="20">
        <f>[3]monthly!AY426</f>
        <v>3.3561784863370296E-2</v>
      </c>
      <c r="E326" s="20">
        <f>[3]monthly!AZ426</f>
        <v>0.80655263220326912</v>
      </c>
      <c r="F326" s="20">
        <f>[3]monthly!BA426</f>
        <v>0.77948328628027796</v>
      </c>
    </row>
    <row r="327" spans="1:6" x14ac:dyDescent="0.2">
      <c r="A327" s="27">
        <v>44593</v>
      </c>
      <c r="B327" s="46">
        <f>[3]monthly!$M427</f>
        <v>10723.8931367523</v>
      </c>
      <c r="C327" s="46">
        <f>[3]monthly!$R427</f>
        <v>4160.39990234375</v>
      </c>
      <c r="D327" s="20">
        <f>[3]monthly!AY427</f>
        <v>3.3772197517946932E-2</v>
      </c>
      <c r="E327" s="20">
        <f>[3]monthly!AZ427</f>
        <v>0.8154283682900817</v>
      </c>
      <c r="F327" s="20">
        <f>[3]monthly!BA427</f>
        <v>0.7878895603744519</v>
      </c>
    </row>
    <row r="328" spans="1:6" x14ac:dyDescent="0.2">
      <c r="A328" s="27">
        <v>44621</v>
      </c>
      <c r="B328" s="46">
        <f>[3]monthly!$M428</f>
        <v>10689.0552242951</v>
      </c>
      <c r="C328" s="46">
        <f>[3]monthly!$R428</f>
        <v>4150.60009765625</v>
      </c>
      <c r="D328" s="20">
        <f>[3]monthly!AY428</f>
        <v>3.0369525147020099E-2</v>
      </c>
      <c r="E328" s="20">
        <f>[3]monthly!AZ428</f>
        <v>0.80902785996638815</v>
      </c>
      <c r="F328" s="20">
        <f>[3]monthly!BA428</f>
        <v>0.78448173834828505</v>
      </c>
    </row>
    <row r="329" spans="1:6" x14ac:dyDescent="0.2">
      <c r="A329" s="27">
        <v>44652</v>
      </c>
      <c r="B329" s="46">
        <f>[3]monthly!$M429</f>
        <v>10694.7277004921</v>
      </c>
      <c r="C329" s="46">
        <f>[3]monthly!$R429</f>
        <v>4165.10009765625</v>
      </c>
      <c r="D329" s="20">
        <f>[3]monthly!AY429</f>
        <v>2.8463890849211949E-2</v>
      </c>
      <c r="E329" s="20">
        <f>[3]monthly!AZ429</f>
        <v>0.80731157270029674</v>
      </c>
      <c r="F329" s="20">
        <f>[3]monthly!BA429</f>
        <v>0.78433234421364983</v>
      </c>
    </row>
    <row r="330" spans="1:6" x14ac:dyDescent="0.2">
      <c r="A330" s="27">
        <v>44682</v>
      </c>
      <c r="B330" s="46">
        <f>[3]monthly!$M430</f>
        <v>10683.024630177501</v>
      </c>
      <c r="C330" s="46">
        <f>[3]monthly!$R430</f>
        <v>4195.2001953125</v>
      </c>
      <c r="D330" s="20">
        <f>[3]monthly!AY430</f>
        <v>3.0182846811116621E-2</v>
      </c>
      <c r="E330" s="20">
        <f>[3]monthly!AZ430</f>
        <v>0.80918894683436771</v>
      </c>
      <c r="F330" s="20">
        <f>[3]monthly!BA430</f>
        <v>0.78474172310451429</v>
      </c>
    </row>
    <row r="331" spans="1:6" x14ac:dyDescent="0.2">
      <c r="A331" s="27">
        <v>44713</v>
      </c>
      <c r="B331" s="46">
        <f>[3]monthly!$M431</f>
        <v>10635.2161381977</v>
      </c>
      <c r="C331" s="46">
        <f>[3]monthly!$R431</f>
        <v>4188.5</v>
      </c>
      <c r="D331" s="20">
        <f>[3]monthly!AY431</f>
        <v>3.0206215509729888E-2</v>
      </c>
      <c r="E331" s="20">
        <f>[3]monthly!AZ431</f>
        <v>0.81244985605738829</v>
      </c>
      <c r="F331" s="20">
        <f>[3]monthly!BA431</f>
        <v>0.78790882061446976</v>
      </c>
    </row>
    <row r="332" spans="1:6" x14ac:dyDescent="0.2">
      <c r="A332" s="27">
        <v>44743</v>
      </c>
      <c r="B332" s="46">
        <f>[3]monthly!$M432</f>
        <v>10616.542315122901</v>
      </c>
      <c r="C332" s="46">
        <f>[3]monthly!$R432</f>
        <v>4174.2998046875</v>
      </c>
      <c r="D332" s="20">
        <f>[3]monthly!AY432</f>
        <v>3.0711959050721264E-2</v>
      </c>
      <c r="E332" s="20">
        <f>[3]monthly!AZ432</f>
        <v>0.81180498170227833</v>
      </c>
      <c r="F332" s="20">
        <f>[3]monthly!BA432</f>
        <v>0.78687286034706649</v>
      </c>
    </row>
    <row r="333" spans="1:6" x14ac:dyDescent="0.2">
      <c r="A333" s="27">
        <v>44774</v>
      </c>
      <c r="B333" s="46">
        <f>[3]monthly!$M433</f>
        <v>10714.8741624127</v>
      </c>
      <c r="C333" s="46">
        <f>[3]monthly!$R433</f>
        <v>4188.10009765625</v>
      </c>
      <c r="D333" s="20">
        <f>[3]monthly!AY433</f>
        <v>3.32854681217691E-2</v>
      </c>
      <c r="E333" s="20">
        <f>[3]monthly!AZ433</f>
        <v>0.8174668388308487</v>
      </c>
      <c r="F333" s="20">
        <f>[3]monthly!BA433</f>
        <v>0.79025707242634113</v>
      </c>
    </row>
    <row r="334" spans="1:6" x14ac:dyDescent="0.2">
      <c r="A334" s="27">
        <v>44805</v>
      </c>
      <c r="B334" s="46">
        <f>[3]monthly!$M434</f>
        <v>10680.6664235261</v>
      </c>
      <c r="C334" s="46">
        <f>[3]monthly!$R434</f>
        <v>4225.5</v>
      </c>
      <c r="D334" s="20">
        <f>[3]monthly!AY434</f>
        <v>3.1271616324648373E-2</v>
      </c>
      <c r="E334" s="20">
        <f>[3]monthly!AZ434</f>
        <v>0.81293345829428298</v>
      </c>
      <c r="F334" s="20">
        <f>[3]monthly!BA434</f>
        <v>0.78751171508903461</v>
      </c>
    </row>
    <row r="335" spans="1:6" x14ac:dyDescent="0.2">
      <c r="A335" s="27">
        <v>44835</v>
      </c>
      <c r="B335" s="46">
        <f>[3]monthly!$M435</f>
        <v>10787.3950596533</v>
      </c>
      <c r="C335" s="46">
        <f>[3]monthly!$R435</f>
        <v>4227.10009765625</v>
      </c>
      <c r="D335" s="20">
        <f>[3]monthly!AY435</f>
        <v>3.6359445676913765E-2</v>
      </c>
      <c r="E335" s="20">
        <f>[3]monthly!AZ435</f>
        <v>0.81300946313126587</v>
      </c>
      <c r="F335" s="20">
        <f>[3]monthly!BA435</f>
        <v>0.78344888972172777</v>
      </c>
    </row>
    <row r="336" spans="1:6" x14ac:dyDescent="0.2">
      <c r="A336" s="27">
        <v>44866</v>
      </c>
      <c r="B336" s="46">
        <f>[3]monthly!$M436</f>
        <v>10715.677837881</v>
      </c>
      <c r="C336" s="46">
        <f>[3]monthly!$R436</f>
        <v>4270.10009765625</v>
      </c>
      <c r="D336" s="20">
        <f>[3]monthly!AY436</f>
        <v>3.6227107276948216E-2</v>
      </c>
      <c r="E336" s="20">
        <f>[3]monthly!AZ436</f>
        <v>0.81593470838595017</v>
      </c>
      <c r="F336" s="20">
        <f>[3]monthly!BA436</f>
        <v>0.78637575417426686</v>
      </c>
    </row>
    <row r="337" spans="1:6" x14ac:dyDescent="0.2">
      <c r="A337" s="27">
        <v>44896</v>
      </c>
      <c r="B337" s="46">
        <f>[3]monthly!$M437</f>
        <v>10554.1346908829</v>
      </c>
      <c r="C337" s="46">
        <f>[3]monthly!$R437</f>
        <v>4268</v>
      </c>
      <c r="D337" s="20">
        <f>[3]monthly!AY437</f>
        <v>3.6621887567382563E-2</v>
      </c>
      <c r="E337" s="20">
        <f>[3]monthly!AZ437</f>
        <v>0.81520146945988059</v>
      </c>
      <c r="F337" s="20">
        <f>[3]monthly!BA437</f>
        <v>0.78532400195307961</v>
      </c>
    </row>
    <row r="338" spans="1:6" x14ac:dyDescent="0.2">
      <c r="A338" s="27">
        <v>44927</v>
      </c>
      <c r="B338" s="46">
        <f>[3]monthly!$M438</f>
        <v>10819.586081612901</v>
      </c>
      <c r="C338" s="46">
        <f>[3]monthly!$R438</f>
        <v>4302.60009765625</v>
      </c>
      <c r="D338" s="20">
        <f>[3]monthly!AY438</f>
        <v>3.4354186827574427E-2</v>
      </c>
      <c r="E338" s="20">
        <f>[3]monthly!AZ438</f>
        <v>0.81557139209359553</v>
      </c>
      <c r="F338" s="20">
        <f>[3]monthly!BA438</f>
        <v>0.78755310011838719</v>
      </c>
    </row>
    <row r="339" spans="1:6" x14ac:dyDescent="0.2">
      <c r="A339" s="27">
        <v>44958</v>
      </c>
      <c r="B339" s="46">
        <f>[3]monthly!$M439</f>
        <v>10571.080858212001</v>
      </c>
      <c r="C339" s="46">
        <f>[3]monthly!$R439</f>
        <v>4298.10009765625</v>
      </c>
      <c r="D339" s="20">
        <f>[3]monthly!AY439</f>
        <v>3.4512022630834513E-2</v>
      </c>
      <c r="E339" s="20">
        <f>[3]monthly!AZ439</f>
        <v>0.8208712613784136</v>
      </c>
      <c r="F339" s="20">
        <f>[3]monthly!BA439</f>
        <v>0.79254133382872016</v>
      </c>
    </row>
    <row r="340" spans="1:6" x14ac:dyDescent="0.2">
      <c r="A340" s="27">
        <v>44986</v>
      </c>
      <c r="B340" s="46">
        <f>[3]monthly!$M440</f>
        <v>10901.511661340201</v>
      </c>
      <c r="C340" s="46">
        <f>[3]monthly!$R440</f>
        <v>4291</v>
      </c>
      <c r="D340" s="20">
        <f>[3]monthly!AY440</f>
        <v>3.0770100964393789E-2</v>
      </c>
      <c r="E340" s="20">
        <f>[3]monthly!AZ440</f>
        <v>0.81811661267931512</v>
      </c>
      <c r="F340" s="20">
        <f>[3]monthly!BA440</f>
        <v>0.79291994447015268</v>
      </c>
    </row>
    <row r="341" spans="1:6" x14ac:dyDescent="0.2">
      <c r="A341" s="27">
        <v>45017</v>
      </c>
      <c r="B341" s="46">
        <f>[3]monthly!$M441</f>
        <v>10970.158636305599</v>
      </c>
      <c r="C341" s="46">
        <f>[3]monthly!$R441</f>
        <v>4271.2001953125</v>
      </c>
      <c r="D341" s="20">
        <f>[3]monthly!AY441</f>
        <v>2.954713335984999E-2</v>
      </c>
      <c r="E341" s="20">
        <f>[3]monthly!AZ441</f>
        <v>0.81316853413422663</v>
      </c>
      <c r="F341" s="20">
        <f>[3]monthly!BA441</f>
        <v>0.78914173501212892</v>
      </c>
    </row>
    <row r="342" spans="1:6" x14ac:dyDescent="0.2">
      <c r="A342" s="27">
        <v>45047</v>
      </c>
      <c r="B342" s="46">
        <f>[3]monthly!$M442</f>
        <v>10807.054694046101</v>
      </c>
      <c r="C342" s="46">
        <f>[3]monthly!$R442</f>
        <v>4303.5</v>
      </c>
      <c r="D342" s="20">
        <f>[3]monthly!AY442</f>
        <v>3.1443531133881319E-2</v>
      </c>
      <c r="E342" s="20">
        <f>[3]monthly!AZ442</f>
        <v>0.81797876994634933</v>
      </c>
      <c r="F342" s="20">
        <f>[3]monthly!BA442</f>
        <v>0.79225862902668731</v>
      </c>
    </row>
    <row r="343" spans="1:6" x14ac:dyDescent="0.2">
      <c r="A343" s="27">
        <v>45078</v>
      </c>
      <c r="B343" s="46">
        <f>[3]monthly!$M443</f>
        <v>10770.2366160325</v>
      </c>
      <c r="C343" s="46">
        <f>[3]monthly!$R443</f>
        <v>4301</v>
      </c>
      <c r="D343" s="20">
        <f>[3]monthly!AY443</f>
        <v>3.3280774862034013E-2</v>
      </c>
      <c r="E343" s="20">
        <f>[3]monthly!AZ443</f>
        <v>0.81634717050521755</v>
      </c>
      <c r="F343" s="20">
        <f>[3]monthly!BA443</f>
        <v>0.78917850411437496</v>
      </c>
    </row>
    <row r="344" spans="1:6" x14ac:dyDescent="0.2">
      <c r="A344" s="27">
        <v>45108</v>
      </c>
      <c r="B344" s="46">
        <f>[3]monthly!$M444</f>
        <v>10795.2009840786</v>
      </c>
      <c r="C344" s="46">
        <f>[3]monthly!$R444</f>
        <v>4270</v>
      </c>
      <c r="D344" s="20">
        <f>[3]monthly!AY444</f>
        <v>3.0039903332771317E-2</v>
      </c>
      <c r="E344" s="20">
        <f>[3]monthly!AZ444</f>
        <v>0.81561275240081588</v>
      </c>
      <c r="F344" s="20">
        <f>[3]monthly!BA444</f>
        <v>0.79111182416171977</v>
      </c>
    </row>
    <row r="345" spans="1:6" x14ac:dyDescent="0.2">
      <c r="A345" s="27">
        <v>45139</v>
      </c>
      <c r="B345" s="46">
        <f>[3]monthly!$M445</f>
        <v>10848.193854827199</v>
      </c>
      <c r="C345" s="46">
        <f>[3]monthly!$R445</f>
        <v>4300.5</v>
      </c>
      <c r="D345" s="20">
        <f>[3]monthly!AY445</f>
        <v>2.8197183098591549E-2</v>
      </c>
      <c r="E345" s="20">
        <f>[3]monthly!AZ445</f>
        <v>0.81539839676596926</v>
      </c>
      <c r="F345" s="20">
        <f>[3]monthly!BA445</f>
        <v>0.79240645887406125</v>
      </c>
    </row>
    <row r="346" spans="1:6" x14ac:dyDescent="0.2">
      <c r="A346" s="27">
        <v>45170</v>
      </c>
      <c r="B346" s="46">
        <f>[3]monthly!$M446</f>
        <v>10863.480840639601</v>
      </c>
      <c r="C346" s="46">
        <f>[3]monthly!$R446</f>
        <v>4302.60009765625</v>
      </c>
      <c r="D346" s="20">
        <f>[3]monthly!AY446</f>
        <v>2.9500606950286536E-2</v>
      </c>
      <c r="E346" s="20">
        <f>[3]monthly!AZ446</f>
        <v>0.8125845892689193</v>
      </c>
      <c r="F346" s="20">
        <f>[3]monthly!BA446</f>
        <v>0.7886128506870369</v>
      </c>
    </row>
    <row r="347" spans="1:6" x14ac:dyDescent="0.2">
      <c r="A347" s="27">
        <v>45200</v>
      </c>
      <c r="B347" s="46">
        <f>[3]monthly!$M447</f>
        <v>11045.8958563669</v>
      </c>
      <c r="C347" s="46">
        <f>[3]monthly!$R447</f>
        <v>4157.7001953125</v>
      </c>
      <c r="D347" s="20">
        <f>[3]monthly!AY447</f>
        <v>2.8826143202654815E-2</v>
      </c>
      <c r="E347" s="20">
        <f>[3]monthly!AZ447</f>
        <v>0.81154855643044621</v>
      </c>
      <c r="F347" s="20">
        <f>[3]monthly!BA447</f>
        <v>0.78815474152687437</v>
      </c>
    </row>
    <row r="348" spans="1:6" x14ac:dyDescent="0.2">
      <c r="A348" s="27">
        <v>45231</v>
      </c>
      <c r="B348" s="46">
        <f>[3]monthly!$M448</f>
        <v>11423.214603435999</v>
      </c>
      <c r="C348" s="46">
        <f>[3]monthly!$R448</f>
        <v>3975.60009765625</v>
      </c>
      <c r="D348" s="20">
        <f>[3]monthly!AY448</f>
        <v>2.7063099903447491E-2</v>
      </c>
      <c r="E348" s="20">
        <f>[3]monthly!AZ448</f>
        <v>0.80406439091220461</v>
      </c>
      <c r="F348" s="20">
        <f>[3]monthly!BA448</f>
        <v>0.78230391597214288</v>
      </c>
    </row>
    <row r="349" spans="1:6" x14ac:dyDescent="0.2">
      <c r="A349" s="27">
        <v>45261</v>
      </c>
      <c r="B349" s="46">
        <f>[3]monthly!$M449</f>
        <v>11368.791969362501</v>
      </c>
      <c r="C349" s="46">
        <f>[3]monthly!$R449</f>
        <v>4047.30004882812</v>
      </c>
      <c r="D349" s="20">
        <f>[3]monthly!AY449</f>
        <v>2.6464011774362459E-2</v>
      </c>
      <c r="E349" s="20">
        <f>[3]monthly!AZ449</f>
        <v>0.80357995769554436</v>
      </c>
      <c r="F349" s="20">
        <f>[3]monthly!BA449</f>
        <v>0.78231400823344788</v>
      </c>
    </row>
    <row r="350" spans="1:6" x14ac:dyDescent="0.2">
      <c r="A350" s="27">
        <v>45292</v>
      </c>
      <c r="B350" s="46">
        <f>[3]monthly!$M450</f>
        <v>11273.8755619846</v>
      </c>
      <c r="C350" s="46">
        <f>[3]monthly!$R450</f>
        <v>4112.10009765625</v>
      </c>
      <c r="D350" s="20">
        <f>[3]monthly!AY450</f>
        <v>3.0211394980782274E-2</v>
      </c>
      <c r="E350" s="20">
        <f>[3]monthly!AZ450</f>
        <v>0.80359738372093026</v>
      </c>
      <c r="F350" s="20">
        <f>[3]monthly!BA450</f>
        <v>0.779296875</v>
      </c>
    </row>
    <row r="351" spans="1:6" x14ac:dyDescent="0.2">
      <c r="A351" s="27">
        <v>45323</v>
      </c>
      <c r="B351" s="46">
        <f>[3]monthly!$M451</f>
        <v>11305.5188079778</v>
      </c>
      <c r="C351" s="46">
        <f>[3]monthly!$R451</f>
        <v>4152.89990234375</v>
      </c>
      <c r="D351" s="20">
        <f>[3]monthly!AY451</f>
        <v>2.9661971830985914E-2</v>
      </c>
      <c r="E351" s="20">
        <f>[3]monthly!AZ451</f>
        <v>0.8069098761222866</v>
      </c>
      <c r="F351" s="20">
        <f>[3]monthly!BA451</f>
        <v>0.78299806796226845</v>
      </c>
    </row>
    <row r="352" spans="1:6" x14ac:dyDescent="0.2">
      <c r="A352" s="27">
        <v>45352</v>
      </c>
      <c r="B352" s="46">
        <f>[3]monthly!$M452</f>
        <v>11211.2857050315</v>
      </c>
      <c r="C352" s="46">
        <f>[3]monthly!$R452</f>
        <v>4162.10009765625</v>
      </c>
      <c r="D352" s="20">
        <f>[3]monthly!AY452</f>
        <v>3.0054721481689348E-2</v>
      </c>
      <c r="E352" s="20">
        <f>[3]monthly!AZ452</f>
        <v>0.80865500260966261</v>
      </c>
      <c r="F352" s="20">
        <f>[3]monthly!BA452</f>
        <v>0.78435110173145439</v>
      </c>
    </row>
    <row r="353" spans="1:6" x14ac:dyDescent="0.2">
      <c r="A353" s="27">
        <v>45383</v>
      </c>
      <c r="B353" s="46">
        <f>[3]monthly!$M453</f>
        <v>11135.000978939401</v>
      </c>
      <c r="C353" s="46">
        <f>[3]monthly!$R453</f>
        <v>4191.60009765625</v>
      </c>
      <c r="D353" s="20">
        <f>[3]monthly!AY453</f>
        <v>2.9792457040839097E-2</v>
      </c>
      <c r="E353" s="20">
        <f>[3]monthly!AZ453</f>
        <v>0.81214318078840053</v>
      </c>
      <c r="F353" s="20">
        <f>[3]monthly!BA453</f>
        <v>0.78794743996375172</v>
      </c>
    </row>
    <row r="354" spans="1:6" x14ac:dyDescent="0.2">
      <c r="A354" s="27">
        <v>45413</v>
      </c>
      <c r="B354" s="46">
        <f>[3]monthly!$M454</f>
        <v>11310.1651251975</v>
      </c>
      <c r="C354" s="46">
        <f>[3]monthly!$R454</f>
        <v>4196.39990234375</v>
      </c>
      <c r="D354" s="20">
        <f>[3]monthly!AY454</f>
        <v>3.0287719298245617E-2</v>
      </c>
      <c r="E354" s="20">
        <f>[3]monthly!AZ454</f>
        <v>0.80910742675448555</v>
      </c>
      <c r="F354" s="20">
        <f>[3]monthly!BA454</f>
        <v>0.78460140813081991</v>
      </c>
    </row>
    <row r="355" spans="1:6" x14ac:dyDescent="0.2">
      <c r="A355" s="27">
        <v>45444</v>
      </c>
      <c r="B355" s="46">
        <f>[3]monthly!$M455</f>
        <v>11273.0821764955</v>
      </c>
      <c r="C355" s="46">
        <f>[3]monthly!$R455</f>
        <v>4209.60009765625</v>
      </c>
      <c r="D355" s="20">
        <f>[3]monthly!AY455</f>
        <v>2.8042609108955181E-2</v>
      </c>
      <c r="E355" s="20">
        <f>[3]monthly!AZ455</f>
        <v>0.80900680826038762</v>
      </c>
      <c r="F355" s="20">
        <f>[3]monthly!BA455</f>
        <v>0.78632014656985816</v>
      </c>
    </row>
    <row r="356" spans="1:6" x14ac:dyDescent="0.2">
      <c r="A356" s="27">
        <v>45474</v>
      </c>
      <c r="B356" s="46">
        <f>[3]monthly!$M456</f>
        <v>11176.3109683933</v>
      </c>
      <c r="C356" s="46">
        <f>[3]monthly!$R456</f>
        <v>4239.7998046875</v>
      </c>
      <c r="D356" s="20">
        <f>[3]monthly!AY456</f>
        <v>2.6469105372248055E-2</v>
      </c>
      <c r="E356" s="20">
        <f>[3]monthly!AZ456</f>
        <v>0.80700723327305601</v>
      </c>
      <c r="F356" s="20">
        <f>[3]monthly!BA456</f>
        <v>0.78564647377938512</v>
      </c>
    </row>
    <row r="357" spans="1:6" x14ac:dyDescent="0.2">
      <c r="A357" s="27">
        <v>45505</v>
      </c>
      <c r="B357" s="46">
        <f>[3]monthly!$M457</f>
        <v>11004.582719659</v>
      </c>
      <c r="C357" s="46">
        <f>[3]monthly!$R457</f>
        <v>4224.2998046875</v>
      </c>
      <c r="D357" s="20">
        <f>[3]monthly!AY457</f>
        <v>2.5618078084796957E-2</v>
      </c>
      <c r="E357" s="20">
        <f>[3]monthly!AZ457</f>
        <v>0.80562377486875603</v>
      </c>
      <c r="F357" s="20">
        <f>[3]monthly!BA457</f>
        <v>0.78498524209719933</v>
      </c>
    </row>
    <row r="358" spans="1:6" x14ac:dyDescent="0.2">
      <c r="A358" s="27">
        <v>45536</v>
      </c>
      <c r="B358" s="46">
        <f>[3]monthly!$M458</f>
        <v>10977.2755992938</v>
      </c>
      <c r="C358" s="46">
        <f>[3]monthly!$R458</f>
        <v>4295.7998046875</v>
      </c>
      <c r="D358" s="20">
        <f>[3]monthly!AY458</f>
        <v>2.5210084033613443E-2</v>
      </c>
      <c r="E358" s="20">
        <f>[3]monthly!AZ458</f>
        <v>0.80526516939816994</v>
      </c>
      <c r="F358" s="20">
        <f>[3]monthly!BA458</f>
        <v>0.78498684831725896</v>
      </c>
    </row>
    <row r="359" spans="1:6" x14ac:dyDescent="0.2">
      <c r="A359" s="27">
        <v>45566</v>
      </c>
      <c r="B359" s="46">
        <f>[3]monthly!$M459</f>
        <v>11234.5431261127</v>
      </c>
      <c r="C359" s="46">
        <f>[3]monthly!$R459</f>
        <v>4231.89990234375</v>
      </c>
      <c r="D359" s="20">
        <f>[3]monthly!AY459</f>
        <v>2.5467178438349256E-2</v>
      </c>
      <c r="E359" s="20">
        <f>[3]monthly!AZ459</f>
        <v>0.80384208274215707</v>
      </c>
      <c r="F359" s="20">
        <f>[3]monthly!BA459</f>
        <v>0.78337049298470818</v>
      </c>
    </row>
    <row r="360" spans="1:6" x14ac:dyDescent="0.2">
      <c r="A360" s="27">
        <v>45597</v>
      </c>
      <c r="B360" s="46">
        <f>[3]monthly!$M460</f>
        <v>11157.0780228163</v>
      </c>
      <c r="C360" s="46">
        <f>[3]monthly!$R460</f>
        <v>4269</v>
      </c>
      <c r="D360" s="20">
        <f>[3]monthly!AY460</f>
        <v>2.5650359833104645E-2</v>
      </c>
      <c r="E360" s="20">
        <f>[3]monthly!AZ460</f>
        <v>0.80397586564005574</v>
      </c>
      <c r="F360" s="20">
        <f>[3]monthly!BA460</f>
        <v>0.78337610878472685</v>
      </c>
    </row>
    <row r="361" spans="1:6" x14ac:dyDescent="0.2">
      <c r="A361" s="27">
        <v>45627</v>
      </c>
      <c r="B361" s="46">
        <f>[3]monthly!$M461</f>
        <v>11261.0161213188</v>
      </c>
      <c r="C361" s="46">
        <f>[3]monthly!$R461</f>
        <v>4307.60009765625</v>
      </c>
      <c r="D361" s="20">
        <f>[3]monthly!AY461</f>
        <v>2.579996649355001E-2</v>
      </c>
      <c r="E361" s="20">
        <f>[3]monthly!AZ461</f>
        <v>0.80394181556972255</v>
      </c>
      <c r="F361" s="20">
        <f>[3]monthly!BA461</f>
        <v>0.78320014366525992</v>
      </c>
    </row>
    <row r="362" spans="1:6" x14ac:dyDescent="0.2">
      <c r="A362" s="27">
        <v>45658</v>
      </c>
      <c r="B362" s="46">
        <f>[3]monthly!$M462</f>
        <v>11095.761291139101</v>
      </c>
      <c r="C362" s="46">
        <f>[3]monthly!$R462</f>
        <v>4333.89990234375</v>
      </c>
      <c r="D362" s="20">
        <f>[3]monthly!AY462</f>
        <v>2.6049744385088173E-2</v>
      </c>
      <c r="E362" s="20">
        <f>[3]monthly!AZ462</f>
        <v>0.8087804878048781</v>
      </c>
      <c r="F362" s="20">
        <f>[3]monthly!BA462</f>
        <v>0.78773519163763062</v>
      </c>
    </row>
    <row r="363" spans="1:6" x14ac:dyDescent="0.2">
      <c r="A363" s="27">
        <v>45689</v>
      </c>
      <c r="B363" s="46">
        <f>[3]monthly!$M463</f>
        <v>11145.6313101408</v>
      </c>
      <c r="C363" s="46">
        <f>[3]monthly!$R463</f>
        <v>4315.2998046875</v>
      </c>
      <c r="D363" s="20">
        <f>[3]monthly!AY463</f>
        <v>2.7409448366913496E-2</v>
      </c>
      <c r="E363" s="20">
        <f>[3]monthly!AZ463</f>
        <v>0.80514858806673761</v>
      </c>
      <c r="F363" s="20">
        <f>[3]monthly!BA463</f>
        <v>0.78307990941442907</v>
      </c>
    </row>
    <row r="364" spans="1:6" x14ac:dyDescent="0.2">
      <c r="A364" s="27">
        <v>45717</v>
      </c>
      <c r="B364" s="46">
        <f>[3]monthly!$M464</f>
        <v>11190.7503797305</v>
      </c>
      <c r="C364" s="46">
        <f>[3]monthly!$R464</f>
        <v>4314.60009765625</v>
      </c>
      <c r="D364" s="20">
        <f>[3]monthly!AY464</f>
        <v>2.854691075514874E-2</v>
      </c>
      <c r="E364" s="20">
        <f>[3]monthly!AZ464</f>
        <v>0.80873507911538811</v>
      </c>
      <c r="F364" s="20">
        <f>[3]monthly!BA464</f>
        <v>0.78564819098732297</v>
      </c>
    </row>
    <row r="365" spans="1:6" x14ac:dyDescent="0.2">
      <c r="A365" s="27">
        <v>45748</v>
      </c>
      <c r="B365" s="46">
        <f>[3]monthly!$M465</f>
        <v>11157.561982979199</v>
      </c>
      <c r="C365" s="46">
        <f>[3]monthly!$R465</f>
        <v>4350.10009765625</v>
      </c>
      <c r="D365" s="20">
        <f>[3]monthly!AY465</f>
        <v>2.8809985181807819E-2</v>
      </c>
      <c r="E365" s="20">
        <f>[3]monthly!AZ465</f>
        <v>0.81210802804841353</v>
      </c>
      <c r="F365" s="20">
        <f>[3]monthly!BA465</f>
        <v>0.78871120779431159</v>
      </c>
    </row>
    <row r="366" spans="1:6" x14ac:dyDescent="0.2">
      <c r="A366" s="27">
        <v>45778</v>
      </c>
      <c r="B366" s="46">
        <f>[3]monthly!$M466</f>
        <v>11148.697597681101</v>
      </c>
      <c r="C366" s="46">
        <f>[3]monthly!$R466</f>
        <v>4340.89990234375</v>
      </c>
      <c r="D366" s="20">
        <f>[3]monthly!AY466</f>
        <v>2.7398427074756537E-2</v>
      </c>
      <c r="E366" s="20">
        <f>[3]monthly!AZ466</f>
        <v>0.81524431173761081</v>
      </c>
      <c r="F366" s="20">
        <f>[3]monthly!BA466</f>
        <v>0.79290789991435773</v>
      </c>
    </row>
    <row r="367" spans="1:6" x14ac:dyDescent="0.2">
      <c r="A367" s="27">
        <v>45809</v>
      </c>
      <c r="B367" s="46">
        <f>[3]monthly!$M467</f>
        <v>11064.510092555</v>
      </c>
      <c r="C367" s="46">
        <f>[3]monthly!$R467</f>
        <v>4276.2001953125</v>
      </c>
      <c r="D367" s="20">
        <f>[3]monthly!AY467</f>
        <v>2.5159208384498956E-2</v>
      </c>
      <c r="E367" s="20">
        <f>[3]monthly!AZ467</f>
        <v>0.81052241742471576</v>
      </c>
      <c r="F367" s="20">
        <f>[3]monthly!BA467</f>
        <v>0.79013031502441955</v>
      </c>
    </row>
    <row r="368" spans="1:6" x14ac:dyDescent="0.2">
      <c r="A368" s="27">
        <v>45839</v>
      </c>
      <c r="B368" s="46">
        <f>[3]monthly!$M468</f>
        <v>11238.4121696621</v>
      </c>
      <c r="C368" s="46">
        <f>[3]monthly!$R468</f>
        <v>4347.5</v>
      </c>
      <c r="D368" s="20">
        <f>[3]monthly!AY468</f>
        <v>3.0581213585334659E-2</v>
      </c>
      <c r="E368" s="20">
        <f>[3]monthly!AZ468</f>
        <v>0.81249278374321676</v>
      </c>
      <c r="F368" s="20">
        <f>[3]monthly!BA468</f>
        <v>0.78766886040872874</v>
      </c>
    </row>
    <row r="369" spans="1:6" x14ac:dyDescent="0.2">
      <c r="A369" s="27">
        <v>45870</v>
      </c>
      <c r="B369" s="46">
        <f>[3]monthly!$M469</f>
        <v>11174.2410542834</v>
      </c>
      <c r="C369" s="46">
        <f>[3]monthly!$R469</f>
        <v>4358.2001953125</v>
      </c>
      <c r="D369" s="20">
        <f>[3]monthly!AY469</f>
        <v>2.8912687702776423E-2</v>
      </c>
      <c r="E369" s="20">
        <f>[3]monthly!AZ469</f>
        <v>0.80293704036701485</v>
      </c>
      <c r="F369" s="20">
        <f>[3]monthly!BA469</f>
        <v>0.77972197247389163</v>
      </c>
    </row>
    <row r="370" spans="1:6" x14ac:dyDescent="0.2">
      <c r="A370" s="27">
        <v>45901</v>
      </c>
      <c r="B370" s="46">
        <f>[3]monthly!$M470</f>
        <v>11224.056377122</v>
      </c>
      <c r="C370" s="46">
        <f>[3]monthly!$R470</f>
        <v>4376.89990234375</v>
      </c>
      <c r="D370" s="20">
        <f>[3]monthly!AY470</f>
        <v>2.9237938284934931E-2</v>
      </c>
      <c r="E370" s="20">
        <f>[3]monthly!AZ470</f>
        <v>0.81196936138796616</v>
      </c>
      <c r="F370" s="20">
        <f>[3]monthly!BA470</f>
        <v>0.78822905131044674</v>
      </c>
    </row>
    <row r="371" spans="1:6" x14ac:dyDescent="0.2">
      <c r="A371" s="27">
        <v>45931</v>
      </c>
      <c r="B371" s="46">
        <f>[3]monthly!$M471</f>
        <v>11327.521649459501</v>
      </c>
      <c r="C371" s="46">
        <f>[3]monthly!$R471</f>
        <v>4388.39990234375</v>
      </c>
      <c r="D371" s="20">
        <f>[3]monthly!AY471</f>
        <v>2.8067680932745628E-2</v>
      </c>
      <c r="E371" s="20">
        <f>[3]monthly!AZ471</f>
        <v>0.81306358381502886</v>
      </c>
      <c r="F371" s="20">
        <f>[3]monthly!BA471</f>
        <v>0.79024277456647407</v>
      </c>
    </row>
    <row r="372" spans="1:6" x14ac:dyDescent="0.2">
      <c r="A372" s="27">
        <v>45962</v>
      </c>
      <c r="B372" s="46">
        <f>[3]monthly!$M472</f>
        <v>11295.179257023001</v>
      </c>
      <c r="C372" s="46">
        <f>[3]monthly!$R472</f>
        <v>4406.39990234375</v>
      </c>
      <c r="D372" s="20">
        <f>[3]monthly!AY472</f>
        <v>2.97778655903356E-2</v>
      </c>
      <c r="E372" s="20">
        <f>[3]monthly!AZ472</f>
        <v>0.81641165084339562</v>
      </c>
      <c r="F372" s="20">
        <f>[3]monthly!BA472</f>
        <v>0.79212369803668536</v>
      </c>
    </row>
    <row r="373" spans="1:6" x14ac:dyDescent="0.2">
      <c r="A373" s="27">
        <v>45992</v>
      </c>
      <c r="B373" s="46">
        <f>[3]monthly!$M473</f>
        <v>11291.8432953666</v>
      </c>
      <c r="C373" s="46">
        <f>[3]monthly!$R473</f>
        <v>4419.7001953125</v>
      </c>
      <c r="D373" s="20">
        <f>[3]monthly!AY473</f>
        <v>2.9150716007372748E-2</v>
      </c>
      <c r="E373" s="20">
        <f>[3]monthly!AZ473</f>
        <v>0.81068965517241376</v>
      </c>
      <c r="F373" s="20">
        <f>[3]monthly!BA473</f>
        <v>0.78705747126436776</v>
      </c>
    </row>
    <row r="374" spans="1:6" x14ac:dyDescent="0.2">
      <c r="A374" s="27">
        <v>46023</v>
      </c>
      <c r="B374" s="46">
        <f>[3]monthly!$M474</f>
        <v>11259.0451294922</v>
      </c>
      <c r="C374" s="46">
        <f>[3]monthly!$R474</f>
        <v>4390.89990234375</v>
      </c>
      <c r="D374" s="20">
        <f>[3]monthly!AY474</f>
        <v>2.9261835694370127E-2</v>
      </c>
      <c r="E374" s="20">
        <f>[3]monthly!AZ474</f>
        <v>0.81520341629167037</v>
      </c>
      <c r="F374" s="20">
        <f>[3]monthly!BA474</f>
        <v>0.79134906786665438</v>
      </c>
    </row>
    <row r="375" spans="1:6" x14ac:dyDescent="0.2">
      <c r="A375" s="27">
        <v>46054</v>
      </c>
      <c r="B375" s="46">
        <f>[3]monthly!$M475</f>
        <v>0</v>
      </c>
      <c r="C375" s="46">
        <f>[3]monthly!$R475</f>
        <v>0</v>
      </c>
      <c r="D375" s="20">
        <f>[3]monthly!AY475</f>
        <v>2.3337189942715244E-2</v>
      </c>
      <c r="E375" s="20">
        <f>[3]monthly!AZ475</f>
        <v>0.81210468420570159</v>
      </c>
      <c r="F375" s="20">
        <f>[3]monthly!BA475</f>
        <v>0.79315244293702436</v>
      </c>
    </row>
    <row r="376" spans="1:6" x14ac:dyDescent="0.2">
      <c r="A376" s="27">
        <v>46082</v>
      </c>
      <c r="B376" s="46">
        <f>[3]monthly!$M476</f>
        <v>0</v>
      </c>
      <c r="C376" s="46">
        <f>[3]monthly!$R476</f>
        <v>0</v>
      </c>
      <c r="D376" s="20"/>
      <c r="E376" s="20"/>
      <c r="F376" s="20"/>
    </row>
    <row r="377" spans="1:6" x14ac:dyDescent="0.2">
      <c r="A377" s="27">
        <v>46113</v>
      </c>
      <c r="B377" s="46">
        <f>[3]monthly!$M477</f>
        <v>0</v>
      </c>
      <c r="C377" s="46">
        <f>[3]monthly!$R477</f>
        <v>0</v>
      </c>
      <c r="D377" s="20"/>
      <c r="E377" s="20"/>
      <c r="F377" s="20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E068-6C07-4A04-BA6A-C05C23B7027D}">
  <dimension ref="A1:E361"/>
  <sheetViews>
    <sheetView workbookViewId="0">
      <selection activeCell="H18" sqref="H18"/>
    </sheetView>
  </sheetViews>
  <sheetFormatPr defaultRowHeight="14.25" x14ac:dyDescent="0.2"/>
  <cols>
    <col min="1" max="1" width="10.375" style="26" bestFit="1" customWidth="1"/>
  </cols>
  <sheetData>
    <row r="1" spans="1:5" x14ac:dyDescent="0.2">
      <c r="A1" s="24" t="s">
        <v>42</v>
      </c>
      <c r="B1" s="10" t="s">
        <v>46</v>
      </c>
      <c r="C1" s="11" t="s">
        <v>35</v>
      </c>
      <c r="D1" s="10" t="s">
        <v>47</v>
      </c>
      <c r="E1" s="10" t="s">
        <v>48</v>
      </c>
    </row>
    <row r="2" spans="1:5" ht="15.75" x14ac:dyDescent="0.25">
      <c r="A2" s="27">
        <v>34700</v>
      </c>
      <c r="B2" s="14">
        <f>[4]monthly!$D101</f>
        <v>165.50652173913042</v>
      </c>
      <c r="C2" s="14">
        <f>[4]monthly!$E101</f>
        <v>163.97826086956522</v>
      </c>
      <c r="D2" s="14">
        <f>[4]monthly!$F101</f>
        <v>758.01238095238091</v>
      </c>
      <c r="E2" s="14">
        <f>[4]monthly!$G101</f>
        <v>465.24999999999989</v>
      </c>
    </row>
    <row r="3" spans="1:5" ht="15.75" x14ac:dyDescent="0.25">
      <c r="A3" s="27">
        <v>34731</v>
      </c>
      <c r="B3" s="14">
        <f>[4]monthly!$D102</f>
        <v>160.88699999999997</v>
      </c>
      <c r="C3" s="14">
        <f>[4]monthly!$E102</f>
        <v>161.739</v>
      </c>
      <c r="D3" s="14">
        <f>[4]monthly!$F102</f>
        <v>784.24368421052634</v>
      </c>
      <c r="E3" s="14">
        <f>[4]monthly!$G102</f>
        <v>481.92473684210523</v>
      </c>
    </row>
    <row r="4" spans="1:5" ht="15.75" x14ac:dyDescent="0.25">
      <c r="A4" s="27">
        <v>34759</v>
      </c>
      <c r="B4" s="14">
        <f>[4]monthly!$D103</f>
        <v>160.50809523809525</v>
      </c>
      <c r="C4" s="14">
        <f>[4]monthly!$E103</f>
        <v>159.40047619047613</v>
      </c>
      <c r="D4" s="14">
        <f>[4]monthly!$F103</f>
        <v>807.16217391304349</v>
      </c>
      <c r="E4" s="14">
        <f>[4]monthly!$G103</f>
        <v>493.15304347826083</v>
      </c>
    </row>
    <row r="5" spans="1:5" ht="15.75" x14ac:dyDescent="0.25">
      <c r="A5" s="27">
        <v>34790</v>
      </c>
      <c r="B5" s="14">
        <f>[4]monthly!$D104</f>
        <v>166.3595</v>
      </c>
      <c r="C5" s="14">
        <f>[4]monthly!$E104</f>
        <v>164.72450000000001</v>
      </c>
      <c r="D5" s="14">
        <f>[4]monthly!$F104</f>
        <v>825.33842105263159</v>
      </c>
      <c r="E5" s="14">
        <f>[4]monthly!$G104</f>
        <v>507.90578947368414</v>
      </c>
    </row>
    <row r="6" spans="1:5" ht="15.75" x14ac:dyDescent="0.25">
      <c r="A6" s="27">
        <v>34820</v>
      </c>
      <c r="B6" s="14">
        <f>[4]monthly!$D105</f>
        <v>180.1638095238095</v>
      </c>
      <c r="C6" s="14">
        <f>[4]monthly!$E105</f>
        <v>176.94809523809522</v>
      </c>
      <c r="D6" s="14">
        <f>[4]monthly!$F105</f>
        <v>859.77045454545453</v>
      </c>
      <c r="E6" s="14">
        <f>[4]monthly!$G105</f>
        <v>523.81363636363631</v>
      </c>
    </row>
    <row r="7" spans="1:5" ht="15.75" x14ac:dyDescent="0.25">
      <c r="A7" s="27">
        <v>34851</v>
      </c>
      <c r="B7" s="14">
        <f>[4]monthly!$D106</f>
        <v>190.041</v>
      </c>
      <c r="C7" s="14">
        <f>[4]monthly!$E106</f>
        <v>188.32849999999999</v>
      </c>
      <c r="D7" s="14">
        <f>[4]monthly!$F106</f>
        <v>906.03545454545463</v>
      </c>
      <c r="E7" s="14">
        <f>[4]monthly!$G106</f>
        <v>539.35409090909093</v>
      </c>
    </row>
    <row r="8" spans="1:5" ht="15.75" x14ac:dyDescent="0.25">
      <c r="A8" s="27">
        <v>34881</v>
      </c>
      <c r="B8" s="14">
        <f>[4]monthly!$D107</f>
        <v>191.66227272727272</v>
      </c>
      <c r="C8" s="14">
        <f>[4]monthly!$E107</f>
        <v>189.12181818181818</v>
      </c>
      <c r="D8" s="14">
        <f>[4]monthly!$F107</f>
        <v>979.36399999999992</v>
      </c>
      <c r="E8" s="14">
        <f>[4]monthly!$G107</f>
        <v>557.36649999999997</v>
      </c>
    </row>
    <row r="9" spans="1:5" ht="15.75" x14ac:dyDescent="0.25">
      <c r="A9" s="27">
        <v>34912</v>
      </c>
      <c r="B9" s="14">
        <f>[4]monthly!$D108</f>
        <v>203.87954545454548</v>
      </c>
      <c r="C9" s="14">
        <f>[4]monthly!$E108</f>
        <v>201.32590909090914</v>
      </c>
      <c r="D9" s="14">
        <f>[4]monthly!$F108</f>
        <v>1009.5860869565221</v>
      </c>
      <c r="E9" s="14">
        <f>[4]monthly!$G108</f>
        <v>559.1099999999999</v>
      </c>
    </row>
    <row r="10" spans="1:5" ht="15.75" x14ac:dyDescent="0.25">
      <c r="A10" s="27">
        <v>34943</v>
      </c>
      <c r="B10" s="14">
        <f>[4]monthly!$D109</f>
        <v>209.76764705882348</v>
      </c>
      <c r="C10" s="14">
        <f>[4]monthly!$E109</f>
        <v>206.19411764705882</v>
      </c>
      <c r="D10" s="14">
        <f>[4]monthly!$F109</f>
        <v>1051</v>
      </c>
      <c r="E10" s="14">
        <f>[4]monthly!$G109</f>
        <v>578.76549999999997</v>
      </c>
    </row>
    <row r="11" spans="1:5" ht="15.75" x14ac:dyDescent="0.25">
      <c r="A11" s="27">
        <v>34973</v>
      </c>
      <c r="B11" s="14">
        <f>[4]monthly!$D110</f>
        <v>198.53705882352941</v>
      </c>
      <c r="C11" s="14">
        <f>[4]monthly!$E110</f>
        <v>194.45411764705878</v>
      </c>
      <c r="D11" s="14">
        <f>[4]monthly!$F110</f>
        <v>1022.1481818181818</v>
      </c>
      <c r="E11" s="14">
        <f>[4]monthly!$G110</f>
        <v>582.91818181818167</v>
      </c>
    </row>
    <row r="12" spans="1:5" ht="15.75" x14ac:dyDescent="0.25">
      <c r="A12" s="27">
        <v>35004</v>
      </c>
      <c r="B12" s="14">
        <f>[4]monthly!$D111</f>
        <v>195.40500000000003</v>
      </c>
      <c r="C12" s="14">
        <f>[4]monthly!$E111</f>
        <v>189.73863636363637</v>
      </c>
      <c r="D12" s="14">
        <f>[4]monthly!$F111</f>
        <v>1046.6366666666668</v>
      </c>
      <c r="E12" s="14">
        <f>[4]monthly!$G111</f>
        <v>595.532380952381</v>
      </c>
    </row>
    <row r="13" spans="1:5" ht="15.75" x14ac:dyDescent="0.25">
      <c r="A13" s="27">
        <v>35034</v>
      </c>
      <c r="B13" s="14">
        <f>[4]monthly!$D112</f>
        <v>210.60380952380953</v>
      </c>
      <c r="C13" s="14">
        <f>[4]monthly!$E112</f>
        <v>203.42047619047619</v>
      </c>
      <c r="D13" s="14">
        <f>[4]monthly!$F112</f>
        <v>1047.0350000000001</v>
      </c>
      <c r="E13" s="14">
        <f>[4]monthly!$G112</f>
        <v>614.57100000000014</v>
      </c>
    </row>
    <row r="14" spans="1:5" ht="15.75" x14ac:dyDescent="0.25">
      <c r="A14" s="27">
        <v>35065</v>
      </c>
      <c r="B14" s="14">
        <f>[4]monthly!$D113</f>
        <v>218.74565217391307</v>
      </c>
      <c r="C14" s="14">
        <f>[4]monthly!$E113</f>
        <v>210.57173913043479</v>
      </c>
      <c r="D14" s="14">
        <f>[4]monthly!$F113</f>
        <v>1024.9454545454544</v>
      </c>
      <c r="E14" s="14">
        <f>[4]monthly!$G113</f>
        <v>614.42000000000007</v>
      </c>
    </row>
    <row r="15" spans="1:5" ht="15.75" x14ac:dyDescent="0.25">
      <c r="A15" s="27">
        <v>35096</v>
      </c>
      <c r="B15" s="14">
        <f>[4]monthly!$D114</f>
        <v>215.5404761904762</v>
      </c>
      <c r="C15" s="14">
        <f>[4]monthly!$E114</f>
        <v>206.92809523809518</v>
      </c>
      <c r="D15" s="14">
        <f>[4]monthly!$F114</f>
        <v>1094.0165000000002</v>
      </c>
      <c r="E15" s="14">
        <f>[4]monthly!$G114</f>
        <v>649.54200000000014</v>
      </c>
    </row>
    <row r="16" spans="1:5" ht="15.75" x14ac:dyDescent="0.25">
      <c r="A16" s="27">
        <v>35125</v>
      </c>
      <c r="B16" s="14">
        <f>[4]monthly!$D115</f>
        <v>210.08199999999997</v>
      </c>
      <c r="C16" s="14">
        <f>[4]monthly!$E115</f>
        <v>200.44049999999999</v>
      </c>
      <c r="D16" s="14">
        <f>[4]monthly!$F115</f>
        <v>1092.6471428571431</v>
      </c>
      <c r="E16" s="14">
        <f>[4]monthly!$G115</f>
        <v>647.07476190476189</v>
      </c>
    </row>
    <row r="17" spans="1:5" ht="15.75" x14ac:dyDescent="0.25">
      <c r="A17" s="27">
        <v>35156</v>
      </c>
      <c r="B17" s="14">
        <f>[4]monthly!$D116</f>
        <v>205.92687500000002</v>
      </c>
      <c r="C17" s="14">
        <f>[4]monthly!$E116</f>
        <v>195.68</v>
      </c>
      <c r="D17" s="14">
        <f>[4]monthly!$F116</f>
        <v>1135.6280952380951</v>
      </c>
      <c r="E17" s="14">
        <f>[4]monthly!$G116</f>
        <v>647.17285714285708</v>
      </c>
    </row>
    <row r="18" spans="1:5" ht="15.75" x14ac:dyDescent="0.25">
      <c r="A18" s="27">
        <v>35186</v>
      </c>
      <c r="B18" s="14">
        <f>[4]monthly!$D117</f>
        <v>215.14400000000001</v>
      </c>
      <c r="C18" s="14">
        <f>[4]monthly!$E117</f>
        <v>203.9375</v>
      </c>
      <c r="D18" s="14">
        <f>[4]monthly!$F117</f>
        <v>1220.5404545454546</v>
      </c>
      <c r="E18" s="14">
        <f>[4]monthly!$G117</f>
        <v>661.23045454545468</v>
      </c>
    </row>
    <row r="19" spans="1:5" ht="15.75" x14ac:dyDescent="0.25">
      <c r="A19" s="27">
        <v>35217</v>
      </c>
      <c r="B19" s="14">
        <f>[4]monthly!$D118</f>
        <v>214.71380952380954</v>
      </c>
      <c r="C19" s="14">
        <f>[4]monthly!$E118</f>
        <v>203.20142857142855</v>
      </c>
      <c r="D19" s="14">
        <f>[4]monthly!$F118</f>
        <v>1205.0754999999997</v>
      </c>
      <c r="E19" s="14">
        <f>[4]monthly!$G118</f>
        <v>668.49899999999991</v>
      </c>
    </row>
    <row r="20" spans="1:5" ht="15.75" x14ac:dyDescent="0.25">
      <c r="A20" s="27">
        <v>35247</v>
      </c>
      <c r="B20" s="14">
        <f>[4]monthly!$D119</f>
        <v>193.38714285714283</v>
      </c>
      <c r="C20" s="14">
        <f>[4]monthly!$E119</f>
        <v>182.4433333333333</v>
      </c>
      <c r="D20" s="14">
        <f>[4]monthly!$F119</f>
        <v>1105.6127272727272</v>
      </c>
      <c r="E20" s="14">
        <f>[4]monthly!$G119</f>
        <v>644.0704545454546</v>
      </c>
    </row>
    <row r="21" spans="1:5" ht="15.75" x14ac:dyDescent="0.25">
      <c r="A21" s="27">
        <v>35278</v>
      </c>
      <c r="B21" s="14">
        <f>[4]monthly!$D120</f>
        <v>187.31047619047618</v>
      </c>
      <c r="C21" s="14">
        <f>[4]monthly!$E120</f>
        <v>176.91</v>
      </c>
      <c r="D21" s="14">
        <f>[4]monthly!$F120</f>
        <v>1134.245909090909</v>
      </c>
      <c r="E21" s="14">
        <f>[4]monthly!$G120</f>
        <v>662.68227272727268</v>
      </c>
    </row>
    <row r="22" spans="1:5" ht="15.75" x14ac:dyDescent="0.25">
      <c r="A22" s="27">
        <v>35309</v>
      </c>
      <c r="B22" s="14">
        <f>[4]monthly!$D121</f>
        <v>199.20684210526321</v>
      </c>
      <c r="C22" s="14">
        <f>[4]monthly!$E121</f>
        <v>189.71421052631581</v>
      </c>
      <c r="D22" s="14">
        <f>[4]monthly!$F121</f>
        <v>1186.4419999999998</v>
      </c>
      <c r="E22" s="14">
        <f>[4]monthly!$G121</f>
        <v>674.88550000000009</v>
      </c>
    </row>
    <row r="23" spans="1:5" ht="15.75" x14ac:dyDescent="0.25">
      <c r="A23" s="27">
        <v>35339</v>
      </c>
      <c r="B23" s="14">
        <f>[4]monthly!$D122</f>
        <v>195.83608695652177</v>
      </c>
      <c r="C23" s="14">
        <f>[4]monthly!$E122</f>
        <v>185.80521739130435</v>
      </c>
      <c r="D23" s="14">
        <f>[4]monthly!$F122</f>
        <v>1234.0421739130434</v>
      </c>
      <c r="E23" s="14">
        <f>[4]monthly!$G122</f>
        <v>701.45565217391311</v>
      </c>
    </row>
    <row r="24" spans="1:5" ht="15.75" x14ac:dyDescent="0.25">
      <c r="A24" s="27">
        <v>35370</v>
      </c>
      <c r="B24" s="14">
        <f>[4]monthly!$D123</f>
        <v>203.38550000000004</v>
      </c>
      <c r="C24" s="14">
        <f>[4]monthly!$E123</f>
        <v>193.69400000000002</v>
      </c>
      <c r="D24" s="14">
        <f>[4]monthly!$F123</f>
        <v>1259.8309999999997</v>
      </c>
      <c r="E24" s="14">
        <f>[4]monthly!$G123</f>
        <v>735.6690000000001</v>
      </c>
    </row>
    <row r="25" spans="1:5" ht="15.75" x14ac:dyDescent="0.25">
      <c r="A25" s="27">
        <v>35400</v>
      </c>
      <c r="B25" s="14">
        <f>[4]monthly!$D124</f>
        <v>215.16409090909093</v>
      </c>
      <c r="C25" s="14">
        <f>[4]monthly!$E124</f>
        <v>206.18636363636369</v>
      </c>
      <c r="D25" s="14">
        <f>[4]monthly!$F124</f>
        <v>1292.1509523809525</v>
      </c>
      <c r="E25" s="14">
        <f>[4]monthly!$G124</f>
        <v>743.24904761904781</v>
      </c>
    </row>
    <row r="26" spans="1:5" ht="15.75" x14ac:dyDescent="0.25">
      <c r="A26" s="27">
        <v>35431</v>
      </c>
      <c r="B26" s="14">
        <f>[4]monthly!$D125</f>
        <v>242.94428571428571</v>
      </c>
      <c r="C26" s="14">
        <f>[4]monthly!$E125</f>
        <v>234.48571428571427</v>
      </c>
      <c r="D26" s="14">
        <f>[4]monthly!$F125</f>
        <v>1345.4145454545453</v>
      </c>
      <c r="E26" s="14">
        <f>[4]monthly!$G125</f>
        <v>766.21681818181821</v>
      </c>
    </row>
    <row r="27" spans="1:5" ht="15.75" x14ac:dyDescent="0.25">
      <c r="A27" s="27">
        <v>35462</v>
      </c>
      <c r="B27" s="14">
        <f>[4]monthly!$D126</f>
        <v>266.54349999999999</v>
      </c>
      <c r="C27" s="14">
        <f>[4]monthly!$E126</f>
        <v>258.34800000000007</v>
      </c>
      <c r="D27" s="14">
        <f>[4]monthly!$F126</f>
        <v>1349.17</v>
      </c>
      <c r="E27" s="14">
        <f>[4]monthly!$G126</f>
        <v>798.38421052631588</v>
      </c>
    </row>
    <row r="28" spans="1:5" ht="15.75" x14ac:dyDescent="0.25">
      <c r="A28" s="27">
        <v>35490</v>
      </c>
      <c r="B28" s="14">
        <f>[4]monthly!$D127</f>
        <v>255.57761904761901</v>
      </c>
      <c r="C28" s="14">
        <f>[4]monthly!$E127</f>
        <v>247.98523809523812</v>
      </c>
      <c r="D28" s="14">
        <f>[4]monthly!$F127</f>
        <v>1282.8555000000001</v>
      </c>
      <c r="E28" s="14">
        <f>[4]monthly!$G127</f>
        <v>792.15550000000007</v>
      </c>
    </row>
    <row r="29" spans="1:5" ht="15.75" x14ac:dyDescent="0.25">
      <c r="A29" s="27">
        <v>35521</v>
      </c>
      <c r="B29" s="14">
        <f>[4]monthly!$D128</f>
        <v>262.05388888888888</v>
      </c>
      <c r="C29" s="14">
        <f>[4]monthly!$E128</f>
        <v>252.45722222222219</v>
      </c>
      <c r="D29" s="14">
        <f>[4]monthly!$F128</f>
        <v>1225.0036363636364</v>
      </c>
      <c r="E29" s="14">
        <f>[4]monthly!$G128</f>
        <v>763.92818181818188</v>
      </c>
    </row>
    <row r="30" spans="1:5" ht="15.75" x14ac:dyDescent="0.25">
      <c r="A30" s="27">
        <v>35551</v>
      </c>
      <c r="B30" s="14">
        <f>[4]monthly!$D129</f>
        <v>273.60999999999996</v>
      </c>
      <c r="C30" s="14">
        <f>[4]monthly!$E129</f>
        <v>265.21526315789481</v>
      </c>
      <c r="D30" s="14">
        <f>[4]monthly!$F129</f>
        <v>1352.5590476190478</v>
      </c>
      <c r="E30" s="14">
        <f>[4]monthly!$G129</f>
        <v>833.09142857142865</v>
      </c>
    </row>
    <row r="31" spans="1:5" ht="15.75" x14ac:dyDescent="0.25">
      <c r="A31" s="27">
        <v>35582</v>
      </c>
      <c r="B31" s="14">
        <f>[4]monthly!$D130</f>
        <v>297.04449999999997</v>
      </c>
      <c r="C31" s="14">
        <f>[4]monthly!$E130</f>
        <v>288.97050000000007</v>
      </c>
      <c r="D31" s="14">
        <f>[4]monthly!$F130</f>
        <v>1422.4528571428573</v>
      </c>
      <c r="E31" s="14">
        <f>[4]monthly!$G130</f>
        <v>876.28619047619043</v>
      </c>
    </row>
    <row r="32" spans="1:5" ht="15.75" x14ac:dyDescent="0.25">
      <c r="A32" s="27">
        <v>35612</v>
      </c>
      <c r="B32" s="14">
        <f>[4]monthly!$D131</f>
        <v>306.31304347826085</v>
      </c>
      <c r="C32" s="14">
        <f>[4]monthly!$E131</f>
        <v>299.47086956521741</v>
      </c>
      <c r="D32" s="14">
        <f>[4]monthly!$F131</f>
        <v>1531.1413636363636</v>
      </c>
      <c r="E32" s="14">
        <f>[4]monthly!$G131</f>
        <v>925.29454545454564</v>
      </c>
    </row>
    <row r="33" spans="1:5" ht="15.75" x14ac:dyDescent="0.25">
      <c r="A33" s="27">
        <v>35643</v>
      </c>
      <c r="B33" s="14">
        <f>[4]monthly!$D132</f>
        <v>305.55900000000008</v>
      </c>
      <c r="C33" s="14">
        <f>[4]monthly!$E132</f>
        <v>298.33600000000001</v>
      </c>
      <c r="D33" s="14">
        <f>[4]monthly!$F132</f>
        <v>1596.7419047619048</v>
      </c>
      <c r="E33" s="14">
        <f>[4]monthly!$G132</f>
        <v>927.73571428571427</v>
      </c>
    </row>
    <row r="34" spans="1:5" ht="15.75" x14ac:dyDescent="0.25">
      <c r="A34" s="27">
        <v>35674</v>
      </c>
      <c r="B34" s="14">
        <f>[4]monthly!$D133</f>
        <v>294.58700000000005</v>
      </c>
      <c r="C34" s="14">
        <f>[4]monthly!$E133</f>
        <v>286.61199999999997</v>
      </c>
      <c r="D34" s="14">
        <f>[4]monthly!$F133</f>
        <v>1660.1490476190479</v>
      </c>
      <c r="E34" s="14">
        <f>[4]monthly!$G133</f>
        <v>937.02428571428584</v>
      </c>
    </row>
    <row r="35" spans="1:5" ht="15.75" x14ac:dyDescent="0.25">
      <c r="A35" s="27">
        <v>35704</v>
      </c>
      <c r="B35" s="14">
        <f>[4]monthly!$D134</f>
        <v>307.26624999999996</v>
      </c>
      <c r="C35" s="14">
        <f>[4]monthly!$E134</f>
        <v>298.86374999999998</v>
      </c>
      <c r="D35" s="14">
        <f>[4]monthly!$F134</f>
        <v>1682.173043478261</v>
      </c>
      <c r="E35" s="14">
        <f>[4]monthly!$G134</f>
        <v>951.15956521739122</v>
      </c>
    </row>
    <row r="36" spans="1:5" ht="15.75" x14ac:dyDescent="0.25">
      <c r="A36" s="27">
        <v>35735</v>
      </c>
      <c r="B36" s="14">
        <f>[4]monthly!$D135</f>
        <v>290.24714285714293</v>
      </c>
      <c r="C36" s="14">
        <f>[4]monthly!$E135</f>
        <v>281.27047619047619</v>
      </c>
      <c r="D36" s="14">
        <f>[4]monthly!$F135</f>
        <v>1600.9742105263158</v>
      </c>
      <c r="E36" s="14">
        <f>[4]monthly!$G135</f>
        <v>938.92368421052652</v>
      </c>
    </row>
    <row r="37" spans="1:5" ht="15.75" x14ac:dyDescent="0.25">
      <c r="A37" s="27">
        <v>35765</v>
      </c>
      <c r="B37" s="14">
        <f>[4]monthly!$D136</f>
        <v>295.96449999999999</v>
      </c>
      <c r="C37" s="14">
        <f>[4]monthly!$E136</f>
        <v>283.75000000000006</v>
      </c>
      <c r="D37" s="14">
        <f>[4]monthly!$F136</f>
        <v>1566.9968181818183</v>
      </c>
      <c r="E37" s="14">
        <f>[4]monthly!$G136</f>
        <v>962.36545454545444</v>
      </c>
    </row>
    <row r="38" spans="1:5" ht="15.75" x14ac:dyDescent="0.25">
      <c r="A38" s="27">
        <v>35796</v>
      </c>
      <c r="B38" s="14">
        <f>[4]monthly!$D137</f>
        <v>284.03571428571428</v>
      </c>
      <c r="C38" s="14">
        <f>[4]monthly!$E137</f>
        <v>273.9561904761905</v>
      </c>
      <c r="D38" s="14">
        <f>[4]monthly!$F137</f>
        <v>1570.2345</v>
      </c>
      <c r="E38" s="14">
        <f>[4]monthly!$G137</f>
        <v>963.35900000000004</v>
      </c>
    </row>
    <row r="39" spans="1:5" ht="15.75" x14ac:dyDescent="0.25">
      <c r="A39" s="27">
        <v>35827</v>
      </c>
      <c r="B39" s="14">
        <f>[4]monthly!$D138</f>
        <v>281.88250000000005</v>
      </c>
      <c r="C39" s="14">
        <f>[4]monthly!$E138</f>
        <v>271.03450000000004</v>
      </c>
      <c r="D39" s="14">
        <f>[4]monthly!$F138</f>
        <v>1714.8721052631574</v>
      </c>
      <c r="E39" s="14">
        <f>[4]monthly!$G138</f>
        <v>1023.742105263158</v>
      </c>
    </row>
    <row r="40" spans="1:5" ht="15.75" x14ac:dyDescent="0.25">
      <c r="A40" s="27">
        <v>35855</v>
      </c>
      <c r="B40" s="14">
        <f>[4]monthly!$D139</f>
        <v>306.43590909090909</v>
      </c>
      <c r="C40" s="14">
        <f>[4]monthly!$E139</f>
        <v>294.80318181818177</v>
      </c>
      <c r="D40" s="14">
        <f>[4]monthly!$F139</f>
        <v>1781.2695454545451</v>
      </c>
      <c r="E40" s="14">
        <f>[4]monthly!$G139</f>
        <v>1076.8277272727273</v>
      </c>
    </row>
    <row r="41" spans="1:5" ht="15.75" x14ac:dyDescent="0.25">
      <c r="A41" s="27">
        <v>35886</v>
      </c>
      <c r="B41" s="14">
        <f>[4]monthly!$D140</f>
        <v>327.08473684210531</v>
      </c>
      <c r="C41" s="14">
        <f>[4]monthly!$E140</f>
        <v>311.05684210526312</v>
      </c>
      <c r="D41" s="14">
        <f>[4]monthly!$F140</f>
        <v>1852.2999999999997</v>
      </c>
      <c r="E41" s="14">
        <f>[4]monthly!$G140</f>
        <v>1112.1961904761904</v>
      </c>
    </row>
    <row r="42" spans="1:5" ht="15.75" x14ac:dyDescent="0.25">
      <c r="A42" s="27">
        <v>35916</v>
      </c>
      <c r="B42" s="14">
        <f>[4]monthly!$D141</f>
        <v>339.00100000000003</v>
      </c>
      <c r="C42" s="14">
        <f>[4]monthly!$E141</f>
        <v>323.00949999999995</v>
      </c>
      <c r="D42" s="14">
        <f>[4]monthly!$F141</f>
        <v>1836.3925000000004</v>
      </c>
      <c r="E42" s="14">
        <f>[4]monthly!$G141</f>
        <v>1108.4169999999999</v>
      </c>
    </row>
    <row r="43" spans="1:5" ht="15.75" x14ac:dyDescent="0.25">
      <c r="A43" s="27">
        <v>35947</v>
      </c>
      <c r="B43" s="14">
        <f>[4]monthly!$D142</f>
        <v>340.04772727272734</v>
      </c>
      <c r="C43" s="14">
        <f>[4]monthly!$E142</f>
        <v>325.01272727272732</v>
      </c>
      <c r="D43" s="14">
        <f>[4]monthly!$F142</f>
        <v>1795.7445454545452</v>
      </c>
      <c r="E43" s="14">
        <f>[4]monthly!$G142</f>
        <v>1108.3895454545457</v>
      </c>
    </row>
    <row r="44" spans="1:5" ht="15.75" x14ac:dyDescent="0.25">
      <c r="A44" s="27">
        <v>35977</v>
      </c>
      <c r="B44" s="14">
        <f>[4]monthly!$D143</f>
        <v>330.41863636363638</v>
      </c>
      <c r="C44" s="14">
        <f>[4]monthly!$E143</f>
        <v>316.77454545454543</v>
      </c>
      <c r="D44" s="14">
        <f>[4]monthly!$F143</f>
        <v>1941.5768181818182</v>
      </c>
      <c r="E44" s="14">
        <f>[4]monthly!$G143</f>
        <v>1156.5772727272727</v>
      </c>
    </row>
    <row r="45" spans="1:5" ht="15.75" x14ac:dyDescent="0.25">
      <c r="A45" s="27">
        <v>36008</v>
      </c>
      <c r="B45" s="14">
        <f>[4]monthly!$D144</f>
        <v>323.73095238095237</v>
      </c>
      <c r="C45" s="14">
        <f>[4]monthly!$E144</f>
        <v>312.29714285714283</v>
      </c>
      <c r="D45" s="14">
        <f>[4]monthly!$F144</f>
        <v>1784.7504761904763</v>
      </c>
      <c r="E45" s="14">
        <f>[4]monthly!$G144</f>
        <v>1074.620476190476</v>
      </c>
    </row>
    <row r="46" spans="1:5" ht="15.75" x14ac:dyDescent="0.25">
      <c r="A46" s="27">
        <v>36039</v>
      </c>
      <c r="B46" s="14">
        <f>[4]monthly!$D145</f>
        <v>294.78294117647062</v>
      </c>
      <c r="C46" s="14">
        <f>[4]monthly!$E145</f>
        <v>288.8135294117647</v>
      </c>
      <c r="D46" s="14">
        <f>[4]monthly!$F145</f>
        <v>1663.4271428571428</v>
      </c>
      <c r="E46" s="14">
        <f>[4]monthly!$G145</f>
        <v>1020.64</v>
      </c>
    </row>
    <row r="47" spans="1:5" ht="15.75" x14ac:dyDescent="0.25">
      <c r="A47" s="27">
        <v>36069</v>
      </c>
      <c r="B47" s="14">
        <f>[4]monthly!$D146</f>
        <v>273.14352941176475</v>
      </c>
      <c r="C47" s="14">
        <f>[4]monthly!$E146</f>
        <v>268.81764705882358</v>
      </c>
      <c r="D47" s="14">
        <f>[4]monthly!$F146</f>
        <v>1615.6945454545455</v>
      </c>
      <c r="E47" s="14">
        <f>[4]monthly!$G146</f>
        <v>1032.4699999999998</v>
      </c>
    </row>
    <row r="48" spans="1:5" ht="15.75" x14ac:dyDescent="0.25">
      <c r="A48" s="27">
        <v>36100</v>
      </c>
      <c r="B48" s="14">
        <f>[4]monthly!$D147</f>
        <v>290.30636363636364</v>
      </c>
      <c r="C48" s="14">
        <f>[4]monthly!$E147</f>
        <v>283.59863636363639</v>
      </c>
      <c r="D48" s="14">
        <f>[4]monthly!$F147</f>
        <v>1888.7210000000002</v>
      </c>
      <c r="E48" s="14">
        <f>[4]monthly!$G147</f>
        <v>1144.4335000000001</v>
      </c>
    </row>
    <row r="49" spans="1:5" ht="15.75" x14ac:dyDescent="0.25">
      <c r="A49" s="27">
        <v>36130</v>
      </c>
      <c r="B49" s="14">
        <f>[4]monthly!$D148</f>
        <v>305.27782608695651</v>
      </c>
      <c r="C49" s="14">
        <f>[4]monthly!$E148</f>
        <v>296.56130434782614</v>
      </c>
      <c r="D49" s="14">
        <f>[4]monthly!$F148</f>
        <v>2071.0331818181821</v>
      </c>
      <c r="E49" s="14">
        <f>[4]monthly!$G148</f>
        <v>1190.0509090909093</v>
      </c>
    </row>
    <row r="50" spans="1:5" ht="15.75" x14ac:dyDescent="0.25">
      <c r="A50" s="27">
        <v>36161</v>
      </c>
      <c r="B50" s="14">
        <f>[4]monthly!$D149</f>
        <v>310.37142857142851</v>
      </c>
      <c r="C50" s="14">
        <f>[4]monthly!$E149</f>
        <v>302.34380952380951</v>
      </c>
      <c r="D50" s="14">
        <f>[4]monthly!$F149</f>
        <v>2357.7999999999997</v>
      </c>
      <c r="E50" s="14">
        <f>[4]monthly!$G149</f>
        <v>1248.7747368421051</v>
      </c>
    </row>
    <row r="51" spans="1:5" ht="15.75" x14ac:dyDescent="0.25">
      <c r="A51" s="27">
        <v>36192</v>
      </c>
      <c r="B51" s="14">
        <f>[4]monthly!$D150</f>
        <v>306.29099999999994</v>
      </c>
      <c r="C51" s="14">
        <f>[4]monthly!$E150</f>
        <v>298.06599999999997</v>
      </c>
      <c r="D51" s="14">
        <f>[4]monthly!$F150</f>
        <v>2356.9884210526311</v>
      </c>
      <c r="E51" s="14">
        <f>[4]monthly!$G150</f>
        <v>1246.5821052631577</v>
      </c>
    </row>
    <row r="52" spans="1:5" ht="15.75" x14ac:dyDescent="0.25">
      <c r="A52" s="27">
        <v>36220</v>
      </c>
      <c r="B52" s="14">
        <f>[4]monthly!$D151</f>
        <v>348.51904761904763</v>
      </c>
      <c r="C52" s="14">
        <f>[4]monthly!$E151</f>
        <v>335.72523809523807</v>
      </c>
      <c r="D52" s="14">
        <f>[4]monthly!$F151</f>
        <v>2391.14</v>
      </c>
      <c r="E52" s="14">
        <f>[4]monthly!$G151</f>
        <v>1281.6639130434783</v>
      </c>
    </row>
    <row r="53" spans="1:5" ht="15.75" x14ac:dyDescent="0.25">
      <c r="A53" s="27">
        <v>36251</v>
      </c>
      <c r="B53" s="14">
        <f>[4]monthly!$D152</f>
        <v>381.255</v>
      </c>
      <c r="C53" s="14">
        <f>[4]monthly!$E152</f>
        <v>368.676875</v>
      </c>
      <c r="D53" s="14">
        <f>[4]monthly!$F152</f>
        <v>2537.8871428571433</v>
      </c>
      <c r="E53" s="14">
        <f>[4]monthly!$G152</f>
        <v>1334.7566666666667</v>
      </c>
    </row>
    <row r="54" spans="1:5" ht="15.75" x14ac:dyDescent="0.25">
      <c r="A54" s="27">
        <v>36281</v>
      </c>
      <c r="B54" s="14">
        <f>[4]monthly!$D153</f>
        <v>404.77249999999998</v>
      </c>
      <c r="C54" s="14">
        <f>[4]monthly!$E153</f>
        <v>392.89150000000006</v>
      </c>
      <c r="D54" s="14">
        <f>[4]monthly!$F153</f>
        <v>2512.5950000000003</v>
      </c>
      <c r="E54" s="14">
        <f>[4]monthly!$G153</f>
        <v>1332.0740000000001</v>
      </c>
    </row>
    <row r="55" spans="1:5" ht="15.75" x14ac:dyDescent="0.25">
      <c r="A55" s="27">
        <v>36312</v>
      </c>
      <c r="B55" s="14">
        <f>[4]monthly!$D154</f>
        <v>408.46576923076924</v>
      </c>
      <c r="C55" s="14">
        <f>[4]monthly!$E154</f>
        <v>402.3138461538461</v>
      </c>
      <c r="D55" s="14">
        <f>[4]monthly!$F154</f>
        <v>2520.9586363636372</v>
      </c>
      <c r="E55" s="14">
        <f>[4]monthly!$G154</f>
        <v>1322.5527272727272</v>
      </c>
    </row>
    <row r="56" spans="1:5" ht="15.75" x14ac:dyDescent="0.25">
      <c r="A56" s="27">
        <v>36342</v>
      </c>
      <c r="B56" s="14">
        <f>[4]monthly!$D155</f>
        <v>417.31500000000005</v>
      </c>
      <c r="C56" s="14">
        <f>[4]monthly!$E155</f>
        <v>423.25949999999995</v>
      </c>
      <c r="D56" s="14">
        <f>[4]monthly!$F155</f>
        <v>2741.2638095238099</v>
      </c>
      <c r="E56" s="14">
        <f>[4]monthly!$G155</f>
        <v>1380.99</v>
      </c>
    </row>
    <row r="57" spans="1:5" ht="15.75" x14ac:dyDescent="0.25">
      <c r="A57" s="27">
        <v>36373</v>
      </c>
      <c r="B57" s="14">
        <f>[4]monthly!$D156</f>
        <v>381.05739130434779</v>
      </c>
      <c r="C57" s="14">
        <f>[4]monthly!$E156</f>
        <v>389.12478260869568</v>
      </c>
      <c r="D57" s="14">
        <f>[4]monthly!$F156</f>
        <v>2642.4495454545458</v>
      </c>
      <c r="E57" s="14">
        <f>[4]monthly!$G156</f>
        <v>1327.4886363636365</v>
      </c>
    </row>
    <row r="58" spans="1:5" ht="15.75" x14ac:dyDescent="0.25">
      <c r="A58" s="27">
        <v>36404</v>
      </c>
      <c r="B58" s="14">
        <f>[4]monthly!$D157</f>
        <v>390.4489473684211</v>
      </c>
      <c r="C58" s="14">
        <f>[4]monthly!$E157</f>
        <v>398.46052631578954</v>
      </c>
      <c r="D58" s="14">
        <f>[4]monthly!$F157</f>
        <v>2807.9466666666667</v>
      </c>
      <c r="E58" s="14">
        <f>[4]monthly!$G157</f>
        <v>1318.1719047619047</v>
      </c>
    </row>
    <row r="59" spans="1:5" ht="15.75" x14ac:dyDescent="0.25">
      <c r="A59" s="27">
        <v>36434</v>
      </c>
      <c r="B59" s="14">
        <f>[4]monthly!$D158</f>
        <v>395.52714285714291</v>
      </c>
      <c r="C59" s="14">
        <f>[4]monthly!$E158</f>
        <v>401.2114285714286</v>
      </c>
      <c r="D59" s="14">
        <f>[4]monthly!$F158</f>
        <v>2815.2766666666662</v>
      </c>
      <c r="E59" s="14">
        <f>[4]monthly!$G158</f>
        <v>1300.01</v>
      </c>
    </row>
    <row r="60" spans="1:5" ht="15.75" x14ac:dyDescent="0.25">
      <c r="A60" s="27">
        <v>36465</v>
      </c>
      <c r="B60" s="14">
        <f>[4]monthly!$D159</f>
        <v>426.86727272727273</v>
      </c>
      <c r="C60" s="14">
        <f>[4]monthly!$E159</f>
        <v>432.94227272727272</v>
      </c>
      <c r="D60" s="14">
        <f>[4]monthly!$F159</f>
        <v>3230.5485714285714</v>
      </c>
      <c r="E60" s="14">
        <f>[4]monthly!$G159</f>
        <v>1391.0028571428568</v>
      </c>
    </row>
    <row r="61" spans="1:5" ht="15.75" x14ac:dyDescent="0.25">
      <c r="A61" s="27">
        <v>36495</v>
      </c>
      <c r="B61" s="14">
        <f>[4]monthly!$D160</f>
        <v>458.29863636363638</v>
      </c>
      <c r="C61" s="14">
        <f>[4]monthly!$E160</f>
        <v>461.40227272727265</v>
      </c>
      <c r="D61" s="14">
        <f>[4]monthly!$F160</f>
        <v>3739.8786363636364</v>
      </c>
      <c r="E61" s="14">
        <f>[4]monthly!$G160</f>
        <v>1428.6840909090909</v>
      </c>
    </row>
    <row r="62" spans="1:5" ht="15.75" x14ac:dyDescent="0.25">
      <c r="A62" s="27">
        <v>36526</v>
      </c>
      <c r="B62" s="14">
        <f>[4]monthly!$D161</f>
        <v>497.5057142857143</v>
      </c>
      <c r="C62" s="14">
        <f>[4]monthly!$E161</f>
        <v>504.43809523809529</v>
      </c>
      <c r="D62" s="14">
        <f>[4]monthly!$F161</f>
        <v>4013.4940000000011</v>
      </c>
      <c r="E62" s="14">
        <f>[4]monthly!$G161</f>
        <v>1425.5854999999999</v>
      </c>
    </row>
    <row r="63" spans="1:5" ht="15.75" x14ac:dyDescent="0.25">
      <c r="A63" s="27">
        <v>36557</v>
      </c>
      <c r="B63" s="14">
        <f>[4]monthly!$D162</f>
        <v>518.96952380952371</v>
      </c>
      <c r="C63" s="14">
        <f>[4]monthly!$E162</f>
        <v>540.60666666666668</v>
      </c>
      <c r="D63" s="14">
        <f>[4]monthly!$F162</f>
        <v>4410.8710000000001</v>
      </c>
      <c r="E63" s="14">
        <f>[4]monthly!$G162</f>
        <v>1388.8744999999999</v>
      </c>
    </row>
    <row r="64" spans="1:5" ht="15.75" x14ac:dyDescent="0.25">
      <c r="A64" s="27">
        <v>36586</v>
      </c>
      <c r="B64" s="14">
        <f>[4]monthly!$D163</f>
        <v>546.89666666666653</v>
      </c>
      <c r="C64" s="14">
        <f>[4]monthly!$E163</f>
        <v>554.96190476190475</v>
      </c>
      <c r="D64" s="14">
        <f>[4]monthly!$F163</f>
        <v>4802.9882608695652</v>
      </c>
      <c r="E64" s="14">
        <f>[4]monthly!$G163</f>
        <v>1442.2126086956521</v>
      </c>
    </row>
    <row r="65" spans="1:5" ht="15.75" x14ac:dyDescent="0.25">
      <c r="A65" s="27">
        <v>36617</v>
      </c>
      <c r="B65" s="14">
        <f>[4]monthly!$D164</f>
        <v>494.33294117647057</v>
      </c>
      <c r="C65" s="14">
        <f>[4]monthly!$E164</f>
        <v>492.40705882352944</v>
      </c>
      <c r="D65" s="14">
        <f>[4]monthly!$F164</f>
        <v>3863.6373684210535</v>
      </c>
      <c r="E65" s="14">
        <f>[4]monthly!$G164</f>
        <v>1461.355263157895</v>
      </c>
    </row>
    <row r="66" spans="1:5" ht="15.75" x14ac:dyDescent="0.25">
      <c r="A66" s="27">
        <v>36647</v>
      </c>
      <c r="B66" s="14">
        <f>[4]monthly!$D165</f>
        <v>512.14428571428562</v>
      </c>
      <c r="C66" s="14">
        <f>[4]monthly!$E165</f>
        <v>511.29095238095243</v>
      </c>
      <c r="D66" s="14">
        <f>[4]monthly!$F165</f>
        <v>3528.4168181818181</v>
      </c>
      <c r="E66" s="14">
        <f>[4]monthly!$G165</f>
        <v>1418.4795454545454</v>
      </c>
    </row>
    <row r="67" spans="1:5" ht="15.75" x14ac:dyDescent="0.25">
      <c r="A67" s="27">
        <v>36678</v>
      </c>
      <c r="B67" s="14">
        <f>[4]monthly!$D166</f>
        <v>545.61299999999994</v>
      </c>
      <c r="C67" s="14">
        <f>[4]monthly!$E166</f>
        <v>543.55950000000007</v>
      </c>
      <c r="D67" s="14">
        <f>[4]monthly!$F166</f>
        <v>3865.4768181818176</v>
      </c>
      <c r="E67" s="14">
        <f>[4]monthly!$G166</f>
        <v>1461.9590909090909</v>
      </c>
    </row>
    <row r="68" spans="1:5" ht="15.75" x14ac:dyDescent="0.25">
      <c r="A68" s="27">
        <v>36708</v>
      </c>
      <c r="B68" s="14">
        <f>[4]monthly!$D167</f>
        <v>548.39227272727283</v>
      </c>
      <c r="C68" s="14">
        <f>[4]monthly!$E167</f>
        <v>546.22409090909082</v>
      </c>
      <c r="D68" s="14">
        <f>[4]monthly!$F167</f>
        <v>4017.684999999999</v>
      </c>
      <c r="E68" s="14">
        <f>[4]monthly!$G167</f>
        <v>1473.0024999999998</v>
      </c>
    </row>
    <row r="69" spans="1:5" ht="15.75" x14ac:dyDescent="0.25">
      <c r="A69" s="27">
        <v>36739</v>
      </c>
      <c r="B69" s="14">
        <f>[4]monthly!$D168</f>
        <v>551.09727272727287</v>
      </c>
      <c r="C69" s="14">
        <f>[4]monthly!$E168</f>
        <v>550.28409090909088</v>
      </c>
      <c r="D69" s="14">
        <f>[4]monthly!$F168</f>
        <v>3909.5969565217397</v>
      </c>
      <c r="E69" s="14">
        <f>[4]monthly!$G168</f>
        <v>1485.4582608695653</v>
      </c>
    </row>
    <row r="70" spans="1:5" ht="15.75" x14ac:dyDescent="0.25">
      <c r="A70" s="27">
        <v>36770</v>
      </c>
      <c r="B70" s="14">
        <f>[4]monthly!$D169</f>
        <v>562.83400000000006</v>
      </c>
      <c r="C70" s="14">
        <f>[4]monthly!$E169</f>
        <v>561.4380000000001</v>
      </c>
      <c r="D70" s="14">
        <f>[4]monthly!$F169</f>
        <v>3875.8220000000015</v>
      </c>
      <c r="E70" s="14">
        <f>[4]monthly!$G169</f>
        <v>1468.0539999999999</v>
      </c>
    </row>
    <row r="71" spans="1:5" ht="15.75" x14ac:dyDescent="0.25">
      <c r="A71" s="27">
        <v>36800</v>
      </c>
      <c r="B71" s="14">
        <f>[4]monthly!$D170</f>
        <v>497.41099999999994</v>
      </c>
      <c r="C71" s="14">
        <f>[4]monthly!$E170</f>
        <v>492.63899999999995</v>
      </c>
      <c r="D71" s="14">
        <f>[4]monthly!$F170</f>
        <v>3333.8245454545454</v>
      </c>
      <c r="E71" s="14">
        <f>[4]monthly!$G170</f>
        <v>1390.1440909090909</v>
      </c>
    </row>
    <row r="72" spans="1:5" ht="15.75" x14ac:dyDescent="0.25">
      <c r="A72" s="27">
        <v>36831</v>
      </c>
      <c r="B72" s="14">
        <f>[4]monthly!$D171</f>
        <v>490.76272727272732</v>
      </c>
      <c r="C72" s="14">
        <f>[4]monthly!$E171</f>
        <v>483.41818181818184</v>
      </c>
      <c r="D72" s="14">
        <f>[4]monthly!$F171</f>
        <v>3055.4152380952378</v>
      </c>
      <c r="E72" s="14">
        <f>[4]monthly!$G171</f>
        <v>1375.037619047619</v>
      </c>
    </row>
    <row r="73" spans="1:5" ht="15.75" x14ac:dyDescent="0.25">
      <c r="A73" s="27">
        <v>36861</v>
      </c>
      <c r="B73" s="14">
        <f>[4]monthly!$D172</f>
        <v>508.35476190476192</v>
      </c>
      <c r="C73" s="14">
        <f>[4]monthly!$E172</f>
        <v>491.85047619047623</v>
      </c>
      <c r="D73" s="14">
        <f>[4]monthly!$F172</f>
        <v>2657.8074999999999</v>
      </c>
      <c r="E73" s="14">
        <f>[4]monthly!$G172</f>
        <v>1330.9295000000002</v>
      </c>
    </row>
    <row r="74" spans="1:5" ht="15.75" x14ac:dyDescent="0.25">
      <c r="A74" s="27">
        <v>36892</v>
      </c>
      <c r="B74" s="14">
        <f>[4]monthly!$D173</f>
        <v>473.86739130434785</v>
      </c>
      <c r="C74" s="14">
        <f>[4]monthly!$E173</f>
        <v>461.15999999999991</v>
      </c>
      <c r="D74" s="14">
        <f>[4]monthly!$F173</f>
        <v>2656.8642857142863</v>
      </c>
      <c r="E74" s="14">
        <f>[4]monthly!$G173</f>
        <v>1335.6390476190475</v>
      </c>
    </row>
    <row r="75" spans="1:5" ht="15.75" x14ac:dyDescent="0.25">
      <c r="A75" s="27">
        <v>36923</v>
      </c>
      <c r="B75" s="14">
        <f>[4]monthly!$D174</f>
        <v>463.41578947368419</v>
      </c>
      <c r="C75" s="14">
        <f>[4]monthly!$E174</f>
        <v>450.81789473684216</v>
      </c>
      <c r="D75" s="14">
        <f>[4]monthly!$F174</f>
        <v>2449.5694736842111</v>
      </c>
      <c r="E75" s="14">
        <f>[4]monthly!$G174</f>
        <v>1305.7515789473684</v>
      </c>
    </row>
    <row r="76" spans="1:5" ht="15.75" x14ac:dyDescent="0.25">
      <c r="A76" s="27">
        <v>36951</v>
      </c>
      <c r="B76" s="14">
        <f>[4]monthly!$D175</f>
        <v>421.94904761904763</v>
      </c>
      <c r="C76" s="14">
        <f>[4]monthly!$E175</f>
        <v>411.31523809523804</v>
      </c>
      <c r="D76" s="14">
        <f>[4]monthly!$F175</f>
        <v>1986.661818181818</v>
      </c>
      <c r="E76" s="14">
        <f>[4]monthly!$G175</f>
        <v>1185.8500000000001</v>
      </c>
    </row>
    <row r="77" spans="1:5" ht="15.75" x14ac:dyDescent="0.25">
      <c r="A77" s="27">
        <v>36982</v>
      </c>
      <c r="B77" s="14">
        <f>[4]monthly!$D176</f>
        <v>401.84210526315792</v>
      </c>
      <c r="C77" s="14">
        <f>[4]monthly!$E176</f>
        <v>394.03894736842102</v>
      </c>
      <c r="D77" s="14">
        <f>[4]monthly!$F176</f>
        <v>1933.9279999999999</v>
      </c>
      <c r="E77" s="14">
        <f>[4]monthly!$G176</f>
        <v>1189.837</v>
      </c>
    </row>
    <row r="78" spans="1:5" ht="15.75" x14ac:dyDescent="0.25">
      <c r="A78" s="27">
        <v>37012</v>
      </c>
      <c r="B78" s="14">
        <f>[4]monthly!$D177</f>
        <v>429.18142857142857</v>
      </c>
      <c r="C78" s="14">
        <f>[4]monthly!$E177</f>
        <v>419.23523809523806</v>
      </c>
      <c r="D78" s="14">
        <f>[4]monthly!$F177</f>
        <v>2181.1286363636364</v>
      </c>
      <c r="E78" s="14">
        <f>[4]monthly!$G177</f>
        <v>1270.3686363636364</v>
      </c>
    </row>
    <row r="79" spans="1:5" ht="15.75" x14ac:dyDescent="0.25">
      <c r="A79" s="27">
        <v>37043</v>
      </c>
      <c r="B79" s="14">
        <f>[4]monthly!$D178</f>
        <v>416.2045</v>
      </c>
      <c r="C79" s="14">
        <f>[4]monthly!$E178</f>
        <v>407.5304999999999</v>
      </c>
      <c r="D79" s="14">
        <f>[4]monthly!$F178</f>
        <v>2112.0528571428572</v>
      </c>
      <c r="E79" s="14">
        <f>[4]monthly!$G178</f>
        <v>1238.7104761904761</v>
      </c>
    </row>
    <row r="80" spans="1:5" ht="15.75" x14ac:dyDescent="0.25">
      <c r="A80" s="27">
        <v>37073</v>
      </c>
      <c r="B80" s="14">
        <f>[4]monthly!$D179</f>
        <v>437.69545454545454</v>
      </c>
      <c r="C80" s="14">
        <f>[4]monthly!$E179</f>
        <v>423.81136363636364</v>
      </c>
      <c r="D80" s="14">
        <f>[4]monthly!$F179</f>
        <v>2033.9785714285713</v>
      </c>
      <c r="E80" s="14">
        <f>[4]monthly!$G179</f>
        <v>1204.449523809524</v>
      </c>
    </row>
    <row r="81" spans="1:5" ht="15.75" x14ac:dyDescent="0.25">
      <c r="A81" s="27">
        <v>37104</v>
      </c>
      <c r="B81" s="14">
        <f>[4]monthly!$D180</f>
        <v>441.86454545454541</v>
      </c>
      <c r="C81" s="14">
        <f>[4]monthly!$E180</f>
        <v>429.21090909090907</v>
      </c>
      <c r="D81" s="14">
        <f>[4]monthly!$F180</f>
        <v>1929.7126086956521</v>
      </c>
      <c r="E81" s="14">
        <f>[4]monthly!$G180</f>
        <v>1178.5039130434782</v>
      </c>
    </row>
    <row r="82" spans="1:5" ht="15.75" x14ac:dyDescent="0.25">
      <c r="A82" s="27">
        <v>37135</v>
      </c>
      <c r="B82" s="14">
        <f>[4]monthly!$D181</f>
        <v>393.97624999999999</v>
      </c>
      <c r="C82" s="14">
        <f>[4]monthly!$E181</f>
        <v>382.71875</v>
      </c>
      <c r="D82" s="14">
        <f>[4]monthly!$F181</f>
        <v>1573.31</v>
      </c>
      <c r="E82" s="14">
        <f>[4]monthly!$G181</f>
        <v>1044.644</v>
      </c>
    </row>
    <row r="83" spans="1:5" ht="15.75" x14ac:dyDescent="0.25">
      <c r="A83" s="27">
        <v>37165</v>
      </c>
      <c r="B83" s="14">
        <f>[4]monthly!$D182</f>
        <v>385.98210526315796</v>
      </c>
      <c r="C83" s="14">
        <f>[4]monthly!$E182</f>
        <v>372.65052631578953</v>
      </c>
      <c r="D83" s="14">
        <f>[4]monthly!$F182</f>
        <v>1656.4282608695655</v>
      </c>
      <c r="E83" s="14">
        <f>[4]monthly!$G182</f>
        <v>1076.5904347826088</v>
      </c>
    </row>
    <row r="84" spans="1:5" ht="15.75" x14ac:dyDescent="0.25">
      <c r="A84" s="27">
        <v>37196</v>
      </c>
      <c r="B84" s="14">
        <f>[4]monthly!$D183</f>
        <v>402.95523809523809</v>
      </c>
      <c r="C84" s="14">
        <f>[4]monthly!$E183</f>
        <v>384.95714285714291</v>
      </c>
      <c r="D84" s="14">
        <f>[4]monthly!$F183</f>
        <v>1870.0623809523811</v>
      </c>
      <c r="E84" s="14">
        <f>[4]monthly!$G183</f>
        <v>1129.6833333333334</v>
      </c>
    </row>
    <row r="85" spans="1:5" ht="15.75" x14ac:dyDescent="0.25">
      <c r="A85" s="27">
        <v>37226</v>
      </c>
      <c r="B85" s="14">
        <f>[4]monthly!$D184</f>
        <v>423.67136363636359</v>
      </c>
      <c r="C85" s="14">
        <f>[4]monthly!$E184</f>
        <v>408.63318181818181</v>
      </c>
      <c r="D85" s="14">
        <f>[4]monthly!$F184</f>
        <v>1977.7105000000004</v>
      </c>
      <c r="E85" s="14">
        <f>[4]monthly!$G184</f>
        <v>1144.9299999999998</v>
      </c>
    </row>
    <row r="86" spans="1:5" ht="15.75" x14ac:dyDescent="0.25">
      <c r="A86" s="27">
        <v>37257</v>
      </c>
      <c r="B86" s="14">
        <f>[4]monthly!$D185</f>
        <v>463.22347826086946</v>
      </c>
      <c r="C86" s="14">
        <f>[4]monthly!$E185</f>
        <v>446.65391304347821</v>
      </c>
      <c r="D86" s="14">
        <f>[4]monthly!$F185</f>
        <v>1976.7685714285715</v>
      </c>
      <c r="E86" s="14">
        <f>[4]monthly!$G185</f>
        <v>1140.2076190476191</v>
      </c>
    </row>
    <row r="87" spans="1:5" ht="15.75" x14ac:dyDescent="0.25">
      <c r="A87" s="27">
        <v>37288</v>
      </c>
      <c r="B87" s="14">
        <f>[4]monthly!$D186</f>
        <v>434.19105263157888</v>
      </c>
      <c r="C87" s="14">
        <f>[4]monthly!$E186</f>
        <v>417.21210526315792</v>
      </c>
      <c r="D87" s="14">
        <f>[4]monthly!$F186</f>
        <v>1799.7189473684211</v>
      </c>
      <c r="E87" s="14">
        <f>[4]monthly!$G186</f>
        <v>1100.668947368421</v>
      </c>
    </row>
    <row r="88" spans="1:5" ht="15.75" x14ac:dyDescent="0.25">
      <c r="A88" s="27">
        <v>37316</v>
      </c>
      <c r="B88" s="14">
        <f>[4]monthly!$D187</f>
        <v>419.94473684210527</v>
      </c>
      <c r="C88" s="14">
        <f>[4]monthly!$E187</f>
        <v>403.65999999999997</v>
      </c>
      <c r="D88" s="14">
        <f>[4]monthly!$F187</f>
        <v>1863.0454999999997</v>
      </c>
      <c r="E88" s="14">
        <f>[4]monthly!$G187</f>
        <v>1153.7909999999999</v>
      </c>
    </row>
    <row r="89" spans="1:5" ht="15.75" x14ac:dyDescent="0.25">
      <c r="A89" s="27">
        <v>37347</v>
      </c>
      <c r="B89" s="14">
        <f>[4]monthly!$D188</f>
        <v>389.52055555555552</v>
      </c>
      <c r="C89" s="14">
        <f>[4]monthly!$E188</f>
        <v>375.65944444444443</v>
      </c>
      <c r="D89" s="14">
        <f>[4]monthly!$F188</f>
        <v>1758.802272727273</v>
      </c>
      <c r="E89" s="14">
        <f>[4]monthly!$G188</f>
        <v>1112.0345454545452</v>
      </c>
    </row>
    <row r="90" spans="1:5" ht="15.75" x14ac:dyDescent="0.25">
      <c r="A90" s="27">
        <v>37377</v>
      </c>
      <c r="B90" s="14">
        <f>[4]monthly!$D189</f>
        <v>388.12428571428563</v>
      </c>
      <c r="C90" s="14">
        <f>[4]monthly!$E189</f>
        <v>375.72142857142859</v>
      </c>
      <c r="D90" s="14">
        <f>[4]monthly!$F189</f>
        <v>1660.3109090909093</v>
      </c>
      <c r="E90" s="14">
        <f>[4]monthly!$G189</f>
        <v>1079.2672727272727</v>
      </c>
    </row>
    <row r="91" spans="1:5" ht="15.75" x14ac:dyDescent="0.25">
      <c r="A91" s="27">
        <v>37408</v>
      </c>
      <c r="B91" s="14">
        <f>[4]monthly!$D190</f>
        <v>371.37238095238092</v>
      </c>
      <c r="C91" s="14">
        <f>[4]monthly!$E190</f>
        <v>361.22809523809525</v>
      </c>
      <c r="D91" s="14">
        <f>[4]monthly!$F190</f>
        <v>1505.4884999999999</v>
      </c>
      <c r="E91" s="14">
        <f>[4]monthly!$G190</f>
        <v>1014.0479999999998</v>
      </c>
    </row>
    <row r="92" spans="1:5" ht="15.75" x14ac:dyDescent="0.25">
      <c r="A92" s="27">
        <v>37438</v>
      </c>
      <c r="B92" s="14">
        <f>[4]monthly!$D191</f>
        <v>371.06409090909085</v>
      </c>
      <c r="C92" s="14">
        <f>[4]monthly!$E191</f>
        <v>357.89136363636356</v>
      </c>
      <c r="D92" s="14">
        <f>[4]monthly!$F191</f>
        <v>1346.0854545454542</v>
      </c>
      <c r="E92" s="14">
        <f>[4]monthly!$G191</f>
        <v>903.58545454545447</v>
      </c>
    </row>
    <row r="93" spans="1:5" ht="15.75" x14ac:dyDescent="0.25">
      <c r="A93" s="27">
        <v>37469</v>
      </c>
      <c r="B93" s="14">
        <f>[4]monthly!$D192</f>
        <v>370.05428571428575</v>
      </c>
      <c r="C93" s="14">
        <f>[4]monthly!$E192</f>
        <v>358.71238095238095</v>
      </c>
      <c r="D93" s="14">
        <f>[4]monthly!$F192</f>
        <v>1327.3604545454546</v>
      </c>
      <c r="E93" s="14">
        <f>[4]monthly!$G192</f>
        <v>912.55227272727279</v>
      </c>
    </row>
    <row r="94" spans="1:5" ht="15.75" x14ac:dyDescent="0.25">
      <c r="A94" s="27">
        <v>37500</v>
      </c>
      <c r="B94" s="14">
        <f>[4]monthly!$D193</f>
        <v>361.92578947368423</v>
      </c>
      <c r="C94" s="14">
        <f>[4]monthly!$E193</f>
        <v>351.96789473684208</v>
      </c>
      <c r="D94" s="14">
        <f>[4]monthly!$F193</f>
        <v>1251.0690000000002</v>
      </c>
      <c r="E94" s="14">
        <f>[4]monthly!$G193</f>
        <v>867.81200000000013</v>
      </c>
    </row>
    <row r="95" spans="1:5" ht="15.75" x14ac:dyDescent="0.25">
      <c r="A95" s="27">
        <v>37530</v>
      </c>
      <c r="B95" s="14">
        <f>[4]monthly!$D194</f>
        <v>336.98913043478257</v>
      </c>
      <c r="C95" s="14">
        <f>[4]monthly!$E194</f>
        <v>328.31521739130437</v>
      </c>
      <c r="D95" s="14">
        <f>[4]monthly!$F194</f>
        <v>1241.9121739130435</v>
      </c>
      <c r="E95" s="14">
        <f>[4]monthly!$G194</f>
        <v>854.63130434782613</v>
      </c>
    </row>
    <row r="96" spans="1:5" ht="15.75" x14ac:dyDescent="0.25">
      <c r="A96" s="27">
        <v>37561</v>
      </c>
      <c r="B96" s="14">
        <f>[4]monthly!$D195</f>
        <v>343.59450000000004</v>
      </c>
      <c r="C96" s="14">
        <f>[4]monthly!$E195</f>
        <v>337.39700000000005</v>
      </c>
      <c r="D96" s="14">
        <f>[4]monthly!$F195</f>
        <v>1409.1509999999998</v>
      </c>
      <c r="E96" s="14">
        <f>[4]monthly!$G195</f>
        <v>909.92700000000002</v>
      </c>
    </row>
    <row r="97" spans="1:5" ht="15.75" x14ac:dyDescent="0.25">
      <c r="A97" s="27">
        <v>37591</v>
      </c>
      <c r="B97" s="14">
        <f>[4]monthly!$D196</f>
        <v>360.10652173913041</v>
      </c>
      <c r="C97" s="14">
        <f>[4]monthly!$E196</f>
        <v>352.87478260869563</v>
      </c>
      <c r="D97" s="14">
        <f>[4]monthly!$F196</f>
        <v>1387.1519047619045</v>
      </c>
      <c r="E97" s="14">
        <f>[4]monthly!$G196</f>
        <v>899.17857142857122</v>
      </c>
    </row>
    <row r="98" spans="1:5" ht="15.75" x14ac:dyDescent="0.25">
      <c r="A98" s="27">
        <v>37622</v>
      </c>
      <c r="B98" s="14">
        <f>[4]monthly!$D197</f>
        <v>320.20666666666665</v>
      </c>
      <c r="C98" s="14">
        <f>[4]monthly!$E197</f>
        <v>324.12476190476195</v>
      </c>
      <c r="D98" s="14">
        <f>[4]monthly!$F197</f>
        <v>1389.5595238095236</v>
      </c>
      <c r="E98" s="14">
        <f>[4]monthly!$G197</f>
        <v>895.8361904761905</v>
      </c>
    </row>
    <row r="99" spans="1:5" ht="15.75" x14ac:dyDescent="0.25">
      <c r="A99" s="27">
        <v>37653</v>
      </c>
      <c r="B99" s="14">
        <f>[4]monthly!$D198</f>
        <v>305.19449999999995</v>
      </c>
      <c r="C99" s="14">
        <f>[4]monthly!$E198</f>
        <v>312.90849999999995</v>
      </c>
      <c r="D99" s="14">
        <f>[4]monthly!$F198</f>
        <v>1313.2615789473684</v>
      </c>
      <c r="E99" s="14">
        <f>[4]monthly!$G198</f>
        <v>837.61894736842112</v>
      </c>
    </row>
    <row r="100" spans="1:5" ht="15.75" x14ac:dyDescent="0.25">
      <c r="A100" s="27">
        <v>37681</v>
      </c>
      <c r="B100" s="14">
        <f>[4]monthly!$D199</f>
        <v>330.97761904761904</v>
      </c>
      <c r="C100" s="14">
        <f>[4]monthly!$E199</f>
        <v>335.58428571428567</v>
      </c>
      <c r="D100" s="14">
        <f>[4]monthly!$F199</f>
        <v>1348.5038095238092</v>
      </c>
      <c r="E100" s="14">
        <f>[4]monthly!$G199</f>
        <v>846.62142857142874</v>
      </c>
    </row>
    <row r="101" spans="1:5" ht="15.75" x14ac:dyDescent="0.25">
      <c r="A101" s="27">
        <v>37712</v>
      </c>
      <c r="B101" s="14">
        <f>[4]monthly!$D200</f>
        <v>368.06823529411764</v>
      </c>
      <c r="C101" s="14">
        <f>[4]monthly!$E200</f>
        <v>376.06058823529418</v>
      </c>
      <c r="D101" s="14">
        <f>[4]monthly!$F200</f>
        <v>1409.8309523809526</v>
      </c>
      <c r="E101" s="14">
        <f>[4]monthly!$G200</f>
        <v>890.02571428571412</v>
      </c>
    </row>
    <row r="102" spans="1:5" ht="15.75" x14ac:dyDescent="0.25">
      <c r="A102" s="27">
        <v>37742</v>
      </c>
      <c r="B102" s="14">
        <f>[4]monthly!$D201</f>
        <v>403.91176470588232</v>
      </c>
      <c r="C102" s="14">
        <f>[4]monthly!$E201</f>
        <v>411.61</v>
      </c>
      <c r="D102" s="14">
        <f>[4]monthly!$F201</f>
        <v>1524.1828571428571</v>
      </c>
      <c r="E102" s="14">
        <f>[4]monthly!$G201</f>
        <v>935.96285714285716</v>
      </c>
    </row>
    <row r="103" spans="1:5" ht="15.75" x14ac:dyDescent="0.25">
      <c r="A103" s="27">
        <v>37773</v>
      </c>
      <c r="B103" s="14">
        <f>[4]monthly!$D202</f>
        <v>428.02380952380963</v>
      </c>
      <c r="C103" s="14">
        <f>[4]monthly!$E202</f>
        <v>438.2657142857143</v>
      </c>
      <c r="D103" s="14">
        <f>[4]monthly!$F202</f>
        <v>1631.7509523809522</v>
      </c>
      <c r="E103" s="14">
        <f>[4]monthly!$G202</f>
        <v>987.99523809523816</v>
      </c>
    </row>
    <row r="104" spans="1:5" ht="15.75" x14ac:dyDescent="0.25">
      <c r="A104" s="27">
        <v>37803</v>
      </c>
      <c r="B104" s="14">
        <f>[4]monthly!$D203</f>
        <v>423.62826086956517</v>
      </c>
      <c r="C104" s="14">
        <f>[4]monthly!$E203</f>
        <v>439.0282608695652</v>
      </c>
      <c r="D104" s="14">
        <f>[4]monthly!$F203</f>
        <v>1716.8513636363639</v>
      </c>
      <c r="E104" s="14">
        <f>[4]monthly!$G203</f>
        <v>992.54090909090917</v>
      </c>
    </row>
    <row r="105" spans="1:5" ht="15.75" x14ac:dyDescent="0.25">
      <c r="A105" s="27">
        <v>37834</v>
      </c>
      <c r="B105" s="14">
        <f>[4]monthly!$D204</f>
        <v>394.25850000000003</v>
      </c>
      <c r="C105" s="14">
        <f>[4]monthly!$E204</f>
        <v>411.53750000000002</v>
      </c>
      <c r="D105" s="14">
        <f>[4]monthly!$F204</f>
        <v>1724.8228571428572</v>
      </c>
      <c r="E105" s="14">
        <f>[4]monthly!$G204</f>
        <v>989.53190476190468</v>
      </c>
    </row>
    <row r="106" spans="1:5" ht="15.75" x14ac:dyDescent="0.25">
      <c r="A106" s="27">
        <v>37865</v>
      </c>
      <c r="B106" s="14">
        <f>[4]monthly!$D205</f>
        <v>404.86476190476191</v>
      </c>
      <c r="C106" s="14">
        <f>[4]monthly!$E205</f>
        <v>424.07666666666671</v>
      </c>
      <c r="D106" s="14">
        <f>[4]monthly!$F205</f>
        <v>1856.2247619047619</v>
      </c>
      <c r="E106" s="14">
        <f>[4]monthly!$G205</f>
        <v>1019.4419047619049</v>
      </c>
    </row>
    <row r="107" spans="1:5" ht="15.75" x14ac:dyDescent="0.25">
      <c r="A107" s="27">
        <v>37895</v>
      </c>
      <c r="B107" s="14">
        <f>[4]monthly!$D206</f>
        <v>431.91850000000005</v>
      </c>
      <c r="C107" s="14">
        <f>[4]monthly!$E206</f>
        <v>452.93950000000007</v>
      </c>
      <c r="D107" s="14">
        <f>[4]monthly!$F206</f>
        <v>1907.891304347826</v>
      </c>
      <c r="E107" s="14">
        <f>[4]monthly!$G206</f>
        <v>1038.7343478260868</v>
      </c>
    </row>
    <row r="108" spans="1:5" ht="15.75" x14ac:dyDescent="0.25">
      <c r="A108" s="27">
        <v>37926</v>
      </c>
      <c r="B108" s="14">
        <f>[4]monthly!$D207</f>
        <v>468.57000000000005</v>
      </c>
      <c r="C108" s="14">
        <f>[4]monthly!$E207</f>
        <v>497.10904761904766</v>
      </c>
      <c r="D108" s="14">
        <f>[4]monthly!$F207</f>
        <v>1939.2536842105262</v>
      </c>
      <c r="E108" s="14">
        <f>[4]monthly!$G207</f>
        <v>1049.8989473684212</v>
      </c>
    </row>
    <row r="109" spans="1:5" ht="15.75" x14ac:dyDescent="0.25">
      <c r="A109" s="27">
        <v>37956</v>
      </c>
      <c r="B109" s="14">
        <f>[4]monthly!$D208</f>
        <v>485.13782608695647</v>
      </c>
      <c r="C109" s="14">
        <f>[4]monthly!$E208</f>
        <v>513.22956521739138</v>
      </c>
      <c r="D109" s="14">
        <f>[4]monthly!$F208</f>
        <v>1956.9845454545457</v>
      </c>
      <c r="E109" s="14">
        <f>[4]monthly!$G208</f>
        <v>1080.6359090909091</v>
      </c>
    </row>
    <row r="110" spans="1:5" ht="15.75" x14ac:dyDescent="0.25">
      <c r="A110" s="27">
        <v>37987</v>
      </c>
      <c r="B110" s="14">
        <f>[4]monthly!$D209</f>
        <v>517.27600000000007</v>
      </c>
      <c r="C110" s="14">
        <f>[4]monthly!$E209</f>
        <v>562.37800000000004</v>
      </c>
      <c r="D110" s="14">
        <f>[4]monthly!$F209</f>
        <v>2098.0040000000004</v>
      </c>
      <c r="E110" s="14">
        <f>[4]monthly!$G209</f>
        <v>1132.5174999999999</v>
      </c>
    </row>
    <row r="111" spans="1:5" ht="15.75" x14ac:dyDescent="0.25">
      <c r="A111" s="27">
        <v>38018</v>
      </c>
      <c r="B111" s="14">
        <f>[4]monthly!$D210</f>
        <v>522.07952380952383</v>
      </c>
      <c r="C111" s="14">
        <f>[4]monthly!$E210</f>
        <v>564.74095238095242</v>
      </c>
      <c r="D111" s="14">
        <f>[4]monthly!$F210</f>
        <v>2048.36</v>
      </c>
      <c r="E111" s="14">
        <f>[4]monthly!$G210</f>
        <v>1143.3563157894735</v>
      </c>
    </row>
    <row r="112" spans="1:5" ht="15.75" x14ac:dyDescent="0.25">
      <c r="A112" s="27">
        <v>38047</v>
      </c>
      <c r="B112" s="14">
        <f>[4]monthly!$D211</f>
        <v>529.0554545454545</v>
      </c>
      <c r="C112" s="14">
        <f>[4]monthly!$E211</f>
        <v>571.10954545454547</v>
      </c>
      <c r="D112" s="14">
        <f>[4]monthly!$F211</f>
        <v>1979.4786956521737</v>
      </c>
      <c r="E112" s="14">
        <f>[4]monthly!$G211</f>
        <v>1123.9782608695652</v>
      </c>
    </row>
    <row r="113" spans="1:5" ht="15.75" x14ac:dyDescent="0.25">
      <c r="A113" s="27">
        <v>38078</v>
      </c>
      <c r="B113" s="14">
        <f>[4]monthly!$D212</f>
        <v>537.66733333333343</v>
      </c>
      <c r="C113" s="14">
        <f>[4]monthly!$E212</f>
        <v>580.21333333333337</v>
      </c>
      <c r="D113" s="14">
        <f>[4]monthly!$F212</f>
        <v>2021.3228571428572</v>
      </c>
      <c r="E113" s="14">
        <f>[4]monthly!$G212</f>
        <v>1133.0785714285712</v>
      </c>
    </row>
    <row r="114" spans="1:5" ht="15.75" x14ac:dyDescent="0.25">
      <c r="A114" s="27">
        <v>38108</v>
      </c>
      <c r="B114" s="14">
        <f>[4]monthly!$D213</f>
        <v>525.69899999999984</v>
      </c>
      <c r="C114" s="14">
        <f>[4]monthly!$E213</f>
        <v>564.77100000000007</v>
      </c>
      <c r="D114" s="14">
        <f>[4]monthly!$F213</f>
        <v>1930.0889999999999</v>
      </c>
      <c r="E114" s="14">
        <f>[4]monthly!$G213</f>
        <v>1102.7814999999998</v>
      </c>
    </row>
    <row r="115" spans="1:5" ht="15.75" x14ac:dyDescent="0.25">
      <c r="A115" s="27">
        <v>38139</v>
      </c>
      <c r="B115" s="14">
        <f>[4]monthly!$D214</f>
        <v>545.44772727272732</v>
      </c>
      <c r="C115" s="14">
        <f>[4]monthly!$E214</f>
        <v>582.55499999999995</v>
      </c>
      <c r="D115" s="14">
        <f>[4]monthly!$F214</f>
        <v>2000.9795238095242</v>
      </c>
      <c r="E115" s="14">
        <f>[4]monthly!$G214</f>
        <v>1132.757142857143</v>
      </c>
    </row>
    <row r="116" spans="1:5" ht="15.75" x14ac:dyDescent="0.25">
      <c r="A116" s="27">
        <v>38169</v>
      </c>
      <c r="B116" s="14">
        <f>[4]monthly!$D215</f>
        <v>553.80049999999994</v>
      </c>
      <c r="C116" s="14">
        <f>[4]monthly!$E215</f>
        <v>589.07950000000005</v>
      </c>
      <c r="D116" s="14">
        <f>[4]monthly!$F215</f>
        <v>1912.4242857142858</v>
      </c>
      <c r="E116" s="14">
        <f>[4]monthly!$G215</f>
        <v>1105.8466666666666</v>
      </c>
    </row>
    <row r="117" spans="1:5" ht="15.75" x14ac:dyDescent="0.25">
      <c r="A117" s="27">
        <v>38200</v>
      </c>
      <c r="B117" s="14">
        <f>[4]monthly!$D216</f>
        <v>522.0847826086956</v>
      </c>
      <c r="C117" s="14">
        <f>[4]monthly!$E216</f>
        <v>549.8073913043479</v>
      </c>
      <c r="D117" s="14">
        <f>[4]monthly!$F216</f>
        <v>1821.5381818181816</v>
      </c>
      <c r="E117" s="14">
        <f>[4]monthly!$G216</f>
        <v>1088.9349999999999</v>
      </c>
    </row>
    <row r="118" spans="1:5" ht="15.75" x14ac:dyDescent="0.25">
      <c r="A118" s="27">
        <v>38231</v>
      </c>
      <c r="B118" s="14">
        <f>[4]monthly!$D217</f>
        <v>530.62749999999994</v>
      </c>
      <c r="C118" s="14">
        <f>[4]monthly!$E217</f>
        <v>559.8175</v>
      </c>
      <c r="D118" s="14">
        <f>[4]monthly!$F217</f>
        <v>1884.7309523809522</v>
      </c>
      <c r="E118" s="14">
        <f>[4]monthly!$G217</f>
        <v>1117.6561904761907</v>
      </c>
    </row>
    <row r="119" spans="1:5" ht="15.75" x14ac:dyDescent="0.25">
      <c r="A119" s="27">
        <v>38261</v>
      </c>
      <c r="B119" s="14">
        <f>[4]monthly!$D218</f>
        <v>528.29105263157908</v>
      </c>
      <c r="C119" s="14">
        <f>[4]monthly!$E218</f>
        <v>553.42157894736829</v>
      </c>
      <c r="D119" s="14">
        <f>[4]monthly!$F218</f>
        <v>1938.2523809523807</v>
      </c>
      <c r="E119" s="14">
        <f>[4]monthly!$G218</f>
        <v>1118.0680952380953</v>
      </c>
    </row>
    <row r="120" spans="1:5" ht="15.75" x14ac:dyDescent="0.25">
      <c r="A120" s="27">
        <v>38292</v>
      </c>
      <c r="B120" s="14">
        <f>[4]monthly!$D219</f>
        <v>554.8659090909091</v>
      </c>
      <c r="C120" s="14">
        <f>[4]monthly!$E219</f>
        <v>580.65318181818191</v>
      </c>
      <c r="D120" s="14">
        <f>[4]monthly!$F219</f>
        <v>2062.87</v>
      </c>
      <c r="E120" s="14">
        <f>[4]monthly!$G219</f>
        <v>1168.9376190476189</v>
      </c>
    </row>
    <row r="121" spans="1:5" ht="15.75" x14ac:dyDescent="0.25">
      <c r="A121" s="27">
        <v>38322</v>
      </c>
      <c r="B121" s="14">
        <f>[4]monthly!$D220</f>
        <v>599.15318181818191</v>
      </c>
      <c r="C121" s="14">
        <f>[4]monthly!$E220</f>
        <v>619.17500000000007</v>
      </c>
      <c r="D121" s="14">
        <f>[4]monthly!$F220</f>
        <v>2149.5318181818188</v>
      </c>
      <c r="E121" s="14">
        <f>[4]monthly!$G220</f>
        <v>1199.2095454545454</v>
      </c>
    </row>
    <row r="122" spans="1:5" ht="15.75" x14ac:dyDescent="0.25">
      <c r="A122" s="27">
        <v>38353</v>
      </c>
      <c r="B122" s="14">
        <f>[4]monthly!$D221</f>
        <v>623.74590909090909</v>
      </c>
      <c r="C122" s="14">
        <f>[4]monthly!$E221</f>
        <v>649.05090909090916</v>
      </c>
      <c r="D122" s="14">
        <f>[4]monthly!$F221</f>
        <v>2071.8715000000002</v>
      </c>
      <c r="E122" s="14">
        <f>[4]monthly!$G221</f>
        <v>1181.4079999999999</v>
      </c>
    </row>
    <row r="123" spans="1:5" ht="15.75" x14ac:dyDescent="0.25">
      <c r="A123" s="27">
        <v>38384</v>
      </c>
      <c r="B123" s="14">
        <f>[4]monthly!$D222</f>
        <v>641.99599999999987</v>
      </c>
      <c r="C123" s="14">
        <f>[4]monthly!$E222</f>
        <v>666.03250000000003</v>
      </c>
      <c r="D123" s="14">
        <f>[4]monthly!$F222</f>
        <v>2065.7357894736838</v>
      </c>
      <c r="E123" s="14">
        <f>[4]monthly!$G222</f>
        <v>1199.626842105263</v>
      </c>
    </row>
    <row r="124" spans="1:5" ht="15.75" x14ac:dyDescent="0.25">
      <c r="A124" s="27">
        <v>38412</v>
      </c>
      <c r="B124" s="14">
        <f>[4]monthly!$D223</f>
        <v>651.24739130434784</v>
      </c>
      <c r="C124" s="14">
        <f>[4]monthly!$E223</f>
        <v>675.92</v>
      </c>
      <c r="D124" s="14">
        <f>[4]monthly!$F223</f>
        <v>2030.433636363636</v>
      </c>
      <c r="E124" s="14">
        <f>[4]monthly!$G223</f>
        <v>1194.8977272727273</v>
      </c>
    </row>
    <row r="125" spans="1:5" ht="15.75" x14ac:dyDescent="0.25">
      <c r="A125" s="27">
        <v>38443</v>
      </c>
      <c r="B125" s="14">
        <f>[4]monthly!$D224</f>
        <v>650.77421052631598</v>
      </c>
      <c r="C125" s="14">
        <f>[4]monthly!$E224</f>
        <v>672.94526315789471</v>
      </c>
      <c r="D125" s="14">
        <f>[4]monthly!$F224</f>
        <v>1957.4928571428575</v>
      </c>
      <c r="E125" s="14">
        <f>[4]monthly!$G224</f>
        <v>1164.4276190476187</v>
      </c>
    </row>
    <row r="126" spans="1:5" ht="15.75" x14ac:dyDescent="0.25">
      <c r="A126" s="27">
        <v>38473</v>
      </c>
      <c r="B126" s="14">
        <f>[4]monthly!$D225</f>
        <v>673.17333333333329</v>
      </c>
      <c r="C126" s="14">
        <f>[4]monthly!$E225</f>
        <v>692.77238095238079</v>
      </c>
      <c r="D126" s="14">
        <f>[4]monthly!$F225</f>
        <v>2005.2171428571435</v>
      </c>
      <c r="E126" s="14">
        <f>[4]monthly!$G225</f>
        <v>1178.275714285714</v>
      </c>
    </row>
    <row r="127" spans="1:5" ht="15.75" x14ac:dyDescent="0.25">
      <c r="A127" s="27">
        <v>38504</v>
      </c>
      <c r="B127" s="14">
        <f>[4]monthly!$D226</f>
        <v>665.50199999999995</v>
      </c>
      <c r="C127" s="14">
        <f>[4]monthly!$E226</f>
        <v>679.19100000000003</v>
      </c>
      <c r="D127" s="14">
        <f>[4]monthly!$F226</f>
        <v>2074.0172727272725</v>
      </c>
      <c r="E127" s="14">
        <f>[4]monthly!$G226</f>
        <v>1202.2531818181815</v>
      </c>
    </row>
    <row r="128" spans="1:5" ht="15.75" x14ac:dyDescent="0.25">
      <c r="A128" s="27">
        <v>38534</v>
      </c>
      <c r="B128" s="14">
        <f>[4]monthly!$D227</f>
        <v>662.93238095238087</v>
      </c>
      <c r="C128" s="14">
        <f>[4]monthly!$E227</f>
        <v>676.467619047619</v>
      </c>
      <c r="D128" s="14">
        <f>[4]monthly!$F227</f>
        <v>2145.1390000000001</v>
      </c>
      <c r="E128" s="14">
        <f>[4]monthly!$G227</f>
        <v>1222.2370000000001</v>
      </c>
    </row>
    <row r="129" spans="1:5" ht="15.75" x14ac:dyDescent="0.25">
      <c r="A129" s="27">
        <v>38565</v>
      </c>
      <c r="B129" s="14">
        <f>[4]monthly!$D228</f>
        <v>701.19499999999994</v>
      </c>
      <c r="C129" s="14">
        <f>[4]monthly!$E228</f>
        <v>708.78045454545452</v>
      </c>
      <c r="D129" s="14">
        <f>[4]monthly!$F228</f>
        <v>2157.8482608695658</v>
      </c>
      <c r="E129" s="14">
        <f>[4]monthly!$G228</f>
        <v>1224.2699999999998</v>
      </c>
    </row>
    <row r="130" spans="1:5" ht="15.75" x14ac:dyDescent="0.25">
      <c r="A130" s="27">
        <v>38596</v>
      </c>
      <c r="B130" s="14">
        <f>[4]monthly!$D229</f>
        <v>731.30476190476202</v>
      </c>
      <c r="C130" s="14">
        <f>[4]monthly!$E229</f>
        <v>736.79333333333329</v>
      </c>
      <c r="D130" s="14">
        <f>[4]monthly!$F229</f>
        <v>2144.611904761905</v>
      </c>
      <c r="E130" s="14">
        <f>[4]monthly!$G229</f>
        <v>1225.9147619047621</v>
      </c>
    </row>
    <row r="131" spans="1:5" ht="15.75" x14ac:dyDescent="0.25">
      <c r="A131" s="27">
        <v>38626</v>
      </c>
      <c r="B131" s="14">
        <f>[4]monthly!$D230</f>
        <v>756.39999999999986</v>
      </c>
      <c r="C131" s="14">
        <f>[4]monthly!$E230</f>
        <v>757.13153846153841</v>
      </c>
      <c r="D131" s="14">
        <f>[4]monthly!$F230</f>
        <v>2087.0928571428572</v>
      </c>
      <c r="E131" s="14">
        <f>[4]monthly!$G230</f>
        <v>1191.9642857142858</v>
      </c>
    </row>
    <row r="132" spans="1:5" ht="15.75" x14ac:dyDescent="0.25">
      <c r="A132" s="27">
        <v>38657</v>
      </c>
      <c r="B132" s="14">
        <f>[4]monthly!$D231</f>
        <v>762.9799999999999</v>
      </c>
      <c r="C132" s="14">
        <f>[4]monthly!$E231</f>
        <v>771.51409090909101</v>
      </c>
      <c r="D132" s="14">
        <f>[4]monthly!$F231</f>
        <v>2202.8357142857144</v>
      </c>
      <c r="E132" s="14">
        <f>[4]monthly!$G231</f>
        <v>1237.3685714285714</v>
      </c>
    </row>
    <row r="133" spans="1:5" ht="15.75" x14ac:dyDescent="0.25">
      <c r="A133" s="27">
        <v>38687</v>
      </c>
      <c r="B133" s="14">
        <f>[4]monthly!$D232</f>
        <v>808.93333333333328</v>
      </c>
      <c r="C133" s="14">
        <f>[4]monthly!$E232</f>
        <v>813.74904761904759</v>
      </c>
      <c r="D133" s="14">
        <f>[4]monthly!$F232</f>
        <v>2246.0871428571427</v>
      </c>
      <c r="E133" s="14">
        <f>[4]monthly!$G232</f>
        <v>1262.0719047619048</v>
      </c>
    </row>
    <row r="134" spans="1:5" ht="15.75" x14ac:dyDescent="0.25">
      <c r="A134" s="27">
        <v>38718</v>
      </c>
      <c r="B134" s="14">
        <f>[4]monthly!$D233</f>
        <v>833.67304347826064</v>
      </c>
      <c r="C134" s="14">
        <f>[4]monthly!$E233</f>
        <v>848.44739130434766</v>
      </c>
      <c r="D134" s="14">
        <f>[4]monthly!$F233</f>
        <v>2289.9915000000005</v>
      </c>
      <c r="E134" s="14">
        <f>[4]monthly!$G233</f>
        <v>1278.7275000000002</v>
      </c>
    </row>
    <row r="135" spans="1:5" ht="15.75" x14ac:dyDescent="0.25">
      <c r="A135" s="27">
        <v>38749</v>
      </c>
      <c r="B135" s="14">
        <f>[4]monthly!$D234</f>
        <v>803.09800000000007</v>
      </c>
      <c r="C135" s="14">
        <f>[4]monthly!$E234</f>
        <v>824.39</v>
      </c>
      <c r="D135" s="14">
        <f>[4]monthly!$F234</f>
        <v>2273.6663157894741</v>
      </c>
      <c r="E135" s="14">
        <f>[4]monthly!$G234</f>
        <v>1276.6452631578948</v>
      </c>
    </row>
    <row r="136" spans="1:5" ht="15.75" x14ac:dyDescent="0.25">
      <c r="A136" s="27">
        <v>38777</v>
      </c>
      <c r="B136" s="14">
        <f>[4]monthly!$D235</f>
        <v>825.17250000000001</v>
      </c>
      <c r="C136" s="14">
        <f>[4]monthly!$E235</f>
        <v>847.80049999999994</v>
      </c>
      <c r="D136" s="14">
        <f>[4]monthly!$F235</f>
        <v>2300.2556521739134</v>
      </c>
      <c r="E136" s="14">
        <f>[4]monthly!$G235</f>
        <v>1293.7347826086959</v>
      </c>
    </row>
    <row r="137" spans="1:5" ht="15.75" x14ac:dyDescent="0.25">
      <c r="A137" s="27">
        <v>38808</v>
      </c>
      <c r="B137" s="14">
        <f>[4]monthly!$D236</f>
        <v>845.62470588235306</v>
      </c>
      <c r="C137" s="14">
        <f>[4]monthly!$E236</f>
        <v>867.68882352941171</v>
      </c>
      <c r="D137" s="14">
        <f>[4]monthly!$F236</f>
        <v>2338.6773684210525</v>
      </c>
      <c r="E137" s="14">
        <f>[4]monthly!$G236</f>
        <v>1302.165263157895</v>
      </c>
    </row>
    <row r="138" spans="1:5" ht="15.75" x14ac:dyDescent="0.25">
      <c r="A138" s="27">
        <v>38838</v>
      </c>
      <c r="B138" s="14">
        <f>[4]monthly!$D237</f>
        <v>877.91428571428594</v>
      </c>
      <c r="C138" s="14">
        <f>[4]monthly!$E237</f>
        <v>895.0447619047618</v>
      </c>
      <c r="D138" s="14">
        <f>[4]monthly!$F237</f>
        <v>2245.2818181818179</v>
      </c>
      <c r="E138" s="14">
        <f>[4]monthly!$G237</f>
        <v>1290.0136363636366</v>
      </c>
    </row>
    <row r="139" spans="1:5" ht="15.75" x14ac:dyDescent="0.25">
      <c r="A139" s="27">
        <v>38869</v>
      </c>
      <c r="B139" s="14">
        <f>[4]monthly!$D238</f>
        <v>817.20799999999986</v>
      </c>
      <c r="C139" s="14">
        <f>[4]monthly!$E238</f>
        <v>829.55899999999986</v>
      </c>
      <c r="D139" s="14">
        <f>[4]monthly!$F238</f>
        <v>2137.4136363636367</v>
      </c>
      <c r="E139" s="14">
        <f>[4]monthly!$G238</f>
        <v>1253.1681818181819</v>
      </c>
    </row>
    <row r="140" spans="1:5" ht="15.75" x14ac:dyDescent="0.25">
      <c r="A140" s="27">
        <v>38899</v>
      </c>
      <c r="B140" s="14">
        <f>[4]monthly!$D239</f>
        <v>792.03227272727281</v>
      </c>
      <c r="C140" s="14">
        <f>[4]monthly!$E239</f>
        <v>807.33636363636367</v>
      </c>
      <c r="D140" s="14">
        <f>[4]monthly!$F239</f>
        <v>2086.2075</v>
      </c>
      <c r="E140" s="14">
        <f>[4]monthly!$G239</f>
        <v>1260.2345000000003</v>
      </c>
    </row>
    <row r="141" spans="1:5" ht="15.75" x14ac:dyDescent="0.25">
      <c r="A141" s="27">
        <v>38930</v>
      </c>
      <c r="B141" s="14">
        <f>[4]monthly!$D240</f>
        <v>804.28499999999997</v>
      </c>
      <c r="C141" s="14">
        <f>[4]monthly!$E240</f>
        <v>820.88363636363636</v>
      </c>
      <c r="D141" s="14">
        <f>[4]monthly!$F240</f>
        <v>2117.7708695652177</v>
      </c>
      <c r="E141" s="14">
        <f>[4]monthly!$G240</f>
        <v>1287.1495652173912</v>
      </c>
    </row>
    <row r="142" spans="1:5" ht="15.75" x14ac:dyDescent="0.25">
      <c r="A142" s="27">
        <v>38961</v>
      </c>
      <c r="B142" s="14">
        <f>[4]monthly!$D241</f>
        <v>806.01631578947365</v>
      </c>
      <c r="C142" s="14">
        <f>[4]monthly!$E241</f>
        <v>820.46526315789481</v>
      </c>
      <c r="D142" s="14">
        <f>[4]monthly!$F241</f>
        <v>2221.9389999999994</v>
      </c>
      <c r="E142" s="14">
        <f>[4]monthly!$G241</f>
        <v>1317.7429999999997</v>
      </c>
    </row>
    <row r="143" spans="1:5" ht="15.75" x14ac:dyDescent="0.25">
      <c r="A143" s="27">
        <v>38991</v>
      </c>
      <c r="B143" s="14">
        <f>[4]monthly!$D242</f>
        <v>871.37285714285701</v>
      </c>
      <c r="C143" s="14">
        <f>[4]monthly!$E242</f>
        <v>886.7595238095239</v>
      </c>
      <c r="D143" s="14">
        <f>[4]monthly!$F242</f>
        <v>2330.1745454545453</v>
      </c>
      <c r="E143" s="14">
        <f>[4]monthly!$G242</f>
        <v>1363.3772727272728</v>
      </c>
    </row>
    <row r="144" spans="1:5" ht="15.75" x14ac:dyDescent="0.25">
      <c r="A144" s="27">
        <v>39022</v>
      </c>
      <c r="B144" s="14">
        <f>[4]monthly!$D243</f>
        <v>916.44545454545448</v>
      </c>
      <c r="C144" s="14">
        <f>[4]monthly!$E243</f>
        <v>926.50636363636374</v>
      </c>
      <c r="D144" s="14">
        <f>[4]monthly!$F243</f>
        <v>2408.7000000000007</v>
      </c>
      <c r="E144" s="14">
        <f>[4]monthly!$G243</f>
        <v>1388.6347619047619</v>
      </c>
    </row>
    <row r="145" spans="1:5" ht="15.75" x14ac:dyDescent="0.25">
      <c r="A145" s="27">
        <v>39052</v>
      </c>
      <c r="B145" s="14">
        <f>[4]monthly!$D244</f>
        <v>935.44380952380948</v>
      </c>
      <c r="C145" s="14">
        <f>[4]monthly!$E244</f>
        <v>937.40619047619043</v>
      </c>
      <c r="D145" s="14">
        <f>[4]monthly!$F244</f>
        <v>2431.9079999999999</v>
      </c>
      <c r="E145" s="14">
        <f>[4]monthly!$G244</f>
        <v>1416.4199999999998</v>
      </c>
    </row>
    <row r="146" spans="1:5" ht="15.75" x14ac:dyDescent="0.25">
      <c r="A146" s="27">
        <v>39083</v>
      </c>
      <c r="B146" s="14">
        <f>[4]monthly!$D245</f>
        <v>937.69260869565221</v>
      </c>
      <c r="C146" s="14">
        <f>[4]monthly!$E245</f>
        <v>945.0504347826087</v>
      </c>
      <c r="D146" s="14">
        <f>[4]monthly!$F245</f>
        <v>2453.1869999999999</v>
      </c>
      <c r="E146" s="14">
        <f>[4]monthly!$G245</f>
        <v>1424.1610000000001</v>
      </c>
    </row>
    <row r="147" spans="1:5" ht="15.75" x14ac:dyDescent="0.25">
      <c r="A147" s="27">
        <v>39114</v>
      </c>
      <c r="B147" s="14">
        <f>[4]monthly!$D246</f>
        <v>982.23249999999985</v>
      </c>
      <c r="C147" s="14">
        <f>[4]monthly!$E246</f>
        <v>986.97500000000036</v>
      </c>
      <c r="D147" s="14">
        <f>[4]monthly!$F246</f>
        <v>2479.8642105263161</v>
      </c>
      <c r="E147" s="14">
        <f>[4]monthly!$G246</f>
        <v>1444.7947368421053</v>
      </c>
    </row>
    <row r="148" spans="1:5" ht="15.75" x14ac:dyDescent="0.25">
      <c r="A148" s="27">
        <v>39142</v>
      </c>
      <c r="B148" s="14">
        <f>[4]monthly!$D247</f>
        <v>966.50650000000007</v>
      </c>
      <c r="C148" s="14">
        <f>[4]monthly!$E247</f>
        <v>968.9195000000002</v>
      </c>
      <c r="D148" s="14">
        <f>[4]monthly!$F247</f>
        <v>2401.4909090909086</v>
      </c>
      <c r="E148" s="14">
        <f>[4]monthly!$G247</f>
        <v>1406.9518181818182</v>
      </c>
    </row>
    <row r="149" spans="1:5" ht="15.75" x14ac:dyDescent="0.25">
      <c r="A149" s="27">
        <v>39173</v>
      </c>
      <c r="B149" s="14">
        <f>[4]monthly!$D248</f>
        <v>1046.06</v>
      </c>
      <c r="C149" s="14">
        <f>[4]monthly!$E248</f>
        <v>1041.9818750000002</v>
      </c>
      <c r="D149" s="14">
        <f>[4]monthly!$F248</f>
        <v>2499.5680000000002</v>
      </c>
      <c r="E149" s="14">
        <f>[4]monthly!$G248</f>
        <v>1463.6404999999997</v>
      </c>
    </row>
    <row r="150" spans="1:5" ht="15.75" x14ac:dyDescent="0.25">
      <c r="A150" s="27">
        <v>39203</v>
      </c>
      <c r="B150" s="14">
        <f>[4]monthly!$D249</f>
        <v>1105.1109523809525</v>
      </c>
      <c r="C150" s="14">
        <f>[4]monthly!$E249</f>
        <v>1098.7509523809524</v>
      </c>
      <c r="D150" s="14">
        <f>[4]monthly!$F249</f>
        <v>2562.1409090909092</v>
      </c>
      <c r="E150" s="14">
        <f>[4]monthly!$G249</f>
        <v>1511.1368181818179</v>
      </c>
    </row>
    <row r="151" spans="1:5" ht="15.75" x14ac:dyDescent="0.25">
      <c r="A151" s="27">
        <v>39234</v>
      </c>
      <c r="B151" s="14">
        <f>[4]monthly!$D250</f>
        <v>1118.0255000000002</v>
      </c>
      <c r="C151" s="14">
        <f>[4]monthly!$E250</f>
        <v>1109.8425</v>
      </c>
      <c r="D151" s="14">
        <f>[4]monthly!$F250</f>
        <v>2595.3961904761904</v>
      </c>
      <c r="E151" s="14">
        <f>[4]monthly!$G250</f>
        <v>1514.4895238095237</v>
      </c>
    </row>
    <row r="152" spans="1:5" ht="15.75" x14ac:dyDescent="0.25">
      <c r="A152" s="27">
        <v>39264</v>
      </c>
      <c r="B152" s="14">
        <f>[4]monthly!$D251</f>
        <v>1140.4481818181816</v>
      </c>
      <c r="C152" s="14">
        <f>[4]monthly!$E251</f>
        <v>1129.9440909090908</v>
      </c>
      <c r="D152" s="14">
        <f>[4]monthly!$F251</f>
        <v>2655.0761904761903</v>
      </c>
      <c r="E152" s="14">
        <f>[4]monthly!$G251</f>
        <v>1520.7047619047621</v>
      </c>
    </row>
    <row r="153" spans="1:5" ht="15.75" x14ac:dyDescent="0.25">
      <c r="A153" s="27">
        <v>39295</v>
      </c>
      <c r="B153" s="14">
        <f>[4]monthly!$D252</f>
        <v>1068.7740909090912</v>
      </c>
      <c r="C153" s="14">
        <f>[4]monthly!$E252</f>
        <v>1045.4481818181819</v>
      </c>
      <c r="D153" s="14">
        <f>[4]monthly!$F252</f>
        <v>2539.4986956521739</v>
      </c>
      <c r="E153" s="14">
        <f>[4]monthly!$G252</f>
        <v>1454.616956521739</v>
      </c>
    </row>
    <row r="154" spans="1:5" ht="15.75" x14ac:dyDescent="0.25">
      <c r="A154" s="27">
        <v>39326</v>
      </c>
      <c r="B154" s="14">
        <f>[4]monthly!$D253</f>
        <v>1079.0882352941173</v>
      </c>
      <c r="C154" s="14">
        <f>[4]monthly!$E253</f>
        <v>1053.4382352941177</v>
      </c>
      <c r="D154" s="14">
        <f>[4]monthly!$F253</f>
        <v>2634.47</v>
      </c>
      <c r="E154" s="14">
        <f>[4]monthly!$G253</f>
        <v>1497.1163157894739</v>
      </c>
    </row>
    <row r="155" spans="1:5" ht="15.75" x14ac:dyDescent="0.25">
      <c r="A155" s="27">
        <v>39356</v>
      </c>
      <c r="B155" s="14">
        <f>[4]monthly!$D254</f>
        <v>1191.0719047619048</v>
      </c>
      <c r="C155" s="14">
        <f>[4]monthly!$E254</f>
        <v>1154.4419047619047</v>
      </c>
      <c r="D155" s="14">
        <f>[4]monthly!$F254</f>
        <v>2780.4156521739133</v>
      </c>
      <c r="E155" s="14">
        <f>[4]monthly!$G254</f>
        <v>1539.6586956521737</v>
      </c>
    </row>
    <row r="156" spans="1:5" ht="15.75" x14ac:dyDescent="0.25">
      <c r="A156" s="27">
        <v>39387</v>
      </c>
      <c r="B156" s="14">
        <f>[4]monthly!$D255</f>
        <v>1199.4895238095237</v>
      </c>
      <c r="C156" s="14">
        <f>[4]monthly!$E255</f>
        <v>1145.7523809523811</v>
      </c>
      <c r="D156" s="14">
        <f>[4]monthly!$F255</f>
        <v>2662.8023809523806</v>
      </c>
      <c r="E156" s="14">
        <f>[4]monthly!$G255</f>
        <v>1463.3852380952383</v>
      </c>
    </row>
    <row r="157" spans="1:5" ht="15.75" x14ac:dyDescent="0.25">
      <c r="A157" s="27">
        <v>39417</v>
      </c>
      <c r="B157" s="14">
        <f>[4]monthly!$D256</f>
        <v>1209.9640909090908</v>
      </c>
      <c r="C157" s="14">
        <f>[4]monthly!$E256</f>
        <v>1152.2595454545456</v>
      </c>
      <c r="D157" s="14">
        <f>[4]monthly!$F256</f>
        <v>2661.5484999999994</v>
      </c>
      <c r="E157" s="14">
        <f>[4]monthly!$G256</f>
        <v>1479.2235000000001</v>
      </c>
    </row>
    <row r="158" spans="1:5" ht="15.75" x14ac:dyDescent="0.25">
      <c r="A158" s="27">
        <v>39448</v>
      </c>
      <c r="B158" s="14">
        <f>[4]monthly!$D257</f>
        <v>1135.1508695652174</v>
      </c>
      <c r="C158" s="14">
        <f>[4]monthly!$E257</f>
        <v>1071.187391304348</v>
      </c>
      <c r="D158" s="14">
        <f>[4]monthly!$F257</f>
        <v>2418.0938095238098</v>
      </c>
      <c r="E158" s="14">
        <f>[4]monthly!$G257</f>
        <v>1378.7638095238096</v>
      </c>
    </row>
    <row r="159" spans="1:5" ht="15.75" x14ac:dyDescent="0.25">
      <c r="A159" s="27">
        <v>39479</v>
      </c>
      <c r="B159" s="14">
        <f>[4]monthly!$D258</f>
        <v>1088.3775000000001</v>
      </c>
      <c r="C159" s="14">
        <f>[4]monthly!$E258</f>
        <v>1018.7115</v>
      </c>
      <c r="D159" s="14">
        <f>[4]monthly!$F258</f>
        <v>2325.8254999999999</v>
      </c>
      <c r="E159" s="14">
        <f>[4]monthly!$G258</f>
        <v>1354.8724999999999</v>
      </c>
    </row>
    <row r="160" spans="1:5" ht="15.75" x14ac:dyDescent="0.25">
      <c r="A160" s="27">
        <v>39508</v>
      </c>
      <c r="B160" s="14">
        <f>[4]monthly!$D259</f>
        <v>1032.125</v>
      </c>
      <c r="C160" s="14">
        <f>[4]monthly!$E259</f>
        <v>953.97363636363661</v>
      </c>
      <c r="D160" s="14">
        <f>[4]monthly!$F259</f>
        <v>2254.8180000000002</v>
      </c>
      <c r="E160" s="14">
        <f>[4]monthly!$G259</f>
        <v>1316.943</v>
      </c>
    </row>
    <row r="161" spans="1:5" ht="15.75" x14ac:dyDescent="0.25">
      <c r="A161" s="27">
        <v>39539</v>
      </c>
      <c r="B161" s="14">
        <f>[4]monthly!$D260</f>
        <v>1069.0066666666667</v>
      </c>
      <c r="C161" s="14">
        <f>[4]monthly!$E260</f>
        <v>992.68428571428547</v>
      </c>
      <c r="D161" s="14">
        <f>[4]monthly!$F260</f>
        <v>2368.0995454545459</v>
      </c>
      <c r="E161" s="14">
        <f>[4]monthly!$G260</f>
        <v>1370.4690909090907</v>
      </c>
    </row>
    <row r="162" spans="1:5" ht="15.75" x14ac:dyDescent="0.25">
      <c r="A162" s="27">
        <v>39569</v>
      </c>
      <c r="B162" s="14">
        <f>[4]monthly!$D261</f>
        <v>1095.3578947368424</v>
      </c>
      <c r="C162" s="14">
        <f>[4]monthly!$E261</f>
        <v>1017.4910526315792</v>
      </c>
      <c r="D162" s="14">
        <f>[4]monthly!$F261</f>
        <v>2483.2409523809515</v>
      </c>
      <c r="E162" s="14">
        <f>[4]monthly!$G261</f>
        <v>1403.2176190476189</v>
      </c>
    </row>
    <row r="163" spans="1:5" ht="15.75" x14ac:dyDescent="0.25">
      <c r="A163" s="27">
        <v>39600</v>
      </c>
      <c r="B163" s="14">
        <f>[4]monthly!$D262</f>
        <v>1113.2710526315791</v>
      </c>
      <c r="C163" s="14">
        <f>[4]monthly!$E262</f>
        <v>1021.4605263157891</v>
      </c>
      <c r="D163" s="14">
        <f>[4]monthly!$F262</f>
        <v>2427.4542857142856</v>
      </c>
      <c r="E163" s="14">
        <f>[4]monthly!$G262</f>
        <v>1341.2509523809526</v>
      </c>
    </row>
    <row r="164" spans="1:5" ht="15.75" x14ac:dyDescent="0.25">
      <c r="A164" s="27">
        <v>39630</v>
      </c>
      <c r="B164" s="14">
        <f>[4]monthly!$D263</f>
        <v>1023.2650000000001</v>
      </c>
      <c r="C164" s="14">
        <f>[4]monthly!$E263</f>
        <v>929.76409090909078</v>
      </c>
      <c r="D164" s="14">
        <f>[4]monthly!$F263</f>
        <v>2278.1372727272724</v>
      </c>
      <c r="E164" s="14">
        <f>[4]monthly!$G263</f>
        <v>1257.3263636363636</v>
      </c>
    </row>
    <row r="165" spans="1:5" ht="15.75" x14ac:dyDescent="0.25">
      <c r="A165" s="27">
        <v>39661</v>
      </c>
      <c r="B165" s="14">
        <f>[4]monthly!$D264</f>
        <v>1022.1944999999998</v>
      </c>
      <c r="C165" s="14">
        <f>[4]monthly!$E264</f>
        <v>932.23549999999977</v>
      </c>
      <c r="D165" s="14">
        <f>[4]monthly!$F264</f>
        <v>2389.267142857143</v>
      </c>
      <c r="E165" s="14">
        <f>[4]monthly!$G264</f>
        <v>1281.4723809523809</v>
      </c>
    </row>
    <row r="166" spans="1:5" ht="15.75" x14ac:dyDescent="0.25">
      <c r="A166" s="27">
        <v>39692</v>
      </c>
      <c r="B166" s="14">
        <f>[4]monthly!$D265</f>
        <v>931.17100000000028</v>
      </c>
      <c r="C166" s="14">
        <f>[4]monthly!$E265</f>
        <v>846.99050000000022</v>
      </c>
      <c r="D166" s="14">
        <f>[4]monthly!$F265</f>
        <v>2205.6580952380955</v>
      </c>
      <c r="E166" s="14">
        <f>[4]monthly!$G265</f>
        <v>1217.0228571428572</v>
      </c>
    </row>
    <row r="167" spans="1:5" ht="15.75" x14ac:dyDescent="0.25">
      <c r="A167" s="27">
        <v>39722</v>
      </c>
      <c r="B167" s="14">
        <f>[4]monthly!$D266</f>
        <v>762.34466666666663</v>
      </c>
      <c r="C167" s="14">
        <f>[4]monthly!$E266</f>
        <v>681.77133333333336</v>
      </c>
      <c r="D167" s="14">
        <f>[4]monthly!$F266</f>
        <v>1730.3195652173906</v>
      </c>
      <c r="E167" s="14">
        <f>[4]monthly!$G266</f>
        <v>968.80086956521734</v>
      </c>
    </row>
    <row r="168" spans="1:5" ht="15.75" x14ac:dyDescent="0.25">
      <c r="A168" s="27">
        <v>39753</v>
      </c>
      <c r="B168" s="14">
        <f>[4]monthly!$D267</f>
        <v>698.33571428571429</v>
      </c>
      <c r="C168" s="14">
        <f>[4]monthly!$E267</f>
        <v>616.2395238095238</v>
      </c>
      <c r="D168" s="14">
        <f>[4]monthly!$F267</f>
        <v>1542.695789473684</v>
      </c>
      <c r="E168" s="14">
        <f>[4]monthly!$G267</f>
        <v>883.04052631578952</v>
      </c>
    </row>
    <row r="169" spans="1:5" ht="15.75" x14ac:dyDescent="0.25">
      <c r="A169" s="27">
        <v>39783</v>
      </c>
      <c r="B169" s="14">
        <f>[4]monthly!$D268</f>
        <v>663.13043478260863</v>
      </c>
      <c r="C169" s="14">
        <f>[4]monthly!$E268</f>
        <v>581.66565217391314</v>
      </c>
      <c r="D169" s="14">
        <f>[4]monthly!$F268</f>
        <v>1525.8904545454543</v>
      </c>
      <c r="E169" s="14">
        <f>[4]monthly!$G268</f>
        <v>877.56181818181801</v>
      </c>
    </row>
    <row r="170" spans="1:5" ht="15.75" x14ac:dyDescent="0.25">
      <c r="A170" s="27">
        <v>39814</v>
      </c>
      <c r="B170" s="14">
        <f>[4]monthly!$D269</f>
        <v>669.53666666666663</v>
      </c>
      <c r="C170" s="14">
        <f>[4]monthly!$E269</f>
        <v>596.31714285714293</v>
      </c>
      <c r="D170" s="14">
        <f>[4]monthly!$F269</f>
        <v>1537.2005000000001</v>
      </c>
      <c r="E170" s="14">
        <f>[4]monthly!$G269</f>
        <v>865.57550000000015</v>
      </c>
    </row>
    <row r="171" spans="1:5" ht="15.75" x14ac:dyDescent="0.25">
      <c r="A171" s="27">
        <v>39845</v>
      </c>
      <c r="B171" s="14">
        <f>[4]monthly!$D270</f>
        <v>677.37736842105278</v>
      </c>
      <c r="C171" s="14">
        <f>[4]monthly!$E270</f>
        <v>616.32789473684227</v>
      </c>
      <c r="D171" s="14">
        <f>[4]monthly!$F270</f>
        <v>1485.9768421052631</v>
      </c>
      <c r="E171" s="14">
        <f>[4]monthly!$G270</f>
        <v>805.22736842105257</v>
      </c>
    </row>
    <row r="172" spans="1:5" ht="15.75" x14ac:dyDescent="0.25">
      <c r="A172" s="27">
        <v>39873</v>
      </c>
      <c r="B172" s="14">
        <f>[4]monthly!$D271</f>
        <v>676.7590909090909</v>
      </c>
      <c r="C172" s="14">
        <f>[4]monthly!$E271</f>
        <v>613.67818181818177</v>
      </c>
      <c r="D172" s="14">
        <f>[4]monthly!$F271</f>
        <v>1432.2331818181819</v>
      </c>
      <c r="E172" s="14">
        <f>[4]monthly!$G271</f>
        <v>757.12681818181841</v>
      </c>
    </row>
    <row r="173" spans="1:5" ht="15.75" x14ac:dyDescent="0.25">
      <c r="A173" s="27">
        <v>39904</v>
      </c>
      <c r="B173" s="14">
        <f>[4]monthly!$D272</f>
        <v>774.05687499999999</v>
      </c>
      <c r="C173" s="14">
        <f>[4]monthly!$E272</f>
        <v>709.72250000000008</v>
      </c>
      <c r="D173" s="14">
        <f>[4]monthly!$F272</f>
        <v>1641.1476190476187</v>
      </c>
      <c r="E173" s="14">
        <f>[4]monthly!$G272</f>
        <v>848.15190476190469</v>
      </c>
    </row>
    <row r="174" spans="1:5" ht="15.75" x14ac:dyDescent="0.25">
      <c r="A174" s="27">
        <v>39934</v>
      </c>
      <c r="B174" s="14">
        <f>[4]monthly!$D273</f>
        <v>843.38499999999988</v>
      </c>
      <c r="C174" s="14">
        <f>[4]monthly!$E273</f>
        <v>771.76400000000001</v>
      </c>
      <c r="D174" s="14">
        <f>[4]monthly!$F273</f>
        <v>1726.0775000000001</v>
      </c>
      <c r="E174" s="14">
        <f>[4]monthly!$G273</f>
        <v>902.40849999999989</v>
      </c>
    </row>
    <row r="175" spans="1:5" ht="15.75" x14ac:dyDescent="0.25">
      <c r="A175" s="27">
        <v>39965</v>
      </c>
      <c r="B175" s="14">
        <f>[4]monthly!$D274</f>
        <v>866.66272727272735</v>
      </c>
      <c r="C175" s="14">
        <f>[4]monthly!$E274</f>
        <v>801.79272727272723</v>
      </c>
      <c r="D175" s="14">
        <f>[4]monthly!$F274</f>
        <v>1826.9881818181818</v>
      </c>
      <c r="E175" s="14">
        <f>[4]monthly!$G274</f>
        <v>926.1149999999999</v>
      </c>
    </row>
    <row r="176" spans="1:5" ht="15.75" x14ac:dyDescent="0.25">
      <c r="A176" s="27">
        <v>39995</v>
      </c>
      <c r="B176" s="14">
        <f>[4]monthly!$D275</f>
        <v>883.68619047619063</v>
      </c>
      <c r="C176" s="14">
        <f>[4]monthly!$E275</f>
        <v>820.39571428571435</v>
      </c>
      <c r="D176" s="14">
        <f>[4]monthly!$F275</f>
        <v>1873.8377272727275</v>
      </c>
      <c r="E176" s="14">
        <f>[4]monthly!$G275</f>
        <v>935.82136363636346</v>
      </c>
    </row>
    <row r="177" spans="1:5" ht="15.75" x14ac:dyDescent="0.25">
      <c r="A177" s="27">
        <v>40026</v>
      </c>
      <c r="B177" s="14">
        <f>[4]monthly!$D276</f>
        <v>961.09954545454525</v>
      </c>
      <c r="C177" s="14">
        <f>[4]monthly!$E276</f>
        <v>897.25681818181806</v>
      </c>
      <c r="D177" s="14">
        <f>[4]monthly!$F276</f>
        <v>1997.1552380952382</v>
      </c>
      <c r="E177" s="14">
        <f>[4]monthly!$G276</f>
        <v>1009.7247619047617</v>
      </c>
    </row>
    <row r="178" spans="1:5" ht="15.75" x14ac:dyDescent="0.25">
      <c r="A178" s="27">
        <v>40057</v>
      </c>
      <c r="B178" s="14">
        <f>[4]monthly!$D277</f>
        <v>971.5852631578947</v>
      </c>
      <c r="C178" s="14">
        <f>[4]monthly!$E277</f>
        <v>904.94157894736838</v>
      </c>
      <c r="D178" s="14">
        <f>[4]monthly!$F277</f>
        <v>2084.7471428571425</v>
      </c>
      <c r="E178" s="14">
        <f>[4]monthly!$G277</f>
        <v>1044.5523809523809</v>
      </c>
    </row>
    <row r="179" spans="1:5" ht="15.75" x14ac:dyDescent="0.25">
      <c r="A179" s="27">
        <v>40087</v>
      </c>
      <c r="B179" s="14">
        <f>[4]monthly!$D278</f>
        <v>1033.915238095238</v>
      </c>
      <c r="C179" s="14">
        <f>[4]monthly!$E278</f>
        <v>965.12333333333356</v>
      </c>
      <c r="D179" s="14">
        <f>[4]monthly!$F278</f>
        <v>2122.8495454545455</v>
      </c>
      <c r="E179" s="14">
        <f>[4]monthly!$G278</f>
        <v>1067.6636363636362</v>
      </c>
    </row>
    <row r="180" spans="1:5" ht="15.75" x14ac:dyDescent="0.25">
      <c r="A180" s="27">
        <v>40118</v>
      </c>
      <c r="B180" s="14">
        <f>[4]monthly!$D279</f>
        <v>1052.699090909091</v>
      </c>
      <c r="C180" s="14">
        <f>[4]monthly!$E279</f>
        <v>984.05227272727268</v>
      </c>
      <c r="D180" s="14">
        <f>[4]monthly!$F279</f>
        <v>2143.5325000000003</v>
      </c>
      <c r="E180" s="14">
        <f>[4]monthly!$G279</f>
        <v>1088.0690000000002</v>
      </c>
    </row>
    <row r="181" spans="1:5" ht="15.75" x14ac:dyDescent="0.25">
      <c r="A181" s="27">
        <v>40148</v>
      </c>
      <c r="B181" s="14">
        <f>[4]monthly!$D280</f>
        <v>1123.1878260869564</v>
      </c>
      <c r="C181" s="14">
        <f>[4]monthly!$E280</f>
        <v>1043.3682608695651</v>
      </c>
      <c r="D181" s="14">
        <f>[4]monthly!$F280</f>
        <v>2220.6</v>
      </c>
      <c r="E181" s="14">
        <f>[4]monthly!$G280</f>
        <v>1110.3777272727273</v>
      </c>
    </row>
    <row r="182" spans="1:5" ht="15.75" x14ac:dyDescent="0.25">
      <c r="A182" s="27">
        <v>40179</v>
      </c>
      <c r="B182" s="14">
        <f>[4]monthly!$D281</f>
        <v>1151.1300000000001</v>
      </c>
      <c r="C182" s="14">
        <f>[4]monthly!$E281</f>
        <v>1083.7842857142857</v>
      </c>
      <c r="D182" s="14">
        <f>[4]monthly!$F281</f>
        <v>2267.7747368421055</v>
      </c>
      <c r="E182" s="14">
        <f>[4]monthly!$G281</f>
        <v>1123.5815789473684</v>
      </c>
    </row>
    <row r="183" spans="1:5" ht="15.75" x14ac:dyDescent="0.25">
      <c r="A183" s="27">
        <v>40210</v>
      </c>
      <c r="B183" s="14">
        <f>[4]monthly!$D282</f>
        <v>1149.3663157894739</v>
      </c>
      <c r="C183" s="14">
        <f>[4]monthly!$E282</f>
        <v>1082.623157894737</v>
      </c>
      <c r="D183" s="14">
        <f>[4]monthly!$F282</f>
        <v>2194.44</v>
      </c>
      <c r="E183" s="14">
        <f>[4]monthly!$G282</f>
        <v>1089.1600000000001</v>
      </c>
    </row>
    <row r="184" spans="1:5" ht="15.75" x14ac:dyDescent="0.25">
      <c r="A184" s="27">
        <v>40238</v>
      </c>
      <c r="B184" s="14">
        <f>[4]monthly!$D283</f>
        <v>1211.2114285714285</v>
      </c>
      <c r="C184" s="14">
        <f>[4]monthly!$E283</f>
        <v>1144.1576190476189</v>
      </c>
      <c r="D184" s="14">
        <f>[4]monthly!$F283</f>
        <v>2362.2439130434782</v>
      </c>
      <c r="E184" s="14">
        <f>[4]monthly!$G283</f>
        <v>1152.0486956521738</v>
      </c>
    </row>
    <row r="185" spans="1:5" ht="15.75" x14ac:dyDescent="0.25">
      <c r="A185" s="27">
        <v>40269</v>
      </c>
      <c r="B185" s="14">
        <f>[4]monthly!$D284</f>
        <v>1211.8688235294119</v>
      </c>
      <c r="C185" s="14">
        <f>[4]monthly!$E284</f>
        <v>1139.359411764706</v>
      </c>
      <c r="D185" s="14">
        <f>[4]monthly!$F284</f>
        <v>2475.7199999999998</v>
      </c>
      <c r="E185" s="14">
        <f>[4]monthly!$G284</f>
        <v>1197.3161904761905</v>
      </c>
    </row>
    <row r="186" spans="1:5" ht="15.75" x14ac:dyDescent="0.25">
      <c r="A186" s="27">
        <v>40299</v>
      </c>
      <c r="B186" s="14">
        <f>[4]monthly!$D285</f>
        <v>1130.2324999999998</v>
      </c>
      <c r="C186" s="14">
        <f>[4]monthly!$E285</f>
        <v>1055.6065000000003</v>
      </c>
      <c r="D186" s="14">
        <f>[4]monthly!$F285</f>
        <v>2319.239</v>
      </c>
      <c r="E186" s="14">
        <f>[4]monthly!$G285</f>
        <v>1125.0620000000001</v>
      </c>
    </row>
    <row r="187" spans="1:5" ht="15.75" x14ac:dyDescent="0.25">
      <c r="A187" s="27">
        <v>40330</v>
      </c>
      <c r="B187" s="14">
        <f>[4]monthly!$D286</f>
        <v>1095.1786363636365</v>
      </c>
      <c r="C187" s="14">
        <f>[4]monthly!$E286</f>
        <v>1020.7</v>
      </c>
      <c r="D187" s="14">
        <f>[4]monthly!$F286</f>
        <v>2235.229545454546</v>
      </c>
      <c r="E187" s="14">
        <f>[4]monthly!$G286</f>
        <v>1083.3609090909092</v>
      </c>
    </row>
    <row r="188" spans="1:5" ht="15.75" x14ac:dyDescent="0.25">
      <c r="A188" s="27">
        <v>40360</v>
      </c>
      <c r="B188" s="14">
        <f>[4]monthly!$D287</f>
        <v>1100.9639999999995</v>
      </c>
      <c r="C188" s="14">
        <f>[4]monthly!$E287</f>
        <v>1021.0265000000003</v>
      </c>
      <c r="D188" s="14">
        <f>[4]monthly!$F287</f>
        <v>2210.2738095238092</v>
      </c>
      <c r="E188" s="14">
        <f>[4]monthly!$G287</f>
        <v>1079.8033333333333</v>
      </c>
    </row>
    <row r="189" spans="1:5" ht="15.75" x14ac:dyDescent="0.25">
      <c r="A189" s="27">
        <v>40391</v>
      </c>
      <c r="B189" s="14">
        <f>[4]monthly!$D288</f>
        <v>1148.7060869565219</v>
      </c>
      <c r="C189" s="14">
        <f>[4]monthly!$E288</f>
        <v>1057.4104347826085</v>
      </c>
      <c r="D189" s="14">
        <f>[4]monthly!$F288</f>
        <v>2205.2813636363639</v>
      </c>
      <c r="E189" s="14">
        <f>[4]monthly!$G288</f>
        <v>1087.282272727273</v>
      </c>
    </row>
    <row r="190" spans="1:5" ht="15.75" x14ac:dyDescent="0.25">
      <c r="A190" s="27">
        <v>40422</v>
      </c>
      <c r="B190" s="14">
        <f>[4]monthly!$D289</f>
        <v>1189.1437500000002</v>
      </c>
      <c r="C190" s="14">
        <f>[4]monthly!$E289</f>
        <v>1099.8043749999999</v>
      </c>
      <c r="D190" s="14">
        <f>[4]monthly!$F289</f>
        <v>2298.3461904761903</v>
      </c>
      <c r="E190" s="14">
        <f>[4]monthly!$G289</f>
        <v>1122.0819047619048</v>
      </c>
    </row>
    <row r="191" spans="1:5" ht="15.75" x14ac:dyDescent="0.25">
      <c r="A191" s="27">
        <v>40452</v>
      </c>
      <c r="B191" s="14">
        <f>[4]monthly!$D290</f>
        <v>1250.8847619047617</v>
      </c>
      <c r="C191" s="14">
        <f>[4]monthly!$E290</f>
        <v>1153.2209523809524</v>
      </c>
      <c r="D191" s="14">
        <f>[4]monthly!$F290</f>
        <v>2441.2957142857144</v>
      </c>
      <c r="E191" s="14">
        <f>[4]monthly!$G290</f>
        <v>1171.5838095238091</v>
      </c>
    </row>
    <row r="192" spans="1:5" ht="15.75" x14ac:dyDescent="0.25">
      <c r="A192" s="27">
        <v>40483</v>
      </c>
      <c r="B192" s="14">
        <f>[4]monthly!$D291</f>
        <v>1259.8627272727274</v>
      </c>
      <c r="C192" s="14">
        <f>[4]monthly!$E291</f>
        <v>1161.8559090909091</v>
      </c>
      <c r="D192" s="14">
        <f>[4]monthly!$F291</f>
        <v>2530.9895238095237</v>
      </c>
      <c r="E192" s="14">
        <f>[4]monthly!$G291</f>
        <v>1198.8885714285711</v>
      </c>
    </row>
    <row r="193" spans="1:5" ht="15.75" x14ac:dyDescent="0.25">
      <c r="A193" s="27">
        <v>40513</v>
      </c>
      <c r="B193" s="14">
        <f>[4]monthly!$D292</f>
        <v>1300.1845454545453</v>
      </c>
      <c r="C193" s="14">
        <f>[4]monthly!$E292</f>
        <v>1200.6645454545455</v>
      </c>
      <c r="D193" s="14">
        <f>[4]monthly!$F292</f>
        <v>2631.5604545454548</v>
      </c>
      <c r="E193" s="14">
        <f>[4]monthly!$G292</f>
        <v>1241.5254545454545</v>
      </c>
    </row>
    <row r="194" spans="1:5" ht="15.75" x14ac:dyDescent="0.25">
      <c r="A194" s="27">
        <v>40544</v>
      </c>
      <c r="B194" s="14">
        <f>[4]monthly!$D293</f>
        <v>1329.3127272727274</v>
      </c>
      <c r="C194" s="14">
        <f>[4]monthly!$E293</f>
        <v>1235.4386363636363</v>
      </c>
      <c r="D194" s="14">
        <f>[4]monthly!$F293</f>
        <v>2717.2085000000002</v>
      </c>
      <c r="E194" s="14">
        <f>[4]monthly!$G293</f>
        <v>1282.6185</v>
      </c>
    </row>
    <row r="195" spans="1:5" ht="15.75" x14ac:dyDescent="0.25">
      <c r="A195" s="27">
        <v>40575</v>
      </c>
      <c r="B195" s="14">
        <f>[4]monthly!$D294</f>
        <v>1310.5545</v>
      </c>
      <c r="C195" s="14">
        <f>[4]monthly!$E294</f>
        <v>1213.9845</v>
      </c>
      <c r="D195" s="14">
        <f>[4]monthly!$F294</f>
        <v>2783.535789473684</v>
      </c>
      <c r="E195" s="14">
        <f>[4]monthly!$G294</f>
        <v>1321.1178947368419</v>
      </c>
    </row>
    <row r="196" spans="1:5" ht="15.75" x14ac:dyDescent="0.25">
      <c r="A196" s="27">
        <v>40603</v>
      </c>
      <c r="B196" s="14">
        <f>[4]monthly!$D295</f>
        <v>1278.0859090909087</v>
      </c>
      <c r="C196" s="14">
        <f>[4]monthly!$E295</f>
        <v>1171.7290909090909</v>
      </c>
      <c r="D196" s="14">
        <f>[4]monthly!$F295</f>
        <v>2722.2891304347831</v>
      </c>
      <c r="E196" s="14">
        <f>[4]monthly!$G295</f>
        <v>1304.4865217391302</v>
      </c>
    </row>
    <row r="197" spans="1:5" ht="15.75" x14ac:dyDescent="0.25">
      <c r="A197" s="27">
        <v>40634</v>
      </c>
      <c r="B197" s="14">
        <f>[4]monthly!$D296</f>
        <v>1330.684375</v>
      </c>
      <c r="C197" s="14">
        <f>[4]monthly!$E296</f>
        <v>1210.953125</v>
      </c>
      <c r="D197" s="14">
        <f>[4]monthly!$F296</f>
        <v>2797.0720000000001</v>
      </c>
      <c r="E197" s="14">
        <f>[4]monthly!$G296</f>
        <v>1331.5050000000001</v>
      </c>
    </row>
    <row r="198" spans="1:5" ht="15.75" x14ac:dyDescent="0.25">
      <c r="A198" s="27">
        <v>40664</v>
      </c>
      <c r="B198" s="14">
        <f>[4]monthly!$D297</f>
        <v>1274.8371428571429</v>
      </c>
      <c r="C198" s="14">
        <f>[4]monthly!$E297</f>
        <v>1158.1385714285711</v>
      </c>
      <c r="D198" s="14">
        <f>[4]monthly!$F297</f>
        <v>2815.0757142857146</v>
      </c>
      <c r="E198" s="14">
        <f>[4]monthly!$G297</f>
        <v>1338.3104761904758</v>
      </c>
    </row>
    <row r="199" spans="1:5" ht="15.75" x14ac:dyDescent="0.25">
      <c r="A199" s="27">
        <v>40695</v>
      </c>
      <c r="B199" s="14">
        <f>[4]monthly!$D298</f>
        <v>1217.6730000000002</v>
      </c>
      <c r="C199" s="14">
        <f>[4]monthly!$E298</f>
        <v>1105.7729999999999</v>
      </c>
      <c r="D199" s="14">
        <f>[4]monthly!$F298</f>
        <v>2687.7627272727268</v>
      </c>
      <c r="E199" s="14">
        <f>[4]monthly!$G298</f>
        <v>1287.2886363636362</v>
      </c>
    </row>
    <row r="200" spans="1:5" ht="15.75" x14ac:dyDescent="0.25">
      <c r="A200" s="27">
        <v>40725</v>
      </c>
      <c r="B200" s="14">
        <f>[4]monthly!$D299</f>
        <v>1251.5471428571429</v>
      </c>
      <c r="C200" s="14">
        <f>[4]monthly!$E299</f>
        <v>1137.6571428571428</v>
      </c>
      <c r="D200" s="14">
        <f>[4]monthly!$F299</f>
        <v>2810.5754999999999</v>
      </c>
      <c r="E200" s="14">
        <f>[4]monthly!$G299</f>
        <v>1325.1844999999998</v>
      </c>
    </row>
    <row r="201" spans="1:5" ht="15.75" x14ac:dyDescent="0.25">
      <c r="A201" s="27">
        <v>40756</v>
      </c>
      <c r="B201" s="14">
        <f>[4]monthly!$D300</f>
        <v>1109.99</v>
      </c>
      <c r="C201" s="14">
        <f>[4]monthly!$E300</f>
        <v>999.18545454545449</v>
      </c>
      <c r="D201" s="14">
        <f>[4]monthly!$F300</f>
        <v>2504.623043478261</v>
      </c>
      <c r="E201" s="14">
        <f>[4]monthly!$G300</f>
        <v>1185.3056521739127</v>
      </c>
    </row>
    <row r="202" spans="1:5" ht="15.75" x14ac:dyDescent="0.25">
      <c r="A202" s="27">
        <v>40787</v>
      </c>
      <c r="B202" s="14">
        <f>[4]monthly!$D301</f>
        <v>1056.522105263158</v>
      </c>
      <c r="C202" s="14">
        <f>[4]monthly!$E301</f>
        <v>951.38052631578944</v>
      </c>
      <c r="D202" s="14">
        <f>[4]monthly!$F301</f>
        <v>2524.1361904761911</v>
      </c>
      <c r="E202" s="14">
        <f>[4]monthly!$G301</f>
        <v>1173.8790476190479</v>
      </c>
    </row>
    <row r="203" spans="1:5" ht="15.75" x14ac:dyDescent="0.25">
      <c r="A203" s="27">
        <v>40817</v>
      </c>
      <c r="B203" s="14">
        <f>[4]monthly!$D302</f>
        <v>1100.6366666666665</v>
      </c>
      <c r="C203" s="14">
        <f>[4]monthly!$E302</f>
        <v>995.38777777777773</v>
      </c>
      <c r="D203" s="14">
        <f>[4]monthly!$F302</f>
        <v>2594.7819047619046</v>
      </c>
      <c r="E203" s="14">
        <f>[4]monthly!$G302</f>
        <v>1207.2161904761904</v>
      </c>
    </row>
    <row r="204" spans="1:5" ht="15.75" x14ac:dyDescent="0.25">
      <c r="A204" s="27">
        <v>40848</v>
      </c>
      <c r="B204" s="14">
        <f>[4]monthly!$D303</f>
        <v>1085.1700000000003</v>
      </c>
      <c r="C204" s="14">
        <f>[4]monthly!$E303</f>
        <v>984.75045454545432</v>
      </c>
      <c r="D204" s="14">
        <f>[4]monthly!$F303</f>
        <v>2606.2890476190478</v>
      </c>
      <c r="E204" s="14">
        <f>[4]monthly!$G303</f>
        <v>1226.4147619047619</v>
      </c>
    </row>
    <row r="205" spans="1:5" ht="15.75" x14ac:dyDescent="0.25">
      <c r="A205" s="27">
        <v>40878</v>
      </c>
      <c r="B205" s="14">
        <f>[4]monthly!$D304</f>
        <v>1092.3142857142859</v>
      </c>
      <c r="C205" s="14">
        <f>[4]monthly!$E304</f>
        <v>987.49952380952391</v>
      </c>
      <c r="D205" s="14">
        <f>[4]monthly!$F304</f>
        <v>2601.6700000000005</v>
      </c>
      <c r="E205" s="14">
        <f>[4]monthly!$G304</f>
        <v>1243.3228571428572</v>
      </c>
    </row>
    <row r="206" spans="1:5" ht="15.75" x14ac:dyDescent="0.25">
      <c r="A206" s="27">
        <v>40909</v>
      </c>
      <c r="B206" s="14">
        <f>[4]monthly!$D305</f>
        <v>1120.6378260869565</v>
      </c>
      <c r="C206" s="14">
        <f>[4]monthly!$E305</f>
        <v>1015.8969565217393</v>
      </c>
      <c r="D206" s="14">
        <f>[4]monthly!$F305</f>
        <v>2743.7949999999996</v>
      </c>
      <c r="E206" s="14">
        <f>[4]monthly!$G305</f>
        <v>1300.5780000000002</v>
      </c>
    </row>
    <row r="207" spans="1:5" ht="15.75" x14ac:dyDescent="0.25">
      <c r="A207" s="27">
        <v>40940</v>
      </c>
      <c r="B207" s="14">
        <f>[4]monthly!$D306</f>
        <v>1107.2242105263156</v>
      </c>
      <c r="C207" s="14">
        <f>[4]monthly!$E306</f>
        <v>1008.9189473684212</v>
      </c>
      <c r="D207" s="14">
        <f>[4]monthly!$F306</f>
        <v>2928.9805000000006</v>
      </c>
      <c r="E207" s="14">
        <f>[4]monthly!$G306</f>
        <v>1352.4875</v>
      </c>
    </row>
    <row r="208" spans="1:5" ht="15.75" x14ac:dyDescent="0.25">
      <c r="A208" s="27">
        <v>40969</v>
      </c>
      <c r="B208" s="14">
        <f>[4]monthly!$D307</f>
        <v>1107.9384999999997</v>
      </c>
      <c r="C208" s="14">
        <f>[4]monthly!$E307</f>
        <v>1015.793</v>
      </c>
      <c r="D208" s="14">
        <f>[4]monthly!$F307</f>
        <v>3035.9159090909093</v>
      </c>
      <c r="E208" s="14">
        <f>[4]monthly!$G307</f>
        <v>1389.24</v>
      </c>
    </row>
    <row r="209" spans="1:5" ht="15.75" x14ac:dyDescent="0.25">
      <c r="A209" s="27">
        <v>41000</v>
      </c>
      <c r="B209" s="14">
        <f>[4]monthly!$D308</f>
        <v>1143.3521052631579</v>
      </c>
      <c r="C209" s="14">
        <f>[4]monthly!$E308</f>
        <v>1051.4126315789474</v>
      </c>
      <c r="D209" s="14">
        <f>[4]monthly!$F308</f>
        <v>3035.1014999999993</v>
      </c>
      <c r="E209" s="14">
        <f>[4]monthly!$G308</f>
        <v>1386.4289999999996</v>
      </c>
    </row>
    <row r="210" spans="1:5" ht="15.75" x14ac:dyDescent="0.25">
      <c r="A210" s="27">
        <v>41030</v>
      </c>
      <c r="B210" s="14">
        <f>[4]monthly!$D309</f>
        <v>1102.028181818182</v>
      </c>
      <c r="C210" s="14">
        <f>[4]monthly!$E309</f>
        <v>1010.9859090909089</v>
      </c>
      <c r="D210" s="14">
        <f>[4]monthly!$F309</f>
        <v>2900.409090909091</v>
      </c>
      <c r="E210" s="14">
        <f>[4]monthly!$G309</f>
        <v>1341.2727272727273</v>
      </c>
    </row>
    <row r="211" spans="1:5" ht="15.75" x14ac:dyDescent="0.25">
      <c r="A211" s="27">
        <v>41061</v>
      </c>
      <c r="B211" s="14">
        <f>[4]monthly!$D310</f>
        <v>1069.0335000000002</v>
      </c>
      <c r="C211" s="14">
        <f>[4]monthly!$E310</f>
        <v>983.25500000000011</v>
      </c>
      <c r="D211" s="14">
        <f>[4]monthly!$F310</f>
        <v>2850.3538095238091</v>
      </c>
      <c r="E211" s="14">
        <f>[4]monthly!$G310</f>
        <v>1323.4842857142858</v>
      </c>
    </row>
    <row r="212" spans="1:5" ht="15.75" x14ac:dyDescent="0.25">
      <c r="A212" s="27">
        <v>41091</v>
      </c>
      <c r="B212" s="14">
        <f>[4]monthly!$D311</f>
        <v>1075.9586363636365</v>
      </c>
      <c r="C212" s="14">
        <f>[4]monthly!$E311</f>
        <v>980.54363636363632</v>
      </c>
      <c r="D212" s="14">
        <f>[4]monthly!$F311</f>
        <v>2920.1123809523806</v>
      </c>
      <c r="E212" s="14">
        <f>[4]monthly!$G311</f>
        <v>1359.7761904761905</v>
      </c>
    </row>
    <row r="213" spans="1:5" ht="15.75" x14ac:dyDescent="0.25">
      <c r="A213" s="27">
        <v>41122</v>
      </c>
      <c r="B213" s="14">
        <f>[4]monthly!$D312</f>
        <v>1105.7922727272723</v>
      </c>
      <c r="C213" s="14">
        <f>[4]monthly!$E312</f>
        <v>988.28136363636372</v>
      </c>
      <c r="D213" s="14">
        <f>[4]monthly!$F312</f>
        <v>3032.666521739131</v>
      </c>
      <c r="E213" s="14">
        <f>[4]monthly!$G312</f>
        <v>1403.448260869565</v>
      </c>
    </row>
    <row r="214" spans="1:5" ht="15.75" x14ac:dyDescent="0.25">
      <c r="A214" s="27">
        <v>41153</v>
      </c>
      <c r="B214" s="14">
        <f>[4]monthly!$D313</f>
        <v>1134.2506666666666</v>
      </c>
      <c r="C214" s="14">
        <f>[4]monthly!$E313</f>
        <v>1010.5766666666667</v>
      </c>
      <c r="D214" s="14">
        <f>[4]monthly!$F313</f>
        <v>3136.802631578948</v>
      </c>
      <c r="E214" s="14">
        <f>[4]monthly!$G313</f>
        <v>1443.4194736842105</v>
      </c>
    </row>
    <row r="215" spans="1:5" ht="15.75" x14ac:dyDescent="0.25">
      <c r="A215" s="27">
        <v>41183</v>
      </c>
      <c r="B215" s="14">
        <f>[4]monthly!$D314</f>
        <v>1213.7190000000003</v>
      </c>
      <c r="C215" s="14">
        <f>[4]monthly!$E314</f>
        <v>1075.3390000000002</v>
      </c>
      <c r="D215" s="14">
        <f>[4]monthly!$F314</f>
        <v>3060.2619047619046</v>
      </c>
      <c r="E215" s="14">
        <f>[4]monthly!$G314</f>
        <v>1437.8166666666666</v>
      </c>
    </row>
    <row r="216" spans="1:5" ht="15.75" x14ac:dyDescent="0.25">
      <c r="A216" s="27">
        <v>41214</v>
      </c>
      <c r="B216" s="14">
        <f>[4]monthly!$D315</f>
        <v>1212.8638095238098</v>
      </c>
      <c r="C216" s="14">
        <f>[4]monthly!$E315</f>
        <v>1072.5809523809523</v>
      </c>
      <c r="D216" s="14">
        <f>[4]monthly!$F315</f>
        <v>2941.0147619047616</v>
      </c>
      <c r="E216" s="14">
        <f>[4]monthly!$G315</f>
        <v>1394.5123809523811</v>
      </c>
    </row>
    <row r="217" spans="1:5" ht="15.75" x14ac:dyDescent="0.25">
      <c r="A217" s="27">
        <v>41244</v>
      </c>
      <c r="B217" s="14">
        <f>[4]monthly!$D316</f>
        <v>1215.9640909090906</v>
      </c>
      <c r="C217" s="14">
        <f>[4]monthly!$E316</f>
        <v>1073.471818181818</v>
      </c>
      <c r="D217" s="14">
        <f>[4]monthly!$F316</f>
        <v>3003.7920000000004</v>
      </c>
      <c r="E217" s="14">
        <f>[4]monthly!$G316</f>
        <v>1422.2854999999997</v>
      </c>
    </row>
    <row r="218" spans="1:5" ht="15.75" x14ac:dyDescent="0.25">
      <c r="A218" s="27">
        <v>41275</v>
      </c>
      <c r="B218" s="14">
        <f>[4]monthly!$D317</f>
        <v>1203.8918181818183</v>
      </c>
      <c r="C218" s="14">
        <f>[4]monthly!$E317</f>
        <v>1069.2804545454546</v>
      </c>
      <c r="D218" s="14">
        <f>[4]monthly!$F317</f>
        <v>3125.9138095238095</v>
      </c>
      <c r="E218" s="14">
        <f>[4]monthly!$G317</f>
        <v>1480.3952380952383</v>
      </c>
    </row>
    <row r="219" spans="1:5" ht="15.75" x14ac:dyDescent="0.25">
      <c r="A219" s="27">
        <v>41306</v>
      </c>
      <c r="B219" s="14">
        <f>[4]monthly!$D318</f>
        <v>1216.7152631578949</v>
      </c>
      <c r="C219" s="14">
        <f>[4]monthly!$E318</f>
        <v>1084.9652631578949</v>
      </c>
      <c r="D219" s="14">
        <f>[4]monthly!$F318</f>
        <v>3169.2131578947369</v>
      </c>
      <c r="E219" s="14">
        <f>[4]monthly!$G318</f>
        <v>1512.3115789473684</v>
      </c>
    </row>
    <row r="220" spans="1:5" ht="15.75" x14ac:dyDescent="0.25">
      <c r="A220" s="27">
        <v>41334</v>
      </c>
      <c r="B220" s="14">
        <f>[4]monthly!$D319</f>
        <v>1236.5022222222224</v>
      </c>
      <c r="C220" s="14">
        <f>[4]monthly!$E319</f>
        <v>1101.8861111111112</v>
      </c>
      <c r="D220" s="14">
        <f>[4]monthly!$F319</f>
        <v>3236.1664999999998</v>
      </c>
      <c r="E220" s="14">
        <f>[4]monthly!$G319</f>
        <v>1550.8289999999995</v>
      </c>
    </row>
    <row r="221" spans="1:5" ht="15.75" x14ac:dyDescent="0.25">
      <c r="A221" s="27">
        <v>41365</v>
      </c>
      <c r="B221" s="14">
        <f>[4]monthly!$D320</f>
        <v>1218.0599999999997</v>
      </c>
      <c r="C221" s="14">
        <f>[4]monthly!$E320</f>
        <v>1086.9710526315791</v>
      </c>
      <c r="D221" s="14">
        <f>[4]monthly!$F320</f>
        <v>3251.3518181818176</v>
      </c>
      <c r="E221" s="14">
        <f>[4]monthly!$G320</f>
        <v>1570.7022727272727</v>
      </c>
    </row>
    <row r="222" spans="1:5" ht="15.75" x14ac:dyDescent="0.25">
      <c r="A222" s="27">
        <v>41395</v>
      </c>
      <c r="B222" s="14">
        <f>[4]monthly!$D321</f>
        <v>1217.3235</v>
      </c>
      <c r="C222" s="14">
        <f>[4]monthly!$E321</f>
        <v>1093.1699999999998</v>
      </c>
      <c r="D222" s="14">
        <f>[4]monthly!$F321</f>
        <v>3440.3754545454549</v>
      </c>
      <c r="E222" s="14">
        <f>[4]monthly!$G321</f>
        <v>1639.8427272727274</v>
      </c>
    </row>
    <row r="223" spans="1:5" ht="15.75" x14ac:dyDescent="0.25">
      <c r="A223" s="27">
        <v>41426</v>
      </c>
      <c r="B223" s="14">
        <f>[4]monthly!$D322</f>
        <v>1218.0395238095239</v>
      </c>
      <c r="C223" s="14">
        <f>[4]monthly!$E322</f>
        <v>1094.0109523809526</v>
      </c>
      <c r="D223" s="14">
        <f>[4]monthly!$F322</f>
        <v>3416.7415000000001</v>
      </c>
      <c r="E223" s="14">
        <f>[4]monthly!$G322</f>
        <v>1618.7725</v>
      </c>
    </row>
    <row r="224" spans="1:5" ht="15.75" x14ac:dyDescent="0.25">
      <c r="A224" s="27">
        <v>41456</v>
      </c>
      <c r="B224" s="14">
        <f>[4]monthly!$D323</f>
        <v>1214.369090909091</v>
      </c>
      <c r="C224" s="14">
        <f>[4]monthly!$E323</f>
        <v>1097.3695454545452</v>
      </c>
      <c r="D224" s="14">
        <f>[4]monthly!$F323</f>
        <v>3559.7109090909084</v>
      </c>
      <c r="E224" s="14">
        <f>[4]monthly!$G323</f>
        <v>1668.6754545454546</v>
      </c>
    </row>
    <row r="225" spans="1:5" ht="15.75" x14ac:dyDescent="0.25">
      <c r="A225" s="27">
        <v>41487</v>
      </c>
      <c r="B225" s="14">
        <f>[4]monthly!$D324</f>
        <v>1198.7642857142855</v>
      </c>
      <c r="C225" s="14">
        <f>[4]monthly!$E324</f>
        <v>1094.4709523809524</v>
      </c>
      <c r="D225" s="14">
        <f>[4]monthly!$F324</f>
        <v>3639.9286363636365</v>
      </c>
      <c r="E225" s="14">
        <f>[4]monthly!$G324</f>
        <v>1670.0936363636363</v>
      </c>
    </row>
    <row r="226" spans="1:5" ht="15.75" x14ac:dyDescent="0.25">
      <c r="A226" s="27">
        <v>41518</v>
      </c>
      <c r="B226" s="14">
        <f>[4]monthly!$D325</f>
        <v>1219.0574999999999</v>
      </c>
      <c r="C226" s="14">
        <f>[4]monthly!$E325</f>
        <v>1108.7937499999998</v>
      </c>
      <c r="D226" s="14">
        <f>[4]monthly!$F325</f>
        <v>3731.2619999999997</v>
      </c>
      <c r="E226" s="14">
        <f>[4]monthly!$G325</f>
        <v>1687.1735000000001</v>
      </c>
    </row>
    <row r="227" spans="1:5" ht="15.75" x14ac:dyDescent="0.25">
      <c r="A227" s="27">
        <v>41548</v>
      </c>
      <c r="B227" s="14">
        <f>[4]monthly!$D326</f>
        <v>1288.7921739130436</v>
      </c>
      <c r="C227" s="14">
        <f>[4]monthly!$E326</f>
        <v>1164.248260869565</v>
      </c>
      <c r="D227" s="14">
        <f>[4]monthly!$F326</f>
        <v>3848.202608695653</v>
      </c>
      <c r="E227" s="14">
        <f>[4]monthly!$G326</f>
        <v>1720.0265217391304</v>
      </c>
    </row>
    <row r="228" spans="1:5" ht="15.75" x14ac:dyDescent="0.25">
      <c r="A228" s="27">
        <v>41579</v>
      </c>
      <c r="B228" s="14">
        <f>[4]monthly!$D327</f>
        <v>1325.5605</v>
      </c>
      <c r="C228" s="14">
        <f>[4]monthly!$E327</f>
        <v>1197.8679999999999</v>
      </c>
      <c r="D228" s="14">
        <f>[4]monthly!$F327</f>
        <v>3957.5330000000004</v>
      </c>
      <c r="E228" s="14">
        <f>[4]monthly!$G327</f>
        <v>1783.5409999999997</v>
      </c>
    </row>
    <row r="229" spans="1:5" ht="15.75" x14ac:dyDescent="0.25">
      <c r="A229" s="27">
        <v>41609</v>
      </c>
      <c r="B229" s="14">
        <f>[4]monthly!$D328</f>
        <v>1342.8173913043479</v>
      </c>
      <c r="C229" s="14">
        <f>[4]monthly!$E328</f>
        <v>1207.8078260869563</v>
      </c>
      <c r="D229" s="14">
        <f>[4]monthly!$F328</f>
        <v>4075.8857142857137</v>
      </c>
      <c r="E229" s="14">
        <f>[4]monthly!$G328</f>
        <v>1807.7752380952381</v>
      </c>
    </row>
    <row r="230" spans="1:5" ht="15.75" x14ac:dyDescent="0.25">
      <c r="A230" s="27">
        <v>41640</v>
      </c>
      <c r="B230" s="14">
        <f>[4]monthly!$D329</f>
        <v>1326.8063636363636</v>
      </c>
      <c r="C230" s="14">
        <f>[4]monthly!$E329</f>
        <v>1219.6963636363635</v>
      </c>
      <c r="D230" s="14">
        <f>[4]monthly!$F329</f>
        <v>4154.3619047619059</v>
      </c>
      <c r="E230" s="14">
        <f>[4]monthly!$G329</f>
        <v>1822.3566666666666</v>
      </c>
    </row>
    <row r="231" spans="1:5" ht="15.75" x14ac:dyDescent="0.25">
      <c r="A231" s="27">
        <v>41671</v>
      </c>
      <c r="B231" s="14">
        <f>[4]monthly!$D330</f>
        <v>1317.3595</v>
      </c>
      <c r="C231" s="14">
        <f>[4]monthly!$E330</f>
        <v>1218.3059999999998</v>
      </c>
      <c r="D231" s="14">
        <f>[4]monthly!$F330</f>
        <v>4199.4510526315789</v>
      </c>
      <c r="E231" s="14">
        <f>[4]monthly!$G330</f>
        <v>1817.0347368421051</v>
      </c>
    </row>
    <row r="232" spans="1:5" ht="15.75" x14ac:dyDescent="0.25">
      <c r="A232" s="27">
        <v>41699</v>
      </c>
      <c r="B232" s="14">
        <f>[4]monthly!$D331</f>
        <v>1378.1519047619047</v>
      </c>
      <c r="C232" s="14">
        <f>[4]monthly!$E331</f>
        <v>1273.445238095238</v>
      </c>
      <c r="D232" s="14">
        <f>[4]monthly!$F331</f>
        <v>4276.3590476190484</v>
      </c>
      <c r="E232" s="14">
        <f>[4]monthly!$G331</f>
        <v>1864.1623809523808</v>
      </c>
    </row>
    <row r="233" spans="1:5" ht="15.75" x14ac:dyDescent="0.25">
      <c r="A233" s="27">
        <v>41730</v>
      </c>
      <c r="B233" s="14">
        <f>[4]monthly!$D332</f>
        <v>1401.5227777777779</v>
      </c>
      <c r="C233" s="14">
        <f>[4]monthly!$E332</f>
        <v>1277.5111111111109</v>
      </c>
      <c r="D233" s="14">
        <f>[4]monthly!$F332</f>
        <v>4119.3061904761898</v>
      </c>
      <c r="E233" s="14">
        <f>[4]monthly!$G332</f>
        <v>1864.2633333333333</v>
      </c>
    </row>
    <row r="234" spans="1:5" ht="15.75" x14ac:dyDescent="0.25">
      <c r="A234" s="27">
        <v>41760</v>
      </c>
      <c r="B234" s="14">
        <f>[4]monthly!$D333</f>
        <v>1385.5247368421053</v>
      </c>
      <c r="C234" s="14">
        <f>[4]monthly!$E333</f>
        <v>1251.1326315789477</v>
      </c>
      <c r="D234" s="14">
        <f>[4]monthly!$F333</f>
        <v>4135.3742857142852</v>
      </c>
      <c r="E234" s="14">
        <f>[4]monthly!$G333</f>
        <v>1889.7671428571425</v>
      </c>
    </row>
    <row r="235" spans="1:5" ht="15.75" x14ac:dyDescent="0.25">
      <c r="A235" s="27">
        <v>41791</v>
      </c>
      <c r="B235" s="14">
        <f>[4]monthly!$D334</f>
        <v>1398.9444999999998</v>
      </c>
      <c r="C235" s="14">
        <f>[4]monthly!$E334</f>
        <v>1260.2860000000001</v>
      </c>
      <c r="D235" s="14">
        <f>[4]monthly!$F334</f>
        <v>4332.7376190476189</v>
      </c>
      <c r="E235" s="14">
        <f>[4]monthly!$G334</f>
        <v>1947.0876190476192</v>
      </c>
    </row>
    <row r="236" spans="1:5" ht="15.75" x14ac:dyDescent="0.25">
      <c r="A236" s="27">
        <v>41821</v>
      </c>
      <c r="B236" s="14">
        <f>[4]monthly!$D335</f>
        <v>1390.4969565217393</v>
      </c>
      <c r="C236" s="14">
        <f>[4]monthly!$E335</f>
        <v>1251.4947826086955</v>
      </c>
      <c r="D236" s="14">
        <f>[4]monthly!$F335</f>
        <v>4434.1259090909089</v>
      </c>
      <c r="E236" s="14">
        <f>[4]monthly!$G335</f>
        <v>1973.0999999999995</v>
      </c>
    </row>
    <row r="237" spans="1:5" ht="15.75" x14ac:dyDescent="0.25">
      <c r="A237" s="27">
        <v>41852</v>
      </c>
      <c r="B237" s="14">
        <f>[4]monthly!$D336</f>
        <v>1387.6545000000001</v>
      </c>
      <c r="C237" s="14">
        <f>[4]monthly!$E336</f>
        <v>1243.373</v>
      </c>
      <c r="D237" s="14">
        <f>[4]monthly!$F336</f>
        <v>4464.8314285714287</v>
      </c>
      <c r="E237" s="14">
        <f>[4]monthly!$G336</f>
        <v>1961.5319047619046</v>
      </c>
    </row>
    <row r="238" spans="1:5" ht="15.75" x14ac:dyDescent="0.25">
      <c r="A238" s="27">
        <v>41883</v>
      </c>
      <c r="B238" s="14">
        <f>[4]monthly!$D337</f>
        <v>1435.2114999999999</v>
      </c>
      <c r="C238" s="14">
        <f>[4]monthly!$E337</f>
        <v>1291.9750000000001</v>
      </c>
      <c r="D238" s="14">
        <f>[4]monthly!$F337</f>
        <v>4551.5857142857149</v>
      </c>
      <c r="E238" s="14">
        <f>[4]monthly!$G337</f>
        <v>1993.2261904761908</v>
      </c>
    </row>
    <row r="239" spans="1:5" ht="15.75" x14ac:dyDescent="0.25">
      <c r="A239" s="27">
        <v>41913</v>
      </c>
      <c r="B239" s="14">
        <f>[4]monthly!$D338</f>
        <v>1444.2611111111112</v>
      </c>
      <c r="C239" s="14">
        <f>[4]monthly!$E338</f>
        <v>1291.8405555555555</v>
      </c>
      <c r="D239" s="14">
        <f>[4]monthly!$F338</f>
        <v>4403.2304347826084</v>
      </c>
      <c r="E239" s="14">
        <f>[4]monthly!$G338</f>
        <v>1937.2743478260873</v>
      </c>
    </row>
    <row r="240" spans="1:5" ht="15.75" x14ac:dyDescent="0.25">
      <c r="A240" s="27">
        <v>41944</v>
      </c>
      <c r="B240" s="14">
        <f>[4]monthly!$D339</f>
        <v>1450.8528571428569</v>
      </c>
      <c r="C240" s="14">
        <f>[4]monthly!$E339</f>
        <v>1294.195238095238</v>
      </c>
      <c r="D240" s="14">
        <f>[4]monthly!$F339</f>
        <v>4687.7026315789481</v>
      </c>
      <c r="E240" s="14">
        <f>[4]monthly!$G339</f>
        <v>2044.5721052631579</v>
      </c>
    </row>
    <row r="241" spans="1:5" ht="15.75" x14ac:dyDescent="0.25">
      <c r="A241" s="27">
        <v>41974</v>
      </c>
      <c r="B241" s="14">
        <f>[4]monthly!$D340</f>
        <v>1474.5382608695647</v>
      </c>
      <c r="C241" s="14">
        <f>[4]monthly!$E340</f>
        <v>1304.8934782608696</v>
      </c>
      <c r="D241" s="14">
        <f>[4]monthly!$F340</f>
        <v>4732.7009090909087</v>
      </c>
      <c r="E241" s="14">
        <f>[4]monthly!$G340</f>
        <v>2054.2663636363636</v>
      </c>
    </row>
    <row r="242" spans="1:5" ht="15.75" x14ac:dyDescent="0.25">
      <c r="A242" s="27">
        <v>42005</v>
      </c>
      <c r="B242" s="14">
        <f>[4]monthly!$D341</f>
        <v>1460.8738095238095</v>
      </c>
      <c r="C242" s="14">
        <f>[4]monthly!$E341</f>
        <v>1280.7571428571432</v>
      </c>
      <c r="D242" s="14">
        <f>[4]monthly!$F341</f>
        <v>4673.7015000000001</v>
      </c>
      <c r="E242" s="14">
        <f>[4]monthly!$G341</f>
        <v>2028.1785</v>
      </c>
    </row>
    <row r="243" spans="1:5" ht="15.75" x14ac:dyDescent="0.25">
      <c r="A243" s="27">
        <v>42036</v>
      </c>
      <c r="B243" s="14">
        <f>[4]monthly!$D342</f>
        <v>1473.1334999999999</v>
      </c>
      <c r="C243" s="14">
        <f>[4]monthly!$E342</f>
        <v>1298.471</v>
      </c>
      <c r="D243" s="14">
        <f>[4]monthly!$F342</f>
        <v>4854.2557894736847</v>
      </c>
      <c r="E243" s="14">
        <f>[4]monthly!$G342</f>
        <v>2082.1957894736843</v>
      </c>
    </row>
    <row r="244" spans="1:5" ht="15.75" x14ac:dyDescent="0.25">
      <c r="A244" s="27">
        <v>42064</v>
      </c>
      <c r="B244" s="14">
        <f>[4]monthly!$D343</f>
        <v>1576.2995238095239</v>
      </c>
      <c r="C244" s="14">
        <f>[4]monthly!$E343</f>
        <v>1386.2890476190473</v>
      </c>
      <c r="D244" s="14">
        <f>[4]monthly!$F343</f>
        <v>4938.0104545454551</v>
      </c>
      <c r="E244" s="14">
        <f>[4]monthly!$G343</f>
        <v>2079.9886363636365</v>
      </c>
    </row>
    <row r="245" spans="1:5" ht="15.75" x14ac:dyDescent="0.25">
      <c r="A245" s="27">
        <v>42095</v>
      </c>
      <c r="B245" s="14">
        <f>[4]monthly!$D344</f>
        <v>1665.6694736842103</v>
      </c>
      <c r="C245" s="14">
        <f>[4]monthly!$E344</f>
        <v>1455.2889473684211</v>
      </c>
      <c r="D245" s="14">
        <f>[4]monthly!$F344</f>
        <v>4985.951448571428</v>
      </c>
      <c r="E245" s="14">
        <f>[4]monthly!$G344</f>
        <v>2094.8628409523812</v>
      </c>
    </row>
    <row r="246" spans="1:5" ht="15.75" x14ac:dyDescent="0.25">
      <c r="A246" s="27">
        <v>42125</v>
      </c>
      <c r="B246" s="14">
        <f>[4]monthly!$D345</f>
        <v>1667.4249999999997</v>
      </c>
      <c r="C246" s="14">
        <f>[4]monthly!$E345</f>
        <v>1447.1649999999997</v>
      </c>
      <c r="D246" s="14">
        <f>[4]monthly!$F345</f>
        <v>5029.4314610000001</v>
      </c>
      <c r="E246" s="14">
        <f>[4]monthly!$G345</f>
        <v>2113.7409999999995</v>
      </c>
    </row>
    <row r="247" spans="1:5" ht="15.75" x14ac:dyDescent="0.25">
      <c r="A247" s="27">
        <v>42156</v>
      </c>
      <c r="B247" s="14">
        <f>[4]monthly!$D346</f>
        <v>1685.2881818181816</v>
      </c>
      <c r="C247" s="14">
        <f>[4]monthly!$E346</f>
        <v>1452.3495454545457</v>
      </c>
      <c r="D247" s="14">
        <f>[4]monthly!$F346</f>
        <v>5073.8599999999997</v>
      </c>
      <c r="E247" s="14">
        <f>[4]monthly!$G346</f>
        <v>2099.2890909090906</v>
      </c>
    </row>
    <row r="248" spans="1:5" ht="15.75" x14ac:dyDescent="0.25">
      <c r="A248" s="27">
        <v>42186</v>
      </c>
      <c r="B248" s="14">
        <f>[4]monthly!$D347</f>
        <v>1684.685238095238</v>
      </c>
      <c r="C248" s="14">
        <f>[4]monthly!$E347</f>
        <v>1451.5061904761906</v>
      </c>
      <c r="D248" s="14">
        <f>[4]monthly!$F347</f>
        <v>5082.8104420909094</v>
      </c>
      <c r="E248" s="14">
        <f>[4]monthly!$G347</f>
        <v>2094.1436403636362</v>
      </c>
    </row>
    <row r="249" spans="1:5" ht="15.75" x14ac:dyDescent="0.25">
      <c r="A249" s="27">
        <v>42217</v>
      </c>
      <c r="B249" s="14">
        <f>[4]monthly!$D348</f>
        <v>1676.3354545454545</v>
      </c>
      <c r="C249" s="14">
        <f>[4]monthly!$E348</f>
        <v>1457.7245454545453</v>
      </c>
      <c r="D249" s="14">
        <f>[4]monthly!$F348</f>
        <v>4934.6228608571428</v>
      </c>
      <c r="E249" s="14">
        <f>[4]monthly!$G348</f>
        <v>2039.8662050952382</v>
      </c>
    </row>
    <row r="250" spans="1:5" ht="15.75" x14ac:dyDescent="0.25">
      <c r="A250" s="27">
        <v>42248</v>
      </c>
      <c r="B250" s="14">
        <f>[4]monthly!$D349</f>
        <v>1574.5353333333335</v>
      </c>
      <c r="C250" s="14">
        <f>[4]monthly!$E349</f>
        <v>1375.2806666666668</v>
      </c>
      <c r="D250" s="14">
        <f>[4]monthly!$F349</f>
        <v>4748.0043247142848</v>
      </c>
      <c r="E250" s="14">
        <f>[4]monthly!$G349</f>
        <v>1944.4047619523806</v>
      </c>
    </row>
    <row r="251" spans="1:5" ht="15.75" x14ac:dyDescent="0.25">
      <c r="A251" s="27">
        <v>42278</v>
      </c>
      <c r="B251" s="14">
        <f>[4]monthly!$D350</f>
        <v>1536.833157894737</v>
      </c>
      <c r="C251" s="14">
        <f>[4]monthly!$E350</f>
        <v>1338.7231578947367</v>
      </c>
      <c r="D251" s="14">
        <f>[4]monthly!$F350</f>
        <v>4879.0368208181817</v>
      </c>
      <c r="E251" s="14">
        <f>[4]monthly!$G350</f>
        <v>2024.8127163636366</v>
      </c>
    </row>
    <row r="252" spans="1:5" ht="15.75" x14ac:dyDescent="0.25">
      <c r="A252" s="27">
        <v>42309</v>
      </c>
      <c r="B252" s="14">
        <f>[4]monthly!$D351</f>
        <v>1565.9031818181816</v>
      </c>
      <c r="C252" s="14">
        <f>[4]monthly!$E351</f>
        <v>1354.3631818181818</v>
      </c>
      <c r="D252" s="14">
        <f>[4]monthly!$F351</f>
        <v>5078.8380371499989</v>
      </c>
      <c r="E252" s="14">
        <f>[4]monthly!$G351</f>
        <v>2080.6165038999998</v>
      </c>
    </row>
    <row r="253" spans="1:5" ht="15.75" x14ac:dyDescent="0.25">
      <c r="A253" s="27">
        <v>42339</v>
      </c>
      <c r="B253" s="14">
        <f>[4]monthly!$D352</f>
        <v>1526.669565217391</v>
      </c>
      <c r="C253" s="14">
        <f>[4]monthly!$E352</f>
        <v>1316.468260869565</v>
      </c>
      <c r="D253" s="14">
        <f>[4]monthly!$F352</f>
        <v>5040.5400568181813</v>
      </c>
      <c r="E253" s="14">
        <f>[4]monthly!$G352</f>
        <v>2054.079557090909</v>
      </c>
    </row>
    <row r="254" spans="1:5" ht="15.75" x14ac:dyDescent="0.25">
      <c r="A254" s="27">
        <v>42370</v>
      </c>
      <c r="B254" s="14">
        <f>[4]monthly!$D353</f>
        <v>1478.0880952380951</v>
      </c>
      <c r="C254" s="14">
        <f>[4]monthly!$E353</f>
        <v>1271.261428571429</v>
      </c>
      <c r="D254" s="14">
        <f>[4]monthly!$F353</f>
        <v>4610.714241421053</v>
      </c>
      <c r="E254" s="14">
        <f>[4]monthly!$G353</f>
        <v>1918.5978911052632</v>
      </c>
    </row>
    <row r="255" spans="1:5" ht="15.75" x14ac:dyDescent="0.25">
      <c r="A255" s="27">
        <v>42401</v>
      </c>
      <c r="B255" s="14">
        <f>[4]monthly!$D354</f>
        <v>1427.9666666666667</v>
      </c>
      <c r="C255" s="14">
        <f>[4]monthly!$E354</f>
        <v>1226.7438095238092</v>
      </c>
      <c r="D255" s="14">
        <f>[4]monthly!$F354</f>
        <v>4463.2060049500005</v>
      </c>
      <c r="E255" s="14">
        <f>[4]monthly!$G354</f>
        <v>1904.4184928500006</v>
      </c>
    </row>
    <row r="256" spans="1:5" ht="15.75" x14ac:dyDescent="0.25">
      <c r="A256" s="27">
        <v>42430</v>
      </c>
      <c r="B256" s="14">
        <f>[4]monthly!$D355</f>
        <v>1471.100909090909</v>
      </c>
      <c r="C256" s="14">
        <f>[4]monthly!$E355</f>
        <v>1264.863636363636</v>
      </c>
      <c r="D256" s="14">
        <f>[4]monthly!$F355</f>
        <v>4754.4791130454541</v>
      </c>
      <c r="E256" s="14">
        <f>[4]monthly!$G355</f>
        <v>2021.9540969545451</v>
      </c>
    </row>
    <row r="257" spans="1:5" ht="15.75" x14ac:dyDescent="0.25">
      <c r="A257" s="27">
        <v>42461</v>
      </c>
      <c r="B257" s="14">
        <f>[4]monthly!$D356</f>
        <v>1466.8178947368419</v>
      </c>
      <c r="C257" s="14">
        <f>[4]monthly!$E356</f>
        <v>1267.9294736842105</v>
      </c>
      <c r="D257" s="14">
        <f>[4]monthly!$F356</f>
        <v>4892.1681082857149</v>
      </c>
      <c r="E257" s="14">
        <f>[4]monthly!$G356</f>
        <v>2075.5352317619049</v>
      </c>
    </row>
    <row r="258" spans="1:5" ht="15.75" x14ac:dyDescent="0.25">
      <c r="A258" s="27">
        <v>42491</v>
      </c>
      <c r="B258" s="14">
        <f>[4]monthly!$D357</f>
        <v>1417.5595238095239</v>
      </c>
      <c r="C258" s="14">
        <f>[4]monthly!$E357</f>
        <v>1228.0238095238096</v>
      </c>
      <c r="D258" s="14">
        <f>[4]monthly!$F357</f>
        <v>4788.235235380952</v>
      </c>
      <c r="E258" s="14">
        <f>[4]monthly!$G357</f>
        <v>2065.5504790000005</v>
      </c>
    </row>
    <row r="259" spans="1:5" ht="15.75" x14ac:dyDescent="0.25">
      <c r="A259" s="27">
        <v>42522</v>
      </c>
      <c r="B259" s="14">
        <f>[4]monthly!$D358</f>
        <v>1421.0704761904763</v>
      </c>
      <c r="C259" s="14">
        <f>[4]monthly!$E358</f>
        <v>1233.3804761904764</v>
      </c>
      <c r="D259" s="14">
        <f>[4]monthly!$F358</f>
        <v>4856.2326882272737</v>
      </c>
      <c r="E259" s="14">
        <f>[4]monthly!$G358</f>
        <v>2083.886369136364</v>
      </c>
    </row>
    <row r="260" spans="1:5" ht="15.75" x14ac:dyDescent="0.25">
      <c r="A260" s="27">
        <v>42552</v>
      </c>
      <c r="B260" s="14">
        <f>[4]monthly!$D359</f>
        <v>1444.7495238095237</v>
      </c>
      <c r="C260" s="14">
        <f>[4]monthly!$E359</f>
        <v>1257.738095238095</v>
      </c>
      <c r="D260" s="14">
        <f>[4]monthly!$F359</f>
        <v>5023.9889648500002</v>
      </c>
      <c r="E260" s="14">
        <f>[4]monthly!$G359</f>
        <v>2148.9019775500005</v>
      </c>
    </row>
    <row r="261" spans="1:5" ht="15.75" x14ac:dyDescent="0.25">
      <c r="A261" s="27">
        <v>42583</v>
      </c>
      <c r="B261" s="14">
        <f>[4]monthly!$D360</f>
        <v>1462.0690909090908</v>
      </c>
      <c r="C261" s="14">
        <f>[4]monthly!$E360</f>
        <v>1282.3968181818182</v>
      </c>
      <c r="D261" s="14">
        <f>[4]monthly!$F360</f>
        <v>5217.0383193478265</v>
      </c>
      <c r="E261" s="14">
        <f>[4]monthly!$G360</f>
        <v>2177.4821670869565</v>
      </c>
    </row>
    <row r="262" spans="1:5" ht="15.75" x14ac:dyDescent="0.25">
      <c r="A262" s="27">
        <v>42614</v>
      </c>
      <c r="B262" s="14">
        <f>[4]monthly!$D361</f>
        <v>1446.9723809523809</v>
      </c>
      <c r="C262" s="14">
        <f>[4]monthly!$E361</f>
        <v>1267.9285714285716</v>
      </c>
      <c r="D262" s="14">
        <f>[4]monthly!$F361</f>
        <v>5254.154296857143</v>
      </c>
      <c r="E262" s="14">
        <f>[4]monthly!$G361</f>
        <v>2157.6909645238097</v>
      </c>
    </row>
    <row r="263" spans="1:5" ht="15.75" x14ac:dyDescent="0.25">
      <c r="A263" s="27">
        <v>42644</v>
      </c>
      <c r="B263" s="14">
        <f>[4]monthly!$D362</f>
        <v>1427.6792307692308</v>
      </c>
      <c r="C263" s="14">
        <f>[4]monthly!$E362</f>
        <v>1251.0976923076926</v>
      </c>
      <c r="D263" s="14">
        <f>[4]monthly!$F362</f>
        <v>5255.9895600952377</v>
      </c>
      <c r="E263" s="14">
        <f>[4]monthly!$G362</f>
        <v>2143.0209379047619</v>
      </c>
    </row>
    <row r="264" spans="1:5" ht="15.75" x14ac:dyDescent="0.25">
      <c r="A264" s="27">
        <v>42675</v>
      </c>
      <c r="B264" s="14">
        <f>[4]monthly!$D363</f>
        <v>1428.2372727272732</v>
      </c>
      <c r="C264" s="14">
        <f>[4]monthly!$E363</f>
        <v>1247.376818181818</v>
      </c>
      <c r="D264" s="14">
        <f>[4]monthly!$F363</f>
        <v>5260.565243666666</v>
      </c>
      <c r="E264" s="14">
        <f>[4]monthly!$G363</f>
        <v>2164.9856887619048</v>
      </c>
    </row>
    <row r="265" spans="1:5" ht="15.75" x14ac:dyDescent="0.25">
      <c r="A265" s="27">
        <v>42705</v>
      </c>
      <c r="B265" s="14">
        <f>[4]monthly!$D364</f>
        <v>1457.1842857142856</v>
      </c>
      <c r="C265" s="14">
        <f>[4]monthly!$E364</f>
        <v>1272.8614285714286</v>
      </c>
      <c r="D265" s="14">
        <f>[4]monthly!$F364</f>
        <v>5413.116658285714</v>
      </c>
      <c r="E265" s="14">
        <f>[4]monthly!$G364</f>
        <v>2246.6290521904762</v>
      </c>
    </row>
    <row r="266" spans="1:5" ht="15.75" x14ac:dyDescent="0.25">
      <c r="A266" s="27">
        <v>42736</v>
      </c>
      <c r="B266" s="14">
        <f>[4]monthly!$D365</f>
        <v>1441.2991304347825</v>
      </c>
      <c r="C266" s="14">
        <f>[4]monthly!$E365</f>
        <v>1264.2260869565221</v>
      </c>
      <c r="D266" s="14">
        <f>[4]monthly!$F365</f>
        <v>5561.4234999999999</v>
      </c>
      <c r="E266" s="14">
        <f>[4]monthly!$G365</f>
        <v>2275.1160000000004</v>
      </c>
    </row>
    <row r="267" spans="1:5" ht="15.75" x14ac:dyDescent="0.25">
      <c r="A267" s="27">
        <v>42767</v>
      </c>
      <c r="B267" s="14">
        <f>[4]monthly!$D366</f>
        <v>1434.3510000000001</v>
      </c>
      <c r="C267" s="14">
        <f>[4]monthly!$E366</f>
        <v>1271.2570000000001</v>
      </c>
      <c r="D267" s="14">
        <f>[4]monthly!$F366</f>
        <v>5764.1757894736829</v>
      </c>
      <c r="E267" s="14">
        <f>[4]monthly!$G366</f>
        <v>2329.9105263157894</v>
      </c>
    </row>
    <row r="268" spans="1:5" ht="15.75" x14ac:dyDescent="0.25">
      <c r="A268" s="27">
        <v>42795</v>
      </c>
      <c r="B268" s="14">
        <f>[4]monthly!$D367</f>
        <v>1423.3176190476192</v>
      </c>
      <c r="C268" s="14">
        <f>[4]monthly!$E367</f>
        <v>1270.1514285714284</v>
      </c>
      <c r="D268" s="14">
        <f>[4]monthly!$F367</f>
        <v>5864.9643478260869</v>
      </c>
      <c r="E268" s="14">
        <f>[4]monthly!$G367</f>
        <v>2366.8221739130431</v>
      </c>
    </row>
    <row r="269" spans="1:5" ht="15.75" x14ac:dyDescent="0.25">
      <c r="A269" s="27">
        <v>42826</v>
      </c>
      <c r="B269" s="14">
        <f>[4]monthly!$D368</f>
        <v>1396.0017647058824</v>
      </c>
      <c r="C269" s="14">
        <f>[4]monthly!$E368</f>
        <v>1259.2329411764708</v>
      </c>
      <c r="D269" s="14">
        <f>[4]monthly!$F368</f>
        <v>5912.1694736315803</v>
      </c>
      <c r="E269" s="14">
        <f>[4]monthly!$G368</f>
        <v>2359.3094576842109</v>
      </c>
    </row>
    <row r="270" spans="1:5" ht="15.75" x14ac:dyDescent="0.25">
      <c r="A270" s="27">
        <v>42856</v>
      </c>
      <c r="B270" s="14">
        <f>[4]monthly!$D369</f>
        <v>1421.2547368421051</v>
      </c>
      <c r="C270" s="14">
        <f>[4]monthly!$E369</f>
        <v>1293.6715789473683</v>
      </c>
      <c r="D270" s="14">
        <f>[4]monthly!$F369</f>
        <v>6124.8781738636371</v>
      </c>
      <c r="E270" s="14">
        <f>[4]monthly!$G369</f>
        <v>2395.345880681818</v>
      </c>
    </row>
    <row r="271" spans="1:5" ht="15.75" x14ac:dyDescent="0.25">
      <c r="A271" s="27">
        <v>42887</v>
      </c>
      <c r="B271" s="14">
        <f>[4]monthly!$D370</f>
        <v>1431.104761904762</v>
      </c>
      <c r="C271" s="14">
        <f>[4]monthly!$E370</f>
        <v>1292.6442857142858</v>
      </c>
      <c r="D271" s="14">
        <f>[4]monthly!$F370</f>
        <v>6228.2795061904772</v>
      </c>
      <c r="E271" s="14">
        <f>[4]monthly!$G370</f>
        <v>2434.4890485714286</v>
      </c>
    </row>
    <row r="272" spans="1:5" ht="15.75" x14ac:dyDescent="0.25">
      <c r="A272" s="27">
        <v>42917</v>
      </c>
      <c r="B272" s="14">
        <f>[4]monthly!$D371</f>
        <v>1446.224545454545</v>
      </c>
      <c r="C272" s="14">
        <f>[4]monthly!$E371</f>
        <v>1301.0954545454542</v>
      </c>
      <c r="D272" s="14">
        <f>[4]monthly!$F371</f>
        <v>6294.6740234999997</v>
      </c>
      <c r="E272" s="14">
        <f>[4]monthly!$G371</f>
        <v>2454.1025024999999</v>
      </c>
    </row>
    <row r="273" spans="1:5" ht="15.75" x14ac:dyDescent="0.25">
      <c r="A273" s="27">
        <v>42948</v>
      </c>
      <c r="B273" s="14">
        <f>[4]monthly!$D372</f>
        <v>1393.8645454545454</v>
      </c>
      <c r="C273" s="14">
        <f>[4]monthly!$E372</f>
        <v>1261.0881818181817</v>
      </c>
      <c r="D273" s="14">
        <f>[4]monthly!$F372</f>
        <v>6307.1300102173918</v>
      </c>
      <c r="E273" s="14">
        <f>[4]monthly!$G372</f>
        <v>2455.2639372608687</v>
      </c>
    </row>
    <row r="274" spans="1:5" ht="15.75" x14ac:dyDescent="0.25">
      <c r="A274" s="27">
        <v>42979</v>
      </c>
      <c r="B274" s="14">
        <f>[4]monthly!$D373</f>
        <v>1407.5094444444449</v>
      </c>
      <c r="C274" s="14">
        <f>[4]monthly!$E373</f>
        <v>1279.6677777777777</v>
      </c>
      <c r="D274" s="14">
        <f>[4]monthly!$F373</f>
        <v>6428.0790009499997</v>
      </c>
      <c r="E274" s="14">
        <f>[4]monthly!$G373</f>
        <v>2492.8410126999997</v>
      </c>
    </row>
    <row r="275" spans="1:5" ht="15.75" x14ac:dyDescent="0.25">
      <c r="A275" s="27">
        <v>43009</v>
      </c>
      <c r="B275" s="14">
        <f>[4]monthly!$D374</f>
        <v>1441.6821052631581</v>
      </c>
      <c r="C275" s="14">
        <f>[4]monthly!$E374</f>
        <v>1313.2026315789474</v>
      </c>
      <c r="D275" s="14">
        <f>[4]monthly!$F374</f>
        <v>6603.0113494999996</v>
      </c>
      <c r="E275" s="14">
        <f>[4]monthly!$G374</f>
        <v>2556.9972699999998</v>
      </c>
    </row>
    <row r="276" spans="1:5" ht="15.75" x14ac:dyDescent="0.25">
      <c r="A276" s="27">
        <v>43040</v>
      </c>
      <c r="B276" s="14">
        <f>[4]monthly!$D375</f>
        <v>1424.5045454545455</v>
      </c>
      <c r="C276" s="14">
        <f>[4]monthly!$E375</f>
        <v>1304.58</v>
      </c>
      <c r="D276" s="14">
        <f>[4]monthly!$F375</f>
        <v>6796.0453999047622</v>
      </c>
      <c r="E276" s="14">
        <f>[4]monthly!$G375</f>
        <v>2593.6057207619046</v>
      </c>
    </row>
    <row r="277" spans="1:5" ht="15.75" x14ac:dyDescent="0.25">
      <c r="A277" s="27">
        <v>43070</v>
      </c>
      <c r="B277" s="14">
        <f>[4]monthly!$D376</f>
        <v>1477.4619047619049</v>
      </c>
      <c r="C277" s="14">
        <f>[4]monthly!$E376</f>
        <v>1338.7090476190476</v>
      </c>
      <c r="D277" s="14">
        <f>[4]monthly!$F376</f>
        <v>6889.7404658500018</v>
      </c>
      <c r="E277" s="14">
        <f>[4]monthly!$G376</f>
        <v>2664.3405224499998</v>
      </c>
    </row>
    <row r="278" spans="1:5" ht="15.75" x14ac:dyDescent="0.25">
      <c r="A278" s="27">
        <v>43101</v>
      </c>
      <c r="B278" s="14">
        <f>[4]monthly!$D377</f>
        <v>1535.6978260869564</v>
      </c>
      <c r="C278" s="14">
        <f>[4]monthly!$E377</f>
        <v>1395.5582608695652</v>
      </c>
      <c r="D278" s="14">
        <f>[4]monthly!$F377</f>
        <v>7279.4980952380965</v>
      </c>
      <c r="E278" s="14">
        <f>[4]monthly!$G377</f>
        <v>2789.8038081428572</v>
      </c>
    </row>
    <row r="279" spans="1:5" ht="15.75" x14ac:dyDescent="0.25">
      <c r="A279" s="27">
        <v>43132</v>
      </c>
      <c r="B279" s="14">
        <f>[4]monthly!$D378</f>
        <v>1495.6759999999999</v>
      </c>
      <c r="C279" s="14">
        <f>[4]monthly!$E378</f>
        <v>1358.8225000000002</v>
      </c>
      <c r="D279" s="14">
        <f>[4]monthly!$F378</f>
        <v>7161.7684118421048</v>
      </c>
      <c r="E279" s="14">
        <f>[4]monthly!$G378</f>
        <v>2705.1552662631584</v>
      </c>
    </row>
    <row r="280" spans="1:5" ht="15.75" x14ac:dyDescent="0.25">
      <c r="A280" s="27">
        <v>43160</v>
      </c>
      <c r="B280" s="14">
        <f>[4]monthly!$D379</f>
        <v>1475.7980000000002</v>
      </c>
      <c r="C280" s="14">
        <f>[4]monthly!$E379</f>
        <v>1340.1704999999999</v>
      </c>
      <c r="D280" s="14">
        <f>[4]monthly!$F379</f>
        <v>7311.5066964285725</v>
      </c>
      <c r="E280" s="14">
        <f>[4]monthly!$G379</f>
        <v>2702.7738211428564</v>
      </c>
    </row>
    <row r="281" spans="1:5" ht="15.75" x14ac:dyDescent="0.25">
      <c r="A281" s="27">
        <v>43191</v>
      </c>
      <c r="B281" s="14">
        <f>[4]monthly!$D380</f>
        <v>1453.4689473684211</v>
      </c>
      <c r="C281" s="14">
        <f>[4]monthly!$E380</f>
        <v>1321.5684210526319</v>
      </c>
      <c r="D281" s="14">
        <f>[4]monthly!$F380</f>
        <v>7084.1423465238086</v>
      </c>
      <c r="E281" s="14">
        <f>[4]monthly!$G380</f>
        <v>2653.6252092857144</v>
      </c>
    </row>
    <row r="282" spans="1:5" ht="15.75" x14ac:dyDescent="0.25">
      <c r="A282" s="27">
        <v>43221</v>
      </c>
      <c r="B282" s="14">
        <f>[4]monthly!$D381</f>
        <v>1496.0800000000002</v>
      </c>
      <c r="C282" s="14">
        <f>[4]monthly!$E381</f>
        <v>1348.893181818182</v>
      </c>
      <c r="D282" s="14">
        <f>[4]monthly!$F381</f>
        <v>7339.3272815909095</v>
      </c>
      <c r="E282" s="14">
        <f>[4]monthly!$G381</f>
        <v>2701.4936190909084</v>
      </c>
    </row>
    <row r="283" spans="1:5" ht="15.75" x14ac:dyDescent="0.25">
      <c r="A283" s="27">
        <v>43252</v>
      </c>
      <c r="B283" s="14">
        <f>[4]monthly!$D382</f>
        <v>1531.0854999999999</v>
      </c>
      <c r="C283" s="14">
        <f>[4]monthly!$E382</f>
        <v>1381.9464999999996</v>
      </c>
      <c r="D283" s="14">
        <f>[4]monthly!$F382</f>
        <v>7645.1385323809518</v>
      </c>
      <c r="E283" s="14">
        <f>[4]monthly!$G382</f>
        <v>2754.3528878571433</v>
      </c>
    </row>
    <row r="284" spans="1:5" ht="15.75" x14ac:dyDescent="0.25">
      <c r="A284" s="27">
        <v>43282</v>
      </c>
      <c r="B284" s="14">
        <f>[4]monthly!$D383</f>
        <v>1546.7981818181818</v>
      </c>
      <c r="C284" s="14">
        <f>[4]monthly!$E383</f>
        <v>1383.4054545454546</v>
      </c>
      <c r="D284" s="14">
        <f>[4]monthly!$F383</f>
        <v>7751.5636142857147</v>
      </c>
      <c r="E284" s="14">
        <f>[4]monthly!$G383</f>
        <v>2792.1304919523814</v>
      </c>
    </row>
    <row r="285" spans="1:5" ht="15.75" x14ac:dyDescent="0.25">
      <c r="A285" s="27">
        <v>43313</v>
      </c>
      <c r="B285" s="14">
        <f>[4]monthly!$D384</f>
        <v>1609.3254545454547</v>
      </c>
      <c r="C285" s="14">
        <f>[4]monthly!$E384</f>
        <v>1440.8459090909091</v>
      </c>
      <c r="D285" s="14">
        <f>[4]monthly!$F384</f>
        <v>7892.2338959130439</v>
      </c>
      <c r="E285" s="14">
        <f>[4]monthly!$G384</f>
        <v>2857.8204258260871</v>
      </c>
    </row>
    <row r="286" spans="1:5" ht="15.75" x14ac:dyDescent="0.25">
      <c r="A286" s="27">
        <v>43344</v>
      </c>
      <c r="B286" s="14">
        <f>[4]monthly!$D385</f>
        <v>1651.8207692307694</v>
      </c>
      <c r="C286" s="14">
        <f>[4]monthly!$E385</f>
        <v>1486.5138461538461</v>
      </c>
      <c r="D286" s="14">
        <f>[4]monthly!$F385</f>
        <v>7980.4280447894753</v>
      </c>
      <c r="E286" s="14">
        <f>[4]monthly!$G385</f>
        <v>2901.1936843157901</v>
      </c>
    </row>
    <row r="287" spans="1:5" ht="15.75" x14ac:dyDescent="0.25">
      <c r="A287" s="27">
        <v>43374</v>
      </c>
      <c r="B287" s="14">
        <f>[4]monthly!$D386</f>
        <v>1607.3995238095238</v>
      </c>
      <c r="C287" s="14">
        <f>[4]monthly!$E386</f>
        <v>1452.3190476190478</v>
      </c>
      <c r="D287" s="14">
        <f>[4]monthly!$F386</f>
        <v>7527.0839071304354</v>
      </c>
      <c r="E287" s="14">
        <f>[4]monthly!$G386</f>
        <v>2785.4647834347825</v>
      </c>
    </row>
    <row r="288" spans="1:5" ht="15.75" x14ac:dyDescent="0.25">
      <c r="A288" s="27">
        <v>43405</v>
      </c>
      <c r="B288" s="14">
        <f>[4]monthly!$D387</f>
        <v>1628.9095238095238</v>
      </c>
      <c r="C288" s="14">
        <f>[4]monthly!$E387</f>
        <v>1467.6819047619051</v>
      </c>
      <c r="D288" s="14">
        <f>[4]monthly!$F387</f>
        <v>7236.081421142856</v>
      </c>
      <c r="E288" s="14">
        <f>[4]monthly!$G387</f>
        <v>2723.2309519523815</v>
      </c>
    </row>
    <row r="289" spans="1:5" ht="15.75" x14ac:dyDescent="0.25">
      <c r="A289" s="27">
        <v>43435</v>
      </c>
      <c r="B289" s="14">
        <f>[4]monthly!$D388</f>
        <v>1546.8881818181815</v>
      </c>
      <c r="C289" s="14">
        <f>[4]monthly!$E388</f>
        <v>1399.7313636363635</v>
      </c>
      <c r="D289" s="14">
        <f>[4]monthly!$F388</f>
        <v>6815.451498736842</v>
      </c>
      <c r="E289" s="14">
        <f>[4]monthly!$G388</f>
        <v>2564.5305283157895</v>
      </c>
    </row>
    <row r="290" spans="1:5" ht="15.75" x14ac:dyDescent="0.25">
      <c r="A290" s="27">
        <v>43466</v>
      </c>
      <c r="B290" s="14">
        <f>[4]monthly!$D389</f>
        <v>1508.1573913043476</v>
      </c>
      <c r="C290" s="14">
        <f>[4]monthly!$E389</f>
        <v>1368.0921739130433</v>
      </c>
      <c r="D290" s="14">
        <f>[4]monthly!$F389</f>
        <v>6979.6557160952379</v>
      </c>
      <c r="E290" s="14">
        <f>[4]monthly!$G389</f>
        <v>2607.3899800000004</v>
      </c>
    </row>
    <row r="291" spans="1:5" ht="15.75" x14ac:dyDescent="0.25">
      <c r="A291" s="27">
        <v>43497</v>
      </c>
      <c r="B291" s="14">
        <f>[4]monthly!$D390</f>
        <v>1562.4044999999999</v>
      </c>
      <c r="C291" s="14">
        <f>[4]monthly!$E390</f>
        <v>1422.6780000000001</v>
      </c>
      <c r="D291" s="14">
        <f>[4]monthly!$F390</f>
        <v>7430.0773478421052</v>
      </c>
      <c r="E291" s="14">
        <f>[4]monthly!$G390</f>
        <v>2754.8642047894741</v>
      </c>
    </row>
    <row r="292" spans="1:5" ht="15.75" x14ac:dyDescent="0.25">
      <c r="A292" s="27">
        <v>43525</v>
      </c>
      <c r="B292" s="14">
        <f>[4]monthly!$D391</f>
        <v>1550.4839999999999</v>
      </c>
      <c r="C292" s="14">
        <f>[4]monthly!$E391</f>
        <v>1417.9739999999997</v>
      </c>
      <c r="D292" s="14">
        <f>[4]monthly!$F391</f>
        <v>7629.366652714285</v>
      </c>
      <c r="E292" s="14">
        <f>[4]monthly!$G391</f>
        <v>2803.9837935714286</v>
      </c>
    </row>
    <row r="293" spans="1:5" ht="15.75" x14ac:dyDescent="0.25">
      <c r="A293" s="27">
        <v>43556</v>
      </c>
      <c r="B293" s="14">
        <f>[4]monthly!$D392</f>
        <v>1586.866</v>
      </c>
      <c r="C293" s="14">
        <f>[4]monthly!$E392</f>
        <v>1460.0585000000001</v>
      </c>
      <c r="D293" s="14">
        <f>[4]monthly!$F392</f>
        <v>7994.9209216666668</v>
      </c>
      <c r="E293" s="14">
        <f>[4]monthly!$G392</f>
        <v>2903.7999790476192</v>
      </c>
    </row>
    <row r="294" spans="1:5" ht="15.75" x14ac:dyDescent="0.25">
      <c r="A294" s="27">
        <v>43586</v>
      </c>
      <c r="B294" s="14">
        <f>[4]monthly!$D393</f>
        <v>1567.4110000000001</v>
      </c>
      <c r="C294" s="14">
        <f>[4]monthly!$E393</f>
        <v>1448.2775000000001</v>
      </c>
      <c r="D294" s="14">
        <f>[4]monthly!$F393</f>
        <v>7804.8208674545467</v>
      </c>
      <c r="E294" s="14">
        <f>[4]monthly!$G393</f>
        <v>2854.7059104545456</v>
      </c>
    </row>
    <row r="295" spans="1:5" ht="15.75" x14ac:dyDescent="0.25">
      <c r="A295" s="27">
        <v>43617</v>
      </c>
      <c r="B295" s="14">
        <f>[4]monthly!$D394</f>
        <v>1558.6415000000002</v>
      </c>
      <c r="C295" s="14">
        <f>[4]monthly!$E394</f>
        <v>1447.8515000000002</v>
      </c>
      <c r="D295" s="14">
        <f>[4]monthly!$F394</f>
        <v>7825.4590088499999</v>
      </c>
      <c r="E295" s="14">
        <f>[4]monthly!$G394</f>
        <v>2890.1659790500003</v>
      </c>
    </row>
    <row r="296" spans="1:5" ht="15.75" x14ac:dyDescent="0.25">
      <c r="A296" s="27">
        <v>43647</v>
      </c>
      <c r="B296" s="14">
        <f>[4]monthly!$D395</f>
        <v>1597.8295652173913</v>
      </c>
      <c r="C296" s="14">
        <f>[4]monthly!$E395</f>
        <v>1488.121304347826</v>
      </c>
      <c r="D296" s="14">
        <f>[4]monthly!$F395</f>
        <v>8205.5986771363641</v>
      </c>
      <c r="E296" s="14">
        <f>[4]monthly!$G395</f>
        <v>2996.1136363636365</v>
      </c>
    </row>
    <row r="297" spans="1:5" ht="15.75" x14ac:dyDescent="0.25">
      <c r="A297" s="27">
        <v>43678</v>
      </c>
      <c r="B297" s="14">
        <f>[4]monthly!$D396</f>
        <v>1581.9385</v>
      </c>
      <c r="C297" s="14">
        <f>[4]monthly!$E396</f>
        <v>1486.0739999999996</v>
      </c>
      <c r="D297" s="14">
        <f>[4]monthly!$F396</f>
        <v>7910.9332386363621</v>
      </c>
      <c r="E297" s="14">
        <f>[4]monthly!$G396</f>
        <v>2897.4504505454543</v>
      </c>
    </row>
    <row r="298" spans="1:5" ht="15.75" x14ac:dyDescent="0.25">
      <c r="A298" s="27">
        <v>43709</v>
      </c>
      <c r="B298" s="14">
        <f>[4]monthly!$D397</f>
        <v>1591.628947368421</v>
      </c>
      <c r="C298" s="14">
        <f>[4]monthly!$E397</f>
        <v>1505.3084210526315</v>
      </c>
      <c r="D298" s="14">
        <f>[4]monthly!$F397</f>
        <v>8087.6999756499981</v>
      </c>
      <c r="E298" s="14">
        <f>[4]monthly!$G397</f>
        <v>2982.1560058500004</v>
      </c>
    </row>
    <row r="299" spans="1:5" ht="15.75" x14ac:dyDescent="0.25">
      <c r="A299" s="27">
        <v>43739</v>
      </c>
      <c r="B299" s="14">
        <f>[4]monthly!$D398</f>
        <v>1638.1775</v>
      </c>
      <c r="C299" s="14">
        <f>[4]monthly!$E398</f>
        <v>1559.2618749999999</v>
      </c>
      <c r="D299" s="14">
        <f>[4]monthly!$F398</f>
        <v>8079.2782990869564</v>
      </c>
      <c r="E299" s="14">
        <f>[4]monthly!$G398</f>
        <v>2977.6751975217389</v>
      </c>
    </row>
    <row r="300" spans="1:5" ht="15.75" x14ac:dyDescent="0.25">
      <c r="A300" s="27">
        <v>43770</v>
      </c>
      <c r="B300" s="14">
        <f>[4]monthly!$D399</f>
        <v>1670.4239999999998</v>
      </c>
      <c r="C300" s="14">
        <f>[4]monthly!$E399</f>
        <v>1591.8039999999999</v>
      </c>
      <c r="D300" s="14">
        <f>[4]monthly!$F399</f>
        <v>8517.5774414499992</v>
      </c>
      <c r="E300" s="14">
        <f>[4]monthly!$G399</f>
        <v>3104.9044922499997</v>
      </c>
    </row>
    <row r="301" spans="1:5" ht="15.75" x14ac:dyDescent="0.25">
      <c r="A301" s="27">
        <v>43800</v>
      </c>
      <c r="B301" s="14">
        <f>[4]monthly!$D400</f>
        <v>1685.0704347826088</v>
      </c>
      <c r="C301" s="14">
        <f>[4]monthly!$E400</f>
        <v>1612.2221739130432</v>
      </c>
      <c r="D301" s="14">
        <f>[4]monthly!$F400</f>
        <v>8778.5919363809535</v>
      </c>
      <c r="E301" s="14">
        <f>[4]monthly!$G400</f>
        <v>3176.7495118095235</v>
      </c>
    </row>
    <row r="302" spans="1:5" ht="15.75" x14ac:dyDescent="0.25">
      <c r="A302" s="27">
        <v>43831</v>
      </c>
      <c r="B302" s="14">
        <f>[4]monthly!$D401</f>
        <v>1699.929090909091</v>
      </c>
      <c r="C302" s="14">
        <f>[4]monthly!$E401</f>
        <v>1641.2049999999997</v>
      </c>
      <c r="D302" s="14">
        <f>[4]monthly!$F401</f>
        <v>9233.3599796190483</v>
      </c>
      <c r="E302" s="14">
        <f>[4]monthly!$G401</f>
        <v>3278.2028576666662</v>
      </c>
    </row>
    <row r="303" spans="1:5" ht="15.75" x14ac:dyDescent="0.25">
      <c r="A303" s="27">
        <v>43862</v>
      </c>
      <c r="B303" s="14">
        <f>[4]monthly!$D402</f>
        <v>1700.0535000000004</v>
      </c>
      <c r="C303" s="14">
        <f>[4]monthly!$E402</f>
        <v>1637.8074999999999</v>
      </c>
      <c r="D303" s="14">
        <f>[4]monthly!$F402</f>
        <v>9418.8500207368434</v>
      </c>
      <c r="E303" s="14">
        <f>[4]monthly!$G402</f>
        <v>3277.3141832631577</v>
      </c>
    </row>
    <row r="304" spans="1:5" ht="15.75" x14ac:dyDescent="0.25">
      <c r="A304" s="27">
        <v>43891</v>
      </c>
      <c r="B304" s="14">
        <f>[4]monthly!$D403</f>
        <v>1330.182380952381</v>
      </c>
      <c r="C304" s="14">
        <f>[4]monthly!$E403</f>
        <v>1270.8347619047618</v>
      </c>
      <c r="D304" s="14">
        <f>[4]monthly!$F403</f>
        <v>7772.2058328636367</v>
      </c>
      <c r="E304" s="14">
        <f>[4]monthly!$G403</f>
        <v>2652.3936323636367</v>
      </c>
    </row>
    <row r="305" spans="1:5" ht="15.75" x14ac:dyDescent="0.25">
      <c r="A305" s="27">
        <v>43922</v>
      </c>
      <c r="B305" s="14">
        <f>[4]monthly!$D404</f>
        <v>1346.211875</v>
      </c>
      <c r="C305" s="14">
        <f>[4]monthly!$E404</f>
        <v>1318.69</v>
      </c>
      <c r="D305" s="14">
        <f>[4]monthly!$F404</f>
        <v>8292.407180095237</v>
      </c>
      <c r="E305" s="14">
        <f>[4]monthly!$G404</f>
        <v>2761.9752255714288</v>
      </c>
    </row>
    <row r="306" spans="1:5" ht="15.75" x14ac:dyDescent="0.25">
      <c r="A306" s="27">
        <v>43952</v>
      </c>
      <c r="B306" s="14">
        <f>[4]monthly!$D405</f>
        <v>1422.1860000000001</v>
      </c>
      <c r="C306" s="14">
        <f>[4]monthly!$E405</f>
        <v>1402.3075000000001</v>
      </c>
      <c r="D306" s="14">
        <f>[4]monthly!$F405</f>
        <v>9105.6554687499993</v>
      </c>
      <c r="E306" s="14">
        <f>[4]monthly!$G405</f>
        <v>2919.6084838000006</v>
      </c>
    </row>
    <row r="307" spans="1:5" ht="15.75" x14ac:dyDescent="0.25">
      <c r="A307" s="27">
        <v>43983</v>
      </c>
      <c r="B307" s="14">
        <f>[4]monthly!$D406</f>
        <v>1413.3352380952381</v>
      </c>
      <c r="C307" s="14">
        <f>[4]monthly!$E406</f>
        <v>1388.4057142857143</v>
      </c>
      <c r="D307" s="14">
        <f>[4]monthly!$F406</f>
        <v>9839.971324545455</v>
      </c>
      <c r="E307" s="14">
        <f>[4]monthly!$G406</f>
        <v>3104.6609330909091</v>
      </c>
    </row>
    <row r="308" spans="1:5" ht="15.75" x14ac:dyDescent="0.25">
      <c r="A308" s="27">
        <v>44013</v>
      </c>
      <c r="B308" s="14">
        <f>[4]monthly!$D407</f>
        <v>1384.1133333333337</v>
      </c>
      <c r="C308" s="14">
        <f>[4]monthly!$E407</f>
        <v>1371.2800000000004</v>
      </c>
      <c r="D308" s="14">
        <f>[4]monthly!$F407</f>
        <v>10518.026775636363</v>
      </c>
      <c r="E308" s="14">
        <f>[4]monthly!$G407</f>
        <v>3210.795460772727</v>
      </c>
    </row>
    <row r="309" spans="1:5" ht="15.75" x14ac:dyDescent="0.25">
      <c r="A309" s="27">
        <v>44044</v>
      </c>
      <c r="B309" s="14">
        <f>[4]monthly!$D408</f>
        <v>1408.7886363636362</v>
      </c>
      <c r="C309" s="14">
        <f>[4]monthly!$E408</f>
        <v>1429.0731818181821</v>
      </c>
      <c r="D309" s="14">
        <f>[4]monthly!$F408</f>
        <v>11227.765039249998</v>
      </c>
      <c r="E309" s="14">
        <f>[4]monthly!$G408</f>
        <v>3396.5650147000001</v>
      </c>
    </row>
    <row r="310" spans="1:5" ht="15.75" x14ac:dyDescent="0.25">
      <c r="A310" s="27">
        <v>44075</v>
      </c>
      <c r="B310" s="14">
        <f>[4]monthly!$D409</f>
        <v>1325.6357894736841</v>
      </c>
      <c r="C310" s="14">
        <f>[4]monthly!$E409</f>
        <v>1356.5847368421053</v>
      </c>
      <c r="D310" s="14">
        <f>[4]monthly!$F409</f>
        <v>11088.679966523812</v>
      </c>
      <c r="E310" s="14">
        <f>[4]monthly!$G409</f>
        <v>3365.5166713809526</v>
      </c>
    </row>
    <row r="311" spans="1:5" ht="15.75" x14ac:dyDescent="0.25">
      <c r="A311" s="27">
        <v>44105</v>
      </c>
      <c r="B311" s="14">
        <f>[4]monthly!$D410</f>
        <v>1353.2519047619048</v>
      </c>
      <c r="C311" s="14">
        <f>[4]monthly!$E410</f>
        <v>1393.9685714285713</v>
      </c>
      <c r="D311" s="14">
        <f>[4]monthly!$F410</f>
        <v>11435.234108681818</v>
      </c>
      <c r="E311" s="14">
        <f>[4]monthly!$G410</f>
        <v>3418.6999956818181</v>
      </c>
    </row>
    <row r="312" spans="1:5" ht="15.75" x14ac:dyDescent="0.25">
      <c r="A312" s="27">
        <v>44136</v>
      </c>
      <c r="B312" s="14">
        <f>[4]monthly!$D411</f>
        <v>1419.4536363636362</v>
      </c>
      <c r="C312" s="14">
        <f>[4]monthly!$E411</f>
        <v>1466.2581818181818</v>
      </c>
      <c r="D312" s="14">
        <f>[4]monthly!$F411</f>
        <v>11794.461523549999</v>
      </c>
      <c r="E312" s="14">
        <f>[4]monthly!$G411</f>
        <v>3548.9924803499998</v>
      </c>
    </row>
    <row r="313" spans="1:5" ht="15.75" x14ac:dyDescent="0.25">
      <c r="A313" s="27">
        <v>44166</v>
      </c>
      <c r="B313" s="14">
        <f>[4]monthly!$D412</f>
        <v>1470.5256521739132</v>
      </c>
      <c r="C313" s="14">
        <f>[4]monthly!$E412</f>
        <v>1527.2343478260868</v>
      </c>
      <c r="D313" s="14">
        <f>[4]monthly!$F412</f>
        <v>12619.050914409088</v>
      </c>
      <c r="E313" s="14">
        <f>[4]monthly!$G412</f>
        <v>3695.3100141818181</v>
      </c>
    </row>
    <row r="314" spans="1:5" ht="15.75" x14ac:dyDescent="0.25">
      <c r="A314" s="27">
        <v>44197</v>
      </c>
      <c r="B314" s="14">
        <f>[4]monthly!$D413</f>
        <v>1572.9142857142858</v>
      </c>
      <c r="C314" s="14">
        <f>[4]monthly!$E413</f>
        <v>1628.2233333333334</v>
      </c>
      <c r="D314" s="14">
        <f>[4]monthly!$F413</f>
        <v>13186.605777105264</v>
      </c>
      <c r="E314" s="14">
        <f>[4]monthly!$G413</f>
        <v>3793.7484323157901</v>
      </c>
    </row>
    <row r="315" spans="1:5" ht="15.75" x14ac:dyDescent="0.25">
      <c r="A315" s="27">
        <v>44228</v>
      </c>
      <c r="B315" s="14">
        <f>[4]monthly!$D414</f>
        <v>1595.4415000000001</v>
      </c>
      <c r="C315" s="14">
        <f>[4]monthly!$E414</f>
        <v>1653.2994999999999</v>
      </c>
      <c r="D315" s="14">
        <f>[4]monthly!$F414</f>
        <v>13737.403628631577</v>
      </c>
      <c r="E315" s="14">
        <f>[4]monthly!$G414</f>
        <v>3883.4321160526315</v>
      </c>
    </row>
    <row r="316" spans="1:5" ht="15.75" x14ac:dyDescent="0.25">
      <c r="A316" s="27">
        <v>44256</v>
      </c>
      <c r="B316" s="14">
        <f>[4]monthly!$D415</f>
        <v>1582.8128571428572</v>
      </c>
      <c r="C316" s="14">
        <f>[4]monthly!$E415</f>
        <v>1643.9028571428576</v>
      </c>
      <c r="D316" s="14">
        <f>[4]monthly!$F415</f>
        <v>13168.811820695653</v>
      </c>
      <c r="E316" s="14">
        <f>[4]monthly!$G415</f>
        <v>3910.5082638260869</v>
      </c>
    </row>
    <row r="317" spans="1:5" ht="15.75" x14ac:dyDescent="0.25">
      <c r="A317" s="27">
        <v>44287</v>
      </c>
      <c r="B317" s="14">
        <f>[4]monthly!$D416</f>
        <v>1633.596842105263</v>
      </c>
      <c r="C317" s="14">
        <f>[4]monthly!$E416</f>
        <v>1698.0600000000004</v>
      </c>
      <c r="D317" s="14">
        <f>[4]monthly!$F416</f>
        <v>13900.43796509524</v>
      </c>
      <c r="E317" s="14">
        <f>[4]monthly!$G416</f>
        <v>4141.1761904761906</v>
      </c>
    </row>
    <row r="318" spans="1:5" ht="15.75" x14ac:dyDescent="0.25">
      <c r="A318" s="27">
        <v>44317</v>
      </c>
      <c r="B318" s="14">
        <f>[4]monthly!$D417</f>
        <v>1665.768</v>
      </c>
      <c r="C318" s="14">
        <f>[4]monthly!$E417</f>
        <v>1740.3660000000004</v>
      </c>
      <c r="D318" s="14">
        <f>[4]monthly!$F417</f>
        <v>13520.2290527</v>
      </c>
      <c r="E318" s="14">
        <f>[4]monthly!$G417</f>
        <v>4167.8495000000012</v>
      </c>
    </row>
    <row r="319" spans="1:5" ht="15.75" x14ac:dyDescent="0.25">
      <c r="A319" s="27">
        <v>44348</v>
      </c>
      <c r="B319" s="14">
        <f>[4]monthly!$D418</f>
        <v>1690.5636363636361</v>
      </c>
      <c r="C319" s="14">
        <f>[4]monthly!$E418</f>
        <v>1764.1018181818183</v>
      </c>
      <c r="D319" s="14">
        <f>[4]monthly!$F418</f>
        <v>14097.169078499999</v>
      </c>
      <c r="E319" s="14">
        <f>[4]monthly!$G418</f>
        <v>4238.4895454545458</v>
      </c>
    </row>
    <row r="320" spans="1:5" ht="15.75" x14ac:dyDescent="0.25">
      <c r="A320" s="27">
        <v>44378</v>
      </c>
      <c r="B320" s="14">
        <f>[4]monthly!$D419</f>
        <v>1671.2939999999999</v>
      </c>
      <c r="C320" s="14">
        <f>[4]monthly!$E419</f>
        <v>1746.6389999999997</v>
      </c>
      <c r="D320" s="14">
        <f>[4]monthly!$F419</f>
        <v>14639.072870095239</v>
      </c>
      <c r="E320" s="14">
        <f>[4]monthly!$G419</f>
        <v>4363.7128571428575</v>
      </c>
    </row>
    <row r="321" spans="1:5" ht="15.75" x14ac:dyDescent="0.25">
      <c r="A321" s="27">
        <v>44409</v>
      </c>
      <c r="B321" s="14">
        <f>[4]monthly!$D420</f>
        <v>1721.14</v>
      </c>
      <c r="C321" s="14">
        <f>[4]monthly!$E420</f>
        <v>1780.7313043478257</v>
      </c>
      <c r="D321" s="14">
        <f>[4]monthly!$F420</f>
        <v>14856.517714863638</v>
      </c>
      <c r="E321" s="14">
        <f>[4]monthly!$G420</f>
        <v>4453.6568181818184</v>
      </c>
    </row>
    <row r="322" spans="1:5" ht="15.75" x14ac:dyDescent="0.25">
      <c r="A322" s="27">
        <v>44440</v>
      </c>
      <c r="B322" s="14">
        <f>[4]monthly!$D421</f>
        <v>1793.543076923077</v>
      </c>
      <c r="C322" s="14">
        <f>[4]monthly!$E421</f>
        <v>1851.7684615384617</v>
      </c>
      <c r="D322" s="14">
        <f>[4]monthly!$F421</f>
        <v>15023.538551000001</v>
      </c>
      <c r="E322" s="14">
        <f>[4]monthly!$G421</f>
        <v>4445.5433333333331</v>
      </c>
    </row>
    <row r="323" spans="1:5" ht="15.75" x14ac:dyDescent="0.25">
      <c r="A323" s="27">
        <v>44470</v>
      </c>
      <c r="B323" s="14">
        <f>[4]monthly!$D422</f>
        <v>1833.9533333333331</v>
      </c>
      <c r="C323" s="14">
        <f>[4]monthly!$E422</f>
        <v>1895.9590476190472</v>
      </c>
      <c r="D323" s="14">
        <f>[4]monthly!$F422</f>
        <v>14879.003831809525</v>
      </c>
      <c r="E323" s="14">
        <f>[4]monthly!$G422</f>
        <v>4460.7076190476191</v>
      </c>
    </row>
    <row r="324" spans="1:5" ht="15.75" x14ac:dyDescent="0.25">
      <c r="A324" s="27">
        <v>44501</v>
      </c>
      <c r="B324" s="14">
        <f>[4]monthly!$D423</f>
        <v>1887.598181818182</v>
      </c>
      <c r="C324" s="14">
        <f>[4]monthly!$E423</f>
        <v>1976.3709090909092</v>
      </c>
      <c r="D324" s="14">
        <f>[4]monthly!$F423</f>
        <v>15814.932896238097</v>
      </c>
      <c r="E324" s="14">
        <f>[4]monthly!$G423</f>
        <v>4667.4876190476189</v>
      </c>
    </row>
    <row r="325" spans="1:5" ht="15.75" x14ac:dyDescent="0.25">
      <c r="A325" s="27">
        <v>44531</v>
      </c>
      <c r="B325" s="14">
        <f>[4]monthly!$D424</f>
        <v>1914.5309090909091</v>
      </c>
      <c r="C325" s="14">
        <f>[4]monthly!$E424</f>
        <v>1996.1931818181815</v>
      </c>
      <c r="D325" s="14">
        <f>[4]monthly!$F424</f>
        <v>15474.4317295</v>
      </c>
      <c r="E325" s="14">
        <f>[4]monthly!$G424</f>
        <v>4674.7804545454537</v>
      </c>
    </row>
    <row r="326" spans="1:5" ht="15.75" x14ac:dyDescent="0.25">
      <c r="A326" s="27">
        <v>44562</v>
      </c>
      <c r="B326" s="14">
        <f>[4]monthly!$D425</f>
        <v>1987.8100000000004</v>
      </c>
      <c r="C326" s="14">
        <f>[4]monthly!$E425</f>
        <v>2078.3372727272731</v>
      </c>
      <c r="D326" s="14">
        <f>[4]monthly!$F425</f>
        <v>14531.377490300001</v>
      </c>
      <c r="E326" s="14">
        <f>[4]monthly!$G425</f>
        <v>4573.8250000000007</v>
      </c>
    </row>
    <row r="327" spans="1:5" ht="15.75" x14ac:dyDescent="0.25">
      <c r="A327" s="27">
        <v>44593</v>
      </c>
      <c r="B327" s="14">
        <f>[4]monthly!$D426</f>
        <v>1957.1110000000001</v>
      </c>
      <c r="C327" s="14">
        <f>[4]monthly!$E426</f>
        <v>2054.9734999999996</v>
      </c>
      <c r="D327" s="14">
        <f>[4]monthly!$F426</f>
        <v>13898.727900947368</v>
      </c>
      <c r="E327" s="14">
        <f>[4]monthly!$G426</f>
        <v>4435.9663157894729</v>
      </c>
    </row>
    <row r="328" spans="1:5" ht="15.75" x14ac:dyDescent="0.25">
      <c r="A328" s="27">
        <v>44621</v>
      </c>
      <c r="B328" s="14">
        <f>[4]monthly!$D427</f>
        <v>2006.3100000000002</v>
      </c>
      <c r="C328" s="14">
        <f>[4]monthly!$E427</f>
        <v>2087.4522222222222</v>
      </c>
      <c r="D328" s="14">
        <f>[4]monthly!$F427</f>
        <v>13623.262951826087</v>
      </c>
      <c r="E328" s="14">
        <f>[4]monthly!$G427</f>
        <v>4391.2630434782604</v>
      </c>
    </row>
    <row r="329" spans="1:5" ht="15.75" x14ac:dyDescent="0.25">
      <c r="A329" s="27">
        <v>44652</v>
      </c>
      <c r="B329" s="14">
        <f>[4]monthly!$D428</f>
        <v>2030.7878947368422</v>
      </c>
      <c r="C329" s="14">
        <f>[4]monthly!$E428</f>
        <v>2118.5094736842107</v>
      </c>
      <c r="D329" s="14">
        <f>[4]monthly!$F428</f>
        <v>13394.163054800001</v>
      </c>
      <c r="E329" s="14">
        <f>[4]monthly!$G428</f>
        <v>4391.2959999999994</v>
      </c>
    </row>
    <row r="330" spans="1:5" ht="15.75" x14ac:dyDescent="0.25">
      <c r="A330" s="27">
        <v>44682</v>
      </c>
      <c r="B330" s="14">
        <f>[4]monthly!$D429</f>
        <v>1898.3919047619045</v>
      </c>
      <c r="C330" s="14">
        <f>[4]monthly!$E429</f>
        <v>1968.3299999999997</v>
      </c>
      <c r="D330" s="14">
        <f>[4]monthly!$F429</f>
        <v>11829.729501476189</v>
      </c>
      <c r="E330" s="14">
        <f>[4]monthly!$G429</f>
        <v>4040.6223809523808</v>
      </c>
    </row>
    <row r="331" spans="1:5" ht="15.75" x14ac:dyDescent="0.25">
      <c r="A331" s="27">
        <v>44713</v>
      </c>
      <c r="B331" s="14">
        <f>[4]monthly!$D430</f>
        <v>1847.224285714286</v>
      </c>
      <c r="C331" s="14">
        <f>[4]monthly!$E430</f>
        <v>1902.3242857142857</v>
      </c>
      <c r="D331" s="14">
        <f>[4]monthly!$F430</f>
        <v>11418.919084809522</v>
      </c>
      <c r="E331" s="14">
        <f>[4]monthly!$G430</f>
        <v>3898.9466666666676</v>
      </c>
    </row>
    <row r="332" spans="1:5" ht="15.75" x14ac:dyDescent="0.25">
      <c r="A332" s="27">
        <v>44743</v>
      </c>
      <c r="B332" s="14">
        <f>[4]monthly!$D431</f>
        <v>1878.422380952381</v>
      </c>
      <c r="C332" s="14">
        <f>[4]monthly!$E431</f>
        <v>1939.4185714285711</v>
      </c>
      <c r="D332" s="14">
        <f>[4]monthly!$F431</f>
        <v>11622.63154305</v>
      </c>
      <c r="E332" s="14">
        <f>[4]monthly!$G431</f>
        <v>3911.729499999999</v>
      </c>
    </row>
    <row r="333" spans="1:5" ht="15.75" x14ac:dyDescent="0.25">
      <c r="A333" s="27">
        <v>44774</v>
      </c>
      <c r="B333" s="14">
        <f>[4]monthly!$D432</f>
        <v>2018.4077272727272</v>
      </c>
      <c r="C333" s="14">
        <f>[4]monthly!$E432</f>
        <v>2070.798181818182</v>
      </c>
      <c r="D333" s="14">
        <f>[4]monthly!$F432</f>
        <v>12570.260402608694</v>
      </c>
      <c r="E333" s="14">
        <f>[4]monthly!$G432</f>
        <v>4158.5630434782615</v>
      </c>
    </row>
    <row r="334" spans="1:5" ht="15.75" x14ac:dyDescent="0.25">
      <c r="A334" s="27">
        <v>44805</v>
      </c>
      <c r="B334" s="14">
        <f>[4]monthly!$D433</f>
        <v>1958.9022222222225</v>
      </c>
      <c r="C334" s="14">
        <f>[4]monthly!$E433</f>
        <v>2010.3005555555558</v>
      </c>
      <c r="D334" s="14">
        <f>[4]monthly!$F433</f>
        <v>11402.84998152381</v>
      </c>
      <c r="E334" s="14">
        <f>[4]monthly!$G433</f>
        <v>3850.5204761904752</v>
      </c>
    </row>
    <row r="335" spans="1:5" ht="15.75" x14ac:dyDescent="0.25">
      <c r="A335" s="27">
        <v>44835</v>
      </c>
      <c r="B335" s="14">
        <f>[4]monthly!$D434</f>
        <v>1890.890625</v>
      </c>
      <c r="C335" s="14">
        <f>[4]monthly!$E434</f>
        <v>1919.911875</v>
      </c>
      <c r="D335" s="14">
        <f>[4]monthly!$F434</f>
        <v>10801.494244761903</v>
      </c>
      <c r="E335" s="14">
        <f>[4]monthly!$G434</f>
        <v>3726.0509523809519</v>
      </c>
    </row>
    <row r="336" spans="1:5" ht="15.75" x14ac:dyDescent="0.25">
      <c r="A336" s="27">
        <v>44866</v>
      </c>
      <c r="B336" s="14">
        <f>[4]monthly!$D435</f>
        <v>1907.9471428571426</v>
      </c>
      <c r="C336" s="14">
        <f>[4]monthly!$E435</f>
        <v>1928.6657142857143</v>
      </c>
      <c r="D336" s="14">
        <f>[4]monthly!$F435</f>
        <v>10973.637632095239</v>
      </c>
      <c r="E336" s="14">
        <f>[4]monthly!$G435</f>
        <v>3917.4885830543153</v>
      </c>
    </row>
    <row r="337" spans="1:5" ht="15.75" x14ac:dyDescent="0.25">
      <c r="A337" s="27">
        <v>44896</v>
      </c>
      <c r="B337" s="14">
        <f>[4]monthly!$D436</f>
        <v>1819.0933333333332</v>
      </c>
      <c r="C337" s="14">
        <f>[4]monthly!$E436</f>
        <v>1842.074761904762</v>
      </c>
      <c r="D337" s="14">
        <f>[4]monthly!$F436</f>
        <v>10838.995814666667</v>
      </c>
      <c r="E337" s="14">
        <f>[4]monthly!$G436</f>
        <v>3912.3809523809523</v>
      </c>
    </row>
    <row r="338" spans="1:5" ht="15.75" x14ac:dyDescent="0.25">
      <c r="A338" s="27">
        <v>44927</v>
      </c>
      <c r="B338" s="14">
        <f>[4]monthly!$D437</f>
        <v>1811.4321739130435</v>
      </c>
      <c r="C338" s="14">
        <f>[4]monthly!$E437</f>
        <v>1837.1430434782606</v>
      </c>
      <c r="D338" s="14">
        <f>[4]monthly!$F437</f>
        <v>11013.990966849999</v>
      </c>
      <c r="E338" s="14">
        <f>[4]monthly!$G437</f>
        <v>3960.6565117187502</v>
      </c>
    </row>
    <row r="339" spans="1:5" ht="15.75" x14ac:dyDescent="0.25">
      <c r="A339" s="27">
        <v>44958</v>
      </c>
      <c r="B339" s="14">
        <f>[4]monthly!$D438</f>
        <v>1782.8869999999999</v>
      </c>
      <c r="C339" s="14">
        <f>[4]monthly!$E438</f>
        <v>1805.7644999999998</v>
      </c>
      <c r="D339" s="14">
        <f>[4]monthly!$F438</f>
        <v>11785.074321631579</v>
      </c>
      <c r="E339" s="14">
        <f>[4]monthly!$G438</f>
        <v>4079.6847368421049</v>
      </c>
    </row>
    <row r="340" spans="1:5" ht="15.75" x14ac:dyDescent="0.25">
      <c r="A340" s="27">
        <v>44986</v>
      </c>
      <c r="B340" s="14">
        <f>[4]monthly!$D439</f>
        <v>1750.3161904761901</v>
      </c>
      <c r="C340" s="14">
        <f>[4]monthly!$E439</f>
        <v>1740.4604761904761</v>
      </c>
      <c r="D340" s="14">
        <f>[4]monthly!$F439</f>
        <v>11624.641462095236</v>
      </c>
      <c r="E340" s="14">
        <f>[4]monthly!$G439</f>
        <v>3967.7342857142858</v>
      </c>
    </row>
    <row r="341" spans="1:5" ht="15.75" x14ac:dyDescent="0.25">
      <c r="A341" s="27">
        <v>45017</v>
      </c>
      <c r="B341" s="14">
        <f>[4]monthly!$D440</f>
        <v>1739.6146666666671</v>
      </c>
      <c r="C341" s="14">
        <f>[4]monthly!$E440</f>
        <v>1729.6546666666668</v>
      </c>
      <c r="D341" s="14">
        <f>[4]monthly!$F440</f>
        <v>12073.464740947369</v>
      </c>
      <c r="E341" s="14">
        <f>[4]monthly!$G440</f>
        <v>4121.4673684210529</v>
      </c>
    </row>
    <row r="342" spans="1:5" ht="15.75" x14ac:dyDescent="0.25">
      <c r="A342" s="27">
        <v>45047</v>
      </c>
      <c r="B342" s="14">
        <f>[4]monthly!$D441</f>
        <v>1788.4286363636363</v>
      </c>
      <c r="C342" s="14">
        <f>[4]monthly!$E441</f>
        <v>1788.740454545454</v>
      </c>
      <c r="D342" s="14">
        <f>[4]monthly!$F441</f>
        <v>12446.530447454543</v>
      </c>
      <c r="E342" s="14">
        <f>[4]monthly!$G441</f>
        <v>4146.2463636363645</v>
      </c>
    </row>
    <row r="343" spans="1:5" ht="15.75" x14ac:dyDescent="0.25">
      <c r="A343" s="27">
        <v>45078</v>
      </c>
      <c r="B343" s="14">
        <f>[4]monthly!$D442</f>
        <v>1780.2661904761906</v>
      </c>
      <c r="C343" s="14">
        <f>[4]monthly!$E442</f>
        <v>1796.3333333333333</v>
      </c>
      <c r="D343" s="14">
        <f>[4]monthly!$F442</f>
        <v>13463.778095238096</v>
      </c>
      <c r="E343" s="14">
        <f>[4]monthly!$G442</f>
        <v>4345.3728311428586</v>
      </c>
    </row>
    <row r="344" spans="1:5" ht="15.75" x14ac:dyDescent="0.25">
      <c r="A344" s="27">
        <v>45108</v>
      </c>
      <c r="B344" s="14">
        <f>[4]monthly!$D443</f>
        <v>1814.7219047619046</v>
      </c>
      <c r="C344" s="14">
        <f>[4]monthly!$E443</f>
        <v>1838.8052380952383</v>
      </c>
      <c r="D344" s="14">
        <f>[4]monthly!$F443</f>
        <v>14033.090999999997</v>
      </c>
      <c r="E344" s="14">
        <f>[4]monthly!$G443</f>
        <v>4508.0754882500005</v>
      </c>
    </row>
    <row r="345" spans="1:5" ht="15.75" x14ac:dyDescent="0.25">
      <c r="A345" s="27">
        <v>45139</v>
      </c>
      <c r="B345" s="14">
        <f>[4]monthly!$D444</f>
        <v>1853.7956521739131</v>
      </c>
      <c r="C345" s="14">
        <f>[4]monthly!$E444</f>
        <v>1875.5473913043479</v>
      </c>
      <c r="D345" s="14">
        <f>[4]monthly!$F444</f>
        <v>13743.213018043476</v>
      </c>
      <c r="E345" s="14">
        <f>[4]monthly!$G444</f>
        <v>4457.3586744782606</v>
      </c>
    </row>
    <row r="346" spans="1:5" ht="15.75" x14ac:dyDescent="0.25">
      <c r="A346" s="27">
        <v>45170</v>
      </c>
      <c r="B346" s="14">
        <f>[4]monthly!$D445</f>
        <v>1842.1235294117646</v>
      </c>
      <c r="C346" s="14">
        <f>[4]monthly!$E445</f>
        <v>1866.1317647058822</v>
      </c>
      <c r="D346" s="14">
        <f>[4]monthly!$F445</f>
        <v>13585.839550799999</v>
      </c>
      <c r="E346" s="14">
        <f>[4]monthly!$G445</f>
        <v>4409.0949950500008</v>
      </c>
    </row>
    <row r="347" spans="1:5" ht="15.75" x14ac:dyDescent="0.25">
      <c r="A347" s="27">
        <v>45200</v>
      </c>
      <c r="B347" s="14">
        <f>[4]monthly!$D446</f>
        <v>1709.7221739130432</v>
      </c>
      <c r="C347" s="14">
        <f>[4]monthly!$E446</f>
        <v>1726.4269565217392</v>
      </c>
      <c r="D347" s="14">
        <f>[4]monthly!$F446</f>
        <v>13199.427690136365</v>
      </c>
      <c r="E347" s="14">
        <f>[4]monthly!$G446</f>
        <v>4269.400945409091</v>
      </c>
    </row>
    <row r="348" spans="1:5" ht="15.75" x14ac:dyDescent="0.25">
      <c r="A348" s="27">
        <v>45231</v>
      </c>
      <c r="B348" s="14">
        <f>[4]monthly!$D447</f>
        <v>1733.0859090909087</v>
      </c>
      <c r="C348" s="14">
        <f>[4]monthly!$E447</f>
        <v>1751.1113636363634</v>
      </c>
      <c r="D348" s="14">
        <f>[4]monthly!$F447</f>
        <v>13913.160574809523</v>
      </c>
      <c r="E348" s="14">
        <f>[4]monthly!$G447</f>
        <v>4460.0633138095236</v>
      </c>
    </row>
    <row r="349" spans="1:5" ht="15.75" x14ac:dyDescent="0.25">
      <c r="A349" s="27">
        <v>45261</v>
      </c>
      <c r="B349" s="14">
        <f>[4]monthly!$D448</f>
        <v>1824.9976190476189</v>
      </c>
      <c r="C349" s="14">
        <f>[4]monthly!$E448</f>
        <v>1849.0957142857139</v>
      </c>
      <c r="D349" s="14">
        <f>[4]monthly!$F448</f>
        <v>14690.473974600001</v>
      </c>
      <c r="E349" s="14">
        <f>[4]monthly!$G448</f>
        <v>4685.0514893</v>
      </c>
    </row>
    <row r="350" spans="1:5" ht="15.75" x14ac:dyDescent="0.25">
      <c r="A350" s="27">
        <v>45292</v>
      </c>
      <c r="B350" s="14">
        <f>[4]monthly!$D449</f>
        <v>1851.1426086956521</v>
      </c>
      <c r="C350" s="14">
        <f>[4]monthly!$E449</f>
        <v>1878.2086956521741</v>
      </c>
      <c r="D350" s="14">
        <f>[4]monthly!$F449</f>
        <v>15081.388160523806</v>
      </c>
      <c r="E350" s="14">
        <f>[4]monthly!$G449</f>
        <v>4804.4915131904754</v>
      </c>
    </row>
    <row r="351" spans="1:5" ht="15.75" x14ac:dyDescent="0.25">
      <c r="A351" s="27">
        <v>45323</v>
      </c>
      <c r="B351" s="14">
        <f>[4]monthly!$D450</f>
        <v>1872.3884999999996</v>
      </c>
      <c r="C351" s="14">
        <f>[4]monthly!$E450</f>
        <v>1905.7740000000001</v>
      </c>
      <c r="D351" s="14">
        <f>[4]monthly!$F450</f>
        <v>15808.935009750003</v>
      </c>
      <c r="E351" s="14">
        <f>[4]monthly!$G450</f>
        <v>5011.9614258000001</v>
      </c>
    </row>
    <row r="352" spans="1:5" ht="15.75" x14ac:dyDescent="0.25">
      <c r="A352" s="27">
        <v>45352</v>
      </c>
      <c r="B352" s="14">
        <f>[4]monthly!$D451</f>
        <v>1950.5660000000003</v>
      </c>
      <c r="C352" s="14">
        <f>[4]monthly!$E451</f>
        <v>1986.9255000000005</v>
      </c>
      <c r="D352" s="14">
        <f>[4]monthly!$F451</f>
        <v>16216.295507800003</v>
      </c>
      <c r="E352" s="14">
        <f>[4]monthly!$G451</f>
        <v>5170.5724853000002</v>
      </c>
    </row>
    <row r="353" spans="1:5" ht="15.75" x14ac:dyDescent="0.25">
      <c r="A353" s="27">
        <v>45383</v>
      </c>
      <c r="B353" s="14">
        <f>[4]monthly!$D452</f>
        <v>1947.2577777777778</v>
      </c>
      <c r="C353" s="14">
        <f>[4]monthly!$E452</f>
        <v>1972.915</v>
      </c>
      <c r="D353" s="14">
        <f>[4]monthly!$F452</f>
        <v>15950.863547590909</v>
      </c>
      <c r="E353" s="14">
        <f>[4]monthly!$G452</f>
        <v>5112.4927424090911</v>
      </c>
    </row>
    <row r="354" spans="1:5" ht="15.75" x14ac:dyDescent="0.25">
      <c r="A354" s="27">
        <v>45413</v>
      </c>
      <c r="B354" s="14">
        <f>[4]monthly!$D453</f>
        <v>1977.2474999999999</v>
      </c>
      <c r="C354" s="14">
        <f>[4]monthly!$E453</f>
        <v>1985.7009999999998</v>
      </c>
      <c r="D354" s="14">
        <f>[4]monthly!$F453</f>
        <v>16536.317160954542</v>
      </c>
      <c r="E354" s="14">
        <f>[4]monthly!$G453</f>
        <v>5235.2254971818184</v>
      </c>
    </row>
    <row r="355" spans="1:5" ht="15.75" x14ac:dyDescent="0.25">
      <c r="A355" s="27">
        <v>45444</v>
      </c>
      <c r="B355" s="14">
        <f>[4]monthly!$D454</f>
        <v>1984.2494736842109</v>
      </c>
      <c r="C355" s="14">
        <f>[4]monthly!$E454</f>
        <v>1959.9768421052631</v>
      </c>
      <c r="D355" s="14">
        <f>[4]monthly!$F454</f>
        <v>17495.891578947369</v>
      </c>
      <c r="E355" s="14">
        <f>[4]monthly!$G454</f>
        <v>5415.1405211578931</v>
      </c>
    </row>
    <row r="356" spans="1:5" ht="15.75" x14ac:dyDescent="0.25">
      <c r="A356" s="27">
        <v>45474</v>
      </c>
      <c r="B356" s="14">
        <f>[4]monthly!$D455</f>
        <v>2037.4886956521741</v>
      </c>
      <c r="C356" s="14">
        <f>[4]monthly!$E455</f>
        <v>2025.5095652173907</v>
      </c>
      <c r="D356" s="14">
        <f>[4]monthly!$F455</f>
        <v>17963.291363636359</v>
      </c>
      <c r="E356" s="14">
        <f>[4]monthly!$G455</f>
        <v>5538.0045454545461</v>
      </c>
    </row>
    <row r="357" spans="1:5" ht="15.75" x14ac:dyDescent="0.25">
      <c r="A357" s="27">
        <v>45505</v>
      </c>
      <c r="B357" s="14">
        <f>[4]monthly!$D456</f>
        <v>2027.6449999999998</v>
      </c>
      <c r="C357" s="14">
        <f>[4]monthly!$E456</f>
        <v>2014.2720000000002</v>
      </c>
      <c r="D357" s="14">
        <f>[4]monthly!$F456</f>
        <v>17268.269090909089</v>
      </c>
      <c r="E357" s="14">
        <f>[4]monthly!$G456</f>
        <v>5478.2145454545462</v>
      </c>
    </row>
    <row r="358" spans="1:5" ht="15.75" x14ac:dyDescent="0.25">
      <c r="A358" s="27">
        <v>45536</v>
      </c>
      <c r="B358" s="14">
        <f>[4]monthly!$D457</f>
        <v>2050.0899999999997</v>
      </c>
      <c r="C358" s="14">
        <f>[4]monthly!$E457</f>
        <v>2046.0299999999995</v>
      </c>
      <c r="D358" s="14">
        <f>[4]monthly!$F457</f>
        <v>17599.230000000003</v>
      </c>
      <c r="E358" s="14">
        <f>[4]monthly!$G457</f>
        <v>5621.2604999999985</v>
      </c>
    </row>
    <row r="359" spans="1:5" ht="15.75" x14ac:dyDescent="0.25">
      <c r="A359" s="27">
        <v>45566</v>
      </c>
      <c r="B359" s="14">
        <f>[4]monthly!$D458</f>
        <v>2142.7152941176469</v>
      </c>
      <c r="C359" s="14">
        <f>[4]monthly!$E458</f>
        <v>2140.3829411764709</v>
      </c>
      <c r="D359" s="14">
        <f>[4]monthly!$F458</f>
        <v>18316.116086956521</v>
      </c>
      <c r="E359" s="14">
        <f>[4]monthly!$G458</f>
        <v>5792.3195652173899</v>
      </c>
    </row>
    <row r="360" spans="1:5" ht="15.75" x14ac:dyDescent="0.25">
      <c r="A360" s="27">
        <v>45597</v>
      </c>
      <c r="B360" s="14">
        <f>[4]monthly!$D459</f>
        <v>2260.7739999999999</v>
      </c>
      <c r="C360" s="14">
        <f>[4]monthly!$E459</f>
        <v>2275.622499999999</v>
      </c>
      <c r="D360" s="14">
        <f>[4]monthly!$F459</f>
        <v>18961.398999999998</v>
      </c>
      <c r="E360" s="14">
        <f>[4]monthly!$G459</f>
        <v>5929.9160000000002</v>
      </c>
    </row>
    <row r="361" spans="1:5" ht="15.75" x14ac:dyDescent="0.25">
      <c r="A361" s="27">
        <v>45627</v>
      </c>
      <c r="B361" s="14">
        <f>[4]monthly!$D460</f>
        <v>2354.1782608695653</v>
      </c>
      <c r="C361" s="14">
        <f>[4]monthly!$E460</f>
        <v>2392.9986956521739</v>
      </c>
      <c r="D361" s="14">
        <f>[4]monthly!$F460</f>
        <v>19734.563809523806</v>
      </c>
      <c r="E361" s="14">
        <f>[4]monthly!$G460</f>
        <v>6010.9085714285711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14C6-56ED-42D9-9DCC-95D8FBA360E7}">
  <dimension ref="A1:D377"/>
  <sheetViews>
    <sheetView tabSelected="1" topLeftCell="A370" workbookViewId="0">
      <selection activeCell="C52" sqref="C52"/>
    </sheetView>
  </sheetViews>
  <sheetFormatPr defaultRowHeight="14.25" x14ac:dyDescent="0.2"/>
  <cols>
    <col min="1" max="1" width="10.375" style="26" bestFit="1" customWidth="1"/>
    <col min="2" max="2" width="7.625" style="2" bestFit="1" customWidth="1"/>
    <col min="3" max="3" width="13.375" style="2" bestFit="1" customWidth="1"/>
    <col min="4" max="4" width="39" style="2" bestFit="1" customWidth="1"/>
  </cols>
  <sheetData>
    <row r="1" spans="1:4" x14ac:dyDescent="0.2">
      <c r="A1" s="24" t="s">
        <v>42</v>
      </c>
      <c r="B1" s="47" t="s">
        <v>44</v>
      </c>
      <c r="C1" s="33" t="s">
        <v>45</v>
      </c>
      <c r="D1" s="33" t="s">
        <v>36</v>
      </c>
    </row>
    <row r="2" spans="1:4" ht="15.75" x14ac:dyDescent="0.25">
      <c r="A2" s="27">
        <v>34700</v>
      </c>
      <c r="B2" s="33"/>
      <c r="C2" s="36">
        <f>[5]monthly!$D101</f>
        <v>3.011714285714286</v>
      </c>
      <c r="D2" s="37">
        <f>[6]monthly!$BJ101</f>
        <v>7655.8462579999996</v>
      </c>
    </row>
    <row r="3" spans="1:4" ht="15.75" x14ac:dyDescent="0.25">
      <c r="A3" s="27">
        <v>34731</v>
      </c>
      <c r="B3" s="36"/>
      <c r="C3" s="36">
        <f>[5]monthly!$D102</f>
        <v>3.0095499999999999</v>
      </c>
      <c r="D3" s="37">
        <f>[6]monthly!$BJ102</f>
        <v>8618.6176469999991</v>
      </c>
    </row>
    <row r="4" spans="1:4" ht="15.75" x14ac:dyDescent="0.25">
      <c r="A4" s="27">
        <v>34759</v>
      </c>
      <c r="B4" s="36"/>
      <c r="C4" s="36">
        <f>[5]monthly!$D103</f>
        <v>2.976142857142857</v>
      </c>
      <c r="D4" s="37">
        <f>[6]monthly!$BJ103</f>
        <v>9091.1186369999996</v>
      </c>
    </row>
    <row r="5" spans="1:4" ht="15.75" x14ac:dyDescent="0.25">
      <c r="A5" s="27">
        <v>34790</v>
      </c>
      <c r="B5" s="36"/>
      <c r="C5" s="36">
        <f>[5]monthly!$D104</f>
        <v>2.9589411764705882</v>
      </c>
      <c r="D5" s="37">
        <f>[6]monthly!$BJ104</f>
        <v>9656.7218200000007</v>
      </c>
    </row>
    <row r="6" spans="1:4" ht="15.75" x14ac:dyDescent="0.25">
      <c r="A6" s="27">
        <v>34820</v>
      </c>
      <c r="B6" s="36"/>
      <c r="C6" s="36">
        <f>[5]monthly!$D105</f>
        <v>3.0042380952380956</v>
      </c>
      <c r="D6" s="37">
        <f>[6]monthly!$BJ105</f>
        <v>9759.9675160000006</v>
      </c>
    </row>
    <row r="7" spans="1:4" ht="15.75" x14ac:dyDescent="0.25">
      <c r="A7" s="27">
        <v>34851</v>
      </c>
      <c r="B7" s="36"/>
      <c r="C7" s="36">
        <f>[5]monthly!$D106</f>
        <v>2.9810000000000003</v>
      </c>
      <c r="D7" s="37">
        <f>[6]monthly!$BJ106</f>
        <v>8931.5007910000004</v>
      </c>
    </row>
    <row r="8" spans="1:4" ht="15.75" x14ac:dyDescent="0.25">
      <c r="A8" s="27">
        <v>34881</v>
      </c>
      <c r="B8" s="36"/>
      <c r="C8" s="36">
        <f>[5]monthly!$D107</f>
        <v>2.9552857142857136</v>
      </c>
      <c r="D8" s="37">
        <f>[6]monthly!$BJ107</f>
        <v>9076.1771370000006</v>
      </c>
    </row>
    <row r="9" spans="1:4" ht="15.75" x14ac:dyDescent="0.25">
      <c r="A9" s="27">
        <v>34912</v>
      </c>
      <c r="B9" s="36"/>
      <c r="C9" s="36">
        <f>[5]monthly!$D108</f>
        <v>3.0307826086956529</v>
      </c>
      <c r="D9" s="37">
        <f>[6]monthly!$BJ108</f>
        <v>8273.9322580000007</v>
      </c>
    </row>
    <row r="10" spans="1:4" ht="15.75" x14ac:dyDescent="0.25">
      <c r="A10" s="27">
        <v>34943</v>
      </c>
      <c r="B10" s="36"/>
      <c r="C10" s="36">
        <f>[5]monthly!$D109</f>
        <v>3.0355789473684203</v>
      </c>
      <c r="D10" s="37">
        <f>[6]monthly!$BJ109</f>
        <v>8989.8373229999997</v>
      </c>
    </row>
    <row r="11" spans="1:4" ht="15.75" x14ac:dyDescent="0.25">
      <c r="A11" s="27">
        <v>34973</v>
      </c>
      <c r="B11" s="36"/>
      <c r="C11" s="36">
        <f>[5]monthly!$D110</f>
        <v>3.0102777777777781</v>
      </c>
      <c r="D11" s="37">
        <f>[6]monthly!$BJ110</f>
        <v>8529.6767779999991</v>
      </c>
    </row>
    <row r="12" spans="1:4" ht="15.75" x14ac:dyDescent="0.25">
      <c r="A12" s="27">
        <v>35004</v>
      </c>
      <c r="B12" s="36"/>
      <c r="C12" s="36">
        <f>[5]monthly!$D111</f>
        <v>3.0419999999999998</v>
      </c>
      <c r="D12" s="37">
        <f>[6]monthly!$BJ111</f>
        <v>8409.2189309999994</v>
      </c>
    </row>
    <row r="13" spans="1:4" ht="15.75" x14ac:dyDescent="0.25">
      <c r="A13" s="27">
        <v>35034</v>
      </c>
      <c r="B13" s="36"/>
      <c r="C13" s="36">
        <f>[5]monthly!$D112</f>
        <v>3.1197368421052629</v>
      </c>
      <c r="D13" s="37">
        <f>[6]monthly!$BJ112</f>
        <v>8307.3915469999993</v>
      </c>
    </row>
    <row r="14" spans="1:4" ht="15.75" x14ac:dyDescent="0.25">
      <c r="A14" s="27">
        <v>35065</v>
      </c>
      <c r="B14" s="36"/>
      <c r="C14" s="36">
        <f>[5]monthly!$D113</f>
        <v>3.1295454545454544</v>
      </c>
      <c r="D14" s="37">
        <f>[6]monthly!$BJ113</f>
        <v>9177.2916819999991</v>
      </c>
    </row>
    <row r="15" spans="1:4" ht="15.75" x14ac:dyDescent="0.25">
      <c r="A15" s="27">
        <v>35096</v>
      </c>
      <c r="B15" s="36"/>
      <c r="C15" s="36">
        <f>[5]monthly!$D114</f>
        <v>3.1131428571428574</v>
      </c>
      <c r="D15" s="37">
        <f>[6]monthly!$BJ114</f>
        <v>10024.639816000001</v>
      </c>
    </row>
    <row r="16" spans="1:4" ht="15.75" x14ac:dyDescent="0.25">
      <c r="A16" s="27">
        <v>35125</v>
      </c>
      <c r="B16" s="36"/>
      <c r="C16" s="36">
        <f>[5]monthly!$D115</f>
        <v>3.0991052631578939</v>
      </c>
      <c r="D16" s="37">
        <f>[6]monthly!$BJ115</f>
        <v>9836.6582130000006</v>
      </c>
    </row>
    <row r="17" spans="1:4" ht="15.75" x14ac:dyDescent="0.25">
      <c r="A17" s="27">
        <v>35156</v>
      </c>
      <c r="B17" s="36"/>
      <c r="C17" s="36">
        <f>[5]monthly!$D116</f>
        <v>3.1648750000000003</v>
      </c>
      <c r="D17" s="37">
        <f>[6]monthly!$BJ116</f>
        <v>9589.8174569999992</v>
      </c>
    </row>
    <row r="18" spans="1:4" ht="15.75" x14ac:dyDescent="0.25">
      <c r="A18" s="27">
        <v>35186</v>
      </c>
      <c r="B18" s="36"/>
      <c r="C18" s="36">
        <f>[5]monthly!$D117</f>
        <v>3.2527500000000003</v>
      </c>
      <c r="D18" s="37">
        <f>[6]monthly!$BJ117</f>
        <v>9373.0642640000005</v>
      </c>
    </row>
    <row r="19" spans="1:4" ht="15.75" x14ac:dyDescent="0.25">
      <c r="A19" s="27">
        <v>35217</v>
      </c>
      <c r="B19" s="36"/>
      <c r="C19" s="36">
        <f>[5]monthly!$D118</f>
        <v>3.2555000000000001</v>
      </c>
      <c r="D19" s="37">
        <f>[6]monthly!$BJ118</f>
        <v>9007.1595969999998</v>
      </c>
    </row>
    <row r="20" spans="1:4" ht="15.75" x14ac:dyDescent="0.25">
      <c r="A20" s="27">
        <v>35247</v>
      </c>
      <c r="B20" s="36"/>
      <c r="C20" s="36">
        <f>[5]monthly!$D119</f>
        <v>3.1794761904761906</v>
      </c>
      <c r="D20" s="37">
        <f>[6]monthly!$BJ119</f>
        <v>9052.0327159999997</v>
      </c>
    </row>
    <row r="21" spans="1:4" ht="15.75" x14ac:dyDescent="0.25">
      <c r="A21" s="27">
        <v>35278</v>
      </c>
      <c r="B21" s="36"/>
      <c r="C21" s="36">
        <f>[5]monthly!$D120</f>
        <v>3.1461363636363631</v>
      </c>
      <c r="D21" s="37">
        <f>[6]monthly!$BJ120</f>
        <v>9655.0439289999995</v>
      </c>
    </row>
    <row r="22" spans="1:4" ht="15.75" x14ac:dyDescent="0.25">
      <c r="A22" s="27">
        <v>35309</v>
      </c>
      <c r="B22" s="36"/>
      <c r="C22" s="36">
        <f>[5]monthly!$D121</f>
        <v>3.1668947368421052</v>
      </c>
      <c r="D22" s="37">
        <f>[6]monthly!$BJ121</f>
        <v>10367.669818</v>
      </c>
    </row>
    <row r="23" spans="1:4" ht="15.75" x14ac:dyDescent="0.25">
      <c r="A23" s="27">
        <v>35339</v>
      </c>
      <c r="B23" s="36"/>
      <c r="C23" s="36">
        <f>[5]monthly!$D122</f>
        <v>3.2253478260869564</v>
      </c>
      <c r="D23" s="37">
        <f>[6]monthly!$BJ122</f>
        <v>11819.771939</v>
      </c>
    </row>
    <row r="24" spans="1:4" ht="15.75" x14ac:dyDescent="0.25">
      <c r="A24" s="27">
        <v>35370</v>
      </c>
      <c r="B24" s="36"/>
      <c r="C24" s="36">
        <f>[5]monthly!$D123</f>
        <v>3.2443809523809519</v>
      </c>
      <c r="D24" s="37">
        <f>[6]monthly!$BJ123</f>
        <v>11409.307773</v>
      </c>
    </row>
    <row r="25" spans="1:4" ht="15.75" x14ac:dyDescent="0.25">
      <c r="A25" s="27">
        <v>35400</v>
      </c>
      <c r="B25" s="36"/>
      <c r="C25" s="36">
        <f>[5]monthly!$D124</f>
        <v>3.2764736842105262</v>
      </c>
      <c r="D25" s="37">
        <f>[6]monthly!$BJ124</f>
        <v>11574.639929999999</v>
      </c>
    </row>
    <row r="26" spans="1:4" ht="15.75" x14ac:dyDescent="0.25">
      <c r="A26" s="27">
        <v>35431</v>
      </c>
      <c r="B26" s="36"/>
      <c r="C26" s="36">
        <f>[5]monthly!$D125</f>
        <v>3.276136363636363</v>
      </c>
      <c r="D26" s="37">
        <f>[6]monthly!$BJ125</f>
        <v>12898.555698</v>
      </c>
    </row>
    <row r="27" spans="1:4" ht="15.75" x14ac:dyDescent="0.25">
      <c r="A27" s="27">
        <v>35462</v>
      </c>
      <c r="B27" s="36"/>
      <c r="C27" s="36">
        <f>[5]monthly!$D126</f>
        <v>3.3366470588235289</v>
      </c>
      <c r="D27" s="37">
        <f>[6]monthly!$BJ126</f>
        <v>14069.488278999999</v>
      </c>
    </row>
    <row r="28" spans="1:4" ht="15.75" x14ac:dyDescent="0.25">
      <c r="A28" s="27">
        <v>35490</v>
      </c>
      <c r="B28" s="36"/>
      <c r="C28" s="36">
        <f>[5]monthly!$D127</f>
        <v>3.3665555555555553</v>
      </c>
      <c r="D28" s="37">
        <f>[6]monthly!$BJ127</f>
        <v>15521.296194</v>
      </c>
    </row>
    <row r="29" spans="1:4" ht="15.75" x14ac:dyDescent="0.25">
      <c r="A29" s="27">
        <v>35521</v>
      </c>
      <c r="B29" s="36"/>
      <c r="C29" s="36">
        <f>[5]monthly!$D128</f>
        <v>3.3899473684210522</v>
      </c>
      <c r="D29" s="37">
        <f>[6]monthly!$BJ128</f>
        <v>16178.017757</v>
      </c>
    </row>
    <row r="30" spans="1:4" ht="15.75" x14ac:dyDescent="0.25">
      <c r="A30" s="27">
        <v>35551</v>
      </c>
      <c r="B30" s="36"/>
      <c r="C30" s="36">
        <f>[5]monthly!$D129</f>
        <v>3.3988000000000005</v>
      </c>
      <c r="D30" s="37">
        <f>[6]monthly!$BJ129</f>
        <v>16564.114320000001</v>
      </c>
    </row>
    <row r="31" spans="1:4" ht="15.75" x14ac:dyDescent="0.25">
      <c r="A31" s="27">
        <v>35582</v>
      </c>
      <c r="B31" s="36"/>
      <c r="C31" s="36">
        <f>[5]monthly!$D130</f>
        <v>3.4530000000000003</v>
      </c>
      <c r="D31" s="37">
        <f>[6]monthly!$BJ130</f>
        <v>17993.834029000001</v>
      </c>
    </row>
    <row r="32" spans="1:4" ht="15.75" x14ac:dyDescent="0.25">
      <c r="A32" s="27">
        <v>35612</v>
      </c>
      <c r="B32" s="36"/>
      <c r="C32" s="36">
        <f>[5]monthly!$D131</f>
        <v>3.5440000000000005</v>
      </c>
      <c r="D32" s="37">
        <f>[6]monthly!$BJ131</f>
        <v>18158.184090999999</v>
      </c>
    </row>
    <row r="33" spans="1:4" ht="15.75" x14ac:dyDescent="0.25">
      <c r="A33" s="27">
        <v>35643</v>
      </c>
      <c r="B33" s="36"/>
      <c r="C33" s="36">
        <f>[5]monthly!$D132</f>
        <v>3.5300500000000001</v>
      </c>
      <c r="D33" s="37">
        <f>[6]monthly!$BJ132</f>
        <v>18466.118418999999</v>
      </c>
    </row>
    <row r="34" spans="1:4" ht="15.75" x14ac:dyDescent="0.25">
      <c r="A34" s="27">
        <v>35674</v>
      </c>
      <c r="B34" s="36"/>
      <c r="C34" s="36">
        <f>[5]monthly!$D133</f>
        <v>3.5079090909090911</v>
      </c>
      <c r="D34" s="37">
        <f>[6]monthly!$BJ133</f>
        <v>19205.577993999999</v>
      </c>
    </row>
    <row r="35" spans="1:4" ht="15.75" x14ac:dyDescent="0.25">
      <c r="A35" s="27">
        <v>35704</v>
      </c>
      <c r="B35" s="36"/>
      <c r="C35" s="36">
        <f>[5]monthly!$D134</f>
        <v>3.5217647058823531</v>
      </c>
      <c r="D35" s="37">
        <f>[6]monthly!$BJ134</f>
        <v>19574.543027</v>
      </c>
    </row>
    <row r="36" spans="1:4" ht="15.75" x14ac:dyDescent="0.25">
      <c r="A36" s="27">
        <v>35735</v>
      </c>
      <c r="B36" s="36"/>
      <c r="C36" s="36">
        <f>[5]monthly!$D135</f>
        <v>3.53335</v>
      </c>
      <c r="D36" s="37">
        <f>[6]monthly!$BJ135</f>
        <v>19405.022261999999</v>
      </c>
    </row>
    <row r="37" spans="1:4" ht="15.75" x14ac:dyDescent="0.25">
      <c r="A37" s="27">
        <v>35765</v>
      </c>
      <c r="B37" s="36"/>
      <c r="C37" s="36">
        <f>[5]monthly!$D136</f>
        <v>3.534388888888889</v>
      </c>
      <c r="D37" s="37">
        <f>[6]monthly!$BJ136</f>
        <v>20332.481129</v>
      </c>
    </row>
    <row r="38" spans="1:4" ht="15.75" x14ac:dyDescent="0.25">
      <c r="A38" s="27">
        <v>35796</v>
      </c>
      <c r="B38" s="36"/>
      <c r="C38" s="36">
        <f>[5]monthly!$D137</f>
        <v>3.5771904761904758</v>
      </c>
      <c r="D38" s="37">
        <f>[6]monthly!$BJ137</f>
        <v>21923.216092999999</v>
      </c>
    </row>
    <row r="39" spans="1:4" ht="15.75" x14ac:dyDescent="0.25">
      <c r="A39" s="27">
        <v>35827</v>
      </c>
      <c r="B39" s="36"/>
      <c r="C39" s="36">
        <f>[5]monthly!$D138</f>
        <v>3.5942999999999992</v>
      </c>
      <c r="D39" s="37">
        <f>[6]monthly!$BJ138</f>
        <v>21811.626097</v>
      </c>
    </row>
    <row r="40" spans="1:4" ht="15.75" x14ac:dyDescent="0.25">
      <c r="A40" s="27">
        <v>35855</v>
      </c>
      <c r="B40" s="36"/>
      <c r="C40" s="36">
        <f>[5]monthly!$D139</f>
        <v>3.5862499999999997</v>
      </c>
      <c r="D40" s="37">
        <f>[6]monthly!$BJ139</f>
        <v>21603.441757000001</v>
      </c>
    </row>
    <row r="41" spans="1:4" ht="15.75" x14ac:dyDescent="0.25">
      <c r="A41" s="27">
        <v>35886</v>
      </c>
      <c r="B41" s="36"/>
      <c r="C41" s="36">
        <f>[5]monthly!$D140</f>
        <v>3.7050555555555551</v>
      </c>
      <c r="D41" s="37">
        <f>[6]monthly!$BJ140</f>
        <v>21837.742156</v>
      </c>
    </row>
    <row r="42" spans="1:4" ht="15.75" x14ac:dyDescent="0.25">
      <c r="A42" s="27">
        <v>35916</v>
      </c>
      <c r="B42" s="36"/>
      <c r="C42" s="36">
        <f>[5]monthly!$D141</f>
        <v>3.6654736842105264</v>
      </c>
      <c r="D42" s="37">
        <f>[6]monthly!$BJ141</f>
        <v>21537.104186</v>
      </c>
    </row>
    <row r="43" spans="1:4" ht="15.75" x14ac:dyDescent="0.25">
      <c r="A43" s="27">
        <v>35947</v>
      </c>
      <c r="B43" s="36"/>
      <c r="C43" s="36">
        <f>[5]monthly!$D142</f>
        <v>3.6642272727272727</v>
      </c>
      <c r="D43" s="37">
        <f>[6]monthly!$BJ142</f>
        <v>21322.432081999999</v>
      </c>
    </row>
    <row r="44" spans="1:4" ht="15.75" x14ac:dyDescent="0.25">
      <c r="A44" s="27">
        <v>35977</v>
      </c>
      <c r="B44" s="36"/>
      <c r="C44" s="36">
        <f>[5]monthly!$D143</f>
        <v>3.6600434782608708</v>
      </c>
      <c r="D44" s="37">
        <f>[6]monthly!$BJ143</f>
        <v>21405.083972</v>
      </c>
    </row>
    <row r="45" spans="1:4" ht="15.75" x14ac:dyDescent="0.25">
      <c r="A45" s="27">
        <v>36008</v>
      </c>
      <c r="B45" s="36"/>
      <c r="C45" s="36">
        <f>[5]monthly!$D144</f>
        <v>3.7075714285714283</v>
      </c>
      <c r="D45" s="37">
        <f>[6]monthly!$BJ144</f>
        <v>21544.499339000002</v>
      </c>
    </row>
    <row r="46" spans="1:4" ht="15.75" x14ac:dyDescent="0.25">
      <c r="A46" s="27">
        <v>36039</v>
      </c>
      <c r="B46" s="36"/>
      <c r="C46" s="36">
        <f>[5]monthly!$D145</f>
        <v>3.8448888888888888</v>
      </c>
      <c r="D46" s="37">
        <f>[6]monthly!$BJ145</f>
        <v>21714.884493000001</v>
      </c>
    </row>
    <row r="47" spans="1:4" ht="15.75" x14ac:dyDescent="0.25">
      <c r="A47" s="27">
        <v>36069</v>
      </c>
      <c r="B47" s="36"/>
      <c r="C47" s="36">
        <f>[5]monthly!$D146</f>
        <v>4.1940000000000008</v>
      </c>
      <c r="D47" s="37">
        <f>[6]monthly!$BJ146</f>
        <v>21914.409135999998</v>
      </c>
    </row>
    <row r="48" spans="1:4" ht="15.75" x14ac:dyDescent="0.25">
      <c r="A48" s="27">
        <v>36100</v>
      </c>
      <c r="B48" s="36"/>
      <c r="C48" s="36">
        <f>[5]monthly!$D147</f>
        <v>4.2263333333333337</v>
      </c>
      <c r="D48" s="37">
        <f>[6]monthly!$BJ147</f>
        <v>22478.555886999999</v>
      </c>
    </row>
    <row r="49" spans="1:4" ht="15.75" x14ac:dyDescent="0.25">
      <c r="A49" s="27">
        <v>36130</v>
      </c>
      <c r="B49" s="36"/>
      <c r="C49" s="36">
        <f>[5]monthly!$D148</f>
        <v>4.1764090909090905</v>
      </c>
      <c r="D49" s="37">
        <f>[6]monthly!$BJ148</f>
        <v>22674.335236999999</v>
      </c>
    </row>
    <row r="50" spans="1:4" ht="15.75" x14ac:dyDescent="0.25">
      <c r="A50" s="27">
        <v>36161</v>
      </c>
      <c r="B50" s="36"/>
      <c r="C50" s="36">
        <f>[5]monthly!$D149</f>
        <v>4.0797999999999996</v>
      </c>
      <c r="D50" s="37">
        <f>[6]monthly!$BJ149</f>
        <v>22635.549114000001</v>
      </c>
    </row>
    <row r="51" spans="1:4" ht="15.75" x14ac:dyDescent="0.25">
      <c r="A51" s="27">
        <v>36192</v>
      </c>
      <c r="B51" s="36"/>
      <c r="C51" s="36">
        <f>[5]monthly!$D150</f>
        <v>4.0676499999999995</v>
      </c>
      <c r="D51" s="37">
        <f>[6]monthly!$BJ150</f>
        <v>22255.400458</v>
      </c>
    </row>
    <row r="52" spans="1:4" ht="15.75" x14ac:dyDescent="0.25">
      <c r="A52" s="27">
        <v>36220</v>
      </c>
      <c r="B52" s="36"/>
      <c r="C52" s="36">
        <f>[5]monthly!$D151</f>
        <v>4.0308499999999992</v>
      </c>
      <c r="D52" s="37">
        <f>[6]monthly!$BJ151</f>
        <v>22071.887667999999</v>
      </c>
    </row>
    <row r="53" spans="1:4" ht="15.75" x14ac:dyDescent="0.25">
      <c r="A53" s="27">
        <v>36251</v>
      </c>
      <c r="B53" s="36"/>
      <c r="C53" s="36">
        <f>[5]monthly!$D152</f>
        <v>4.0609999999999991</v>
      </c>
      <c r="D53" s="37">
        <f>[6]monthly!$BJ152</f>
        <v>22156.625647000001</v>
      </c>
    </row>
    <row r="54" spans="1:4" ht="15.75" x14ac:dyDescent="0.25">
      <c r="A54" s="27">
        <v>36281</v>
      </c>
      <c r="B54" s="36"/>
      <c r="C54" s="36">
        <f>[5]monthly!$D153</f>
        <v>4.1176111111111107</v>
      </c>
      <c r="D54" s="37">
        <f>[6]monthly!$BJ153</f>
        <v>21639.824172000001</v>
      </c>
    </row>
    <row r="55" spans="1:4" ht="15.75" x14ac:dyDescent="0.25">
      <c r="A55" s="27">
        <v>36312</v>
      </c>
      <c r="B55" s="36"/>
      <c r="C55" s="36">
        <f>[5]monthly!$D154</f>
        <v>4.089227272727272</v>
      </c>
      <c r="D55" s="37">
        <f>[6]monthly!$BJ154</f>
        <v>22018.611457999999</v>
      </c>
    </row>
    <row r="56" spans="1:4" ht="15.75" x14ac:dyDescent="0.25">
      <c r="A56" s="27">
        <v>36342</v>
      </c>
      <c r="B56" s="36">
        <v>91.938780109095205</v>
      </c>
      <c r="C56" s="36">
        <f>[5]monthly!$D155</f>
        <v>4.0966190476190478</v>
      </c>
      <c r="D56" s="37">
        <f>[6]monthly!$BJ155</f>
        <v>22234.446201999999</v>
      </c>
    </row>
    <row r="57" spans="1:4" ht="15.75" x14ac:dyDescent="0.25">
      <c r="A57" s="27">
        <v>36373</v>
      </c>
      <c r="B57" s="36">
        <v>95.246873439275006</v>
      </c>
      <c r="C57" s="36">
        <f>[5]monthly!$D156</f>
        <v>4.202590909090909</v>
      </c>
      <c r="D57" s="37">
        <f>[6]monthly!$BJ156</f>
        <v>21878.764522000001</v>
      </c>
    </row>
    <row r="58" spans="1:4" ht="15.75" x14ac:dyDescent="0.25">
      <c r="A58" s="27">
        <v>36404</v>
      </c>
      <c r="B58" s="36">
        <v>96.066597862503599</v>
      </c>
      <c r="C58" s="36">
        <f>[5]monthly!$D157</f>
        <v>4.2467000000000006</v>
      </c>
      <c r="D58" s="37">
        <f>[6]monthly!$BJ157</f>
        <v>21944.787933</v>
      </c>
    </row>
    <row r="59" spans="1:4" ht="15.75" x14ac:dyDescent="0.25">
      <c r="A59" s="27">
        <v>36434</v>
      </c>
      <c r="B59" s="36">
        <v>96.873641042904794</v>
      </c>
      <c r="C59" s="36">
        <f>[5]monthly!$D158</f>
        <v>4.26404761904762</v>
      </c>
      <c r="D59" s="37">
        <f>[6]monthly!$BJ158</f>
        <v>21781.095153999999</v>
      </c>
    </row>
    <row r="60" spans="1:4" ht="15.75" x14ac:dyDescent="0.25">
      <c r="A60" s="27">
        <v>36465</v>
      </c>
      <c r="B60" s="36">
        <v>94.965278500111395</v>
      </c>
      <c r="C60" s="36">
        <f>[5]monthly!$D159</f>
        <v>4.2262272727272725</v>
      </c>
      <c r="D60" s="37">
        <f>[6]monthly!$BJ159</f>
        <v>21385.765004000001</v>
      </c>
    </row>
    <row r="61" spans="1:4" ht="15.75" x14ac:dyDescent="0.25">
      <c r="A61" s="27">
        <v>36495</v>
      </c>
      <c r="B61" s="36">
        <v>93.692956965506596</v>
      </c>
      <c r="C61" s="36">
        <f>[5]monthly!$D160</f>
        <v>4.1928181818181818</v>
      </c>
      <c r="D61" s="37">
        <f>[6]monthly!$BJ160</f>
        <v>22605.128722000001</v>
      </c>
    </row>
    <row r="62" spans="1:4" ht="15.75" x14ac:dyDescent="0.25">
      <c r="A62" s="27">
        <v>36526</v>
      </c>
      <c r="B62" s="36">
        <v>92.514743221469402</v>
      </c>
      <c r="C62" s="36">
        <f>[5]monthly!$D161</f>
        <v>4.1048571428571421</v>
      </c>
      <c r="D62" s="37">
        <f>[6]monthly!$BJ161</f>
        <v>22090.379047999999</v>
      </c>
    </row>
    <row r="63" spans="1:4" ht="15.75" x14ac:dyDescent="0.25">
      <c r="A63" s="27">
        <v>36557</v>
      </c>
      <c r="B63" s="36">
        <v>90.642962615696007</v>
      </c>
      <c r="C63" s="36">
        <f>[5]monthly!$D162</f>
        <v>4.0535714285714288</v>
      </c>
      <c r="D63" s="37">
        <f>[6]monthly!$BJ162</f>
        <v>22063.017661999998</v>
      </c>
    </row>
    <row r="64" spans="1:4" ht="15.75" x14ac:dyDescent="0.25">
      <c r="A64" s="27">
        <v>36586</v>
      </c>
      <c r="B64" s="36">
        <v>89.557537722666694</v>
      </c>
      <c r="C64" s="36">
        <f>[5]monthly!$D163</f>
        <v>4.004142857142857</v>
      </c>
      <c r="D64" s="37">
        <f>[6]monthly!$BJ163</f>
        <v>22765.086610999999</v>
      </c>
    </row>
    <row r="65" spans="1:4" ht="15.75" x14ac:dyDescent="0.25">
      <c r="A65" s="27">
        <v>36617</v>
      </c>
      <c r="B65" s="36">
        <v>89.581088057991806</v>
      </c>
      <c r="C65" s="36">
        <f>[5]monthly!$D164</f>
        <v>4.0402666666666667</v>
      </c>
      <c r="D65" s="37">
        <f>[6]monthly!$BJ164</f>
        <v>22301.978962000001</v>
      </c>
    </row>
    <row r="66" spans="1:4" ht="15.75" x14ac:dyDescent="0.25">
      <c r="A66" s="27">
        <v>36647</v>
      </c>
      <c r="B66" s="36">
        <v>88.793741380540993</v>
      </c>
      <c r="C66" s="36">
        <f>[5]monthly!$D165</f>
        <v>4.1455500000000018</v>
      </c>
      <c r="D66" s="37">
        <f>[6]monthly!$BJ165</f>
        <v>22264.061412999999</v>
      </c>
    </row>
    <row r="67" spans="1:4" ht="15.75" x14ac:dyDescent="0.25">
      <c r="A67" s="27">
        <v>36678</v>
      </c>
      <c r="B67" s="36">
        <v>89.763377136193498</v>
      </c>
      <c r="C67" s="36">
        <f>[5]monthly!$D166</f>
        <v>4.1069047619047616</v>
      </c>
      <c r="D67" s="37">
        <f>[6]monthly!$BJ166</f>
        <v>22273.720453999998</v>
      </c>
    </row>
    <row r="68" spans="1:4" ht="15.75" x14ac:dyDescent="0.25">
      <c r="A68" s="27">
        <v>36708</v>
      </c>
      <c r="B68" s="36">
        <v>88.575187466111103</v>
      </c>
      <c r="C68" s="36">
        <f>[5]monthly!$D167</f>
        <v>4.0894761904761889</v>
      </c>
      <c r="D68" s="37">
        <f>[6]monthly!$BJ167</f>
        <v>22155.257879000001</v>
      </c>
    </row>
    <row r="69" spans="1:4" ht="15.75" x14ac:dyDescent="0.25">
      <c r="A69" s="27">
        <v>36739</v>
      </c>
      <c r="B69" s="36">
        <v>86.8028811328426</v>
      </c>
      <c r="C69" s="36">
        <f>[5]monthly!$D168</f>
        <v>4.0480000000000009</v>
      </c>
      <c r="D69" s="37">
        <f>[6]monthly!$BJ168</f>
        <v>22161.884193000002</v>
      </c>
    </row>
    <row r="70" spans="1:4" ht="15.75" x14ac:dyDescent="0.25">
      <c r="A70" s="27">
        <v>36770</v>
      </c>
      <c r="B70" s="36">
        <v>85.910707405491706</v>
      </c>
      <c r="C70" s="36">
        <f>[5]monthly!$D169</f>
        <v>4.0385499999999999</v>
      </c>
      <c r="D70" s="37">
        <f>[6]monthly!$BJ169</f>
        <v>22160.195076</v>
      </c>
    </row>
    <row r="71" spans="1:4" ht="15.75" x14ac:dyDescent="0.25">
      <c r="A71" s="27">
        <v>36800</v>
      </c>
      <c r="B71" s="36">
        <v>86.021135405265298</v>
      </c>
      <c r="C71" s="36">
        <f>[5]monthly!$D170</f>
        <v>4.1052380952380956</v>
      </c>
      <c r="D71" s="37">
        <f>[6]monthly!$BJ170</f>
        <v>21964.282982000001</v>
      </c>
    </row>
    <row r="72" spans="1:4" ht="15.75" x14ac:dyDescent="0.25">
      <c r="A72" s="27">
        <v>36831</v>
      </c>
      <c r="B72" s="36">
        <v>85.947275974140794</v>
      </c>
      <c r="C72" s="36">
        <f>[5]monthly!$D171</f>
        <v>4.1096818181818184</v>
      </c>
      <c r="D72" s="37">
        <f>[6]monthly!$BJ171</f>
        <v>21844.597694</v>
      </c>
    </row>
    <row r="73" spans="1:4" ht="15.75" x14ac:dyDescent="0.25">
      <c r="A73" s="27">
        <v>36861</v>
      </c>
      <c r="B73" s="36">
        <v>87.117205498633993</v>
      </c>
      <c r="C73" s="36">
        <f>[5]monthly!$D172</f>
        <v>4.0811578947368412</v>
      </c>
      <c r="D73" s="37">
        <f>[6]monthly!$BJ172</f>
        <v>23281.471072</v>
      </c>
    </row>
    <row r="74" spans="1:4" ht="15.75" x14ac:dyDescent="0.25">
      <c r="A74" s="27">
        <v>36892</v>
      </c>
      <c r="B74" s="36">
        <v>88.475692046795402</v>
      </c>
      <c r="C74" s="36">
        <f>[5]monthly!$D173</f>
        <v>4.1193181818181817</v>
      </c>
      <c r="D74" s="37">
        <f>[6]monthly!$BJ173</f>
        <v>23845.394418</v>
      </c>
    </row>
    <row r="75" spans="1:4" ht="15.75" x14ac:dyDescent="0.25">
      <c r="A75" s="27">
        <v>36923</v>
      </c>
      <c r="B75" s="36">
        <v>87.891694234181102</v>
      </c>
      <c r="C75" s="36">
        <f>[5]monthly!$D174</f>
        <v>4.1215263157894739</v>
      </c>
      <c r="D75" s="37">
        <f>[6]monthly!$BJ174</f>
        <v>23631.005786000002</v>
      </c>
    </row>
    <row r="76" spans="1:4" ht="15.75" x14ac:dyDescent="0.25">
      <c r="A76" s="27">
        <v>36951</v>
      </c>
      <c r="B76" s="36">
        <v>87.567810413129806</v>
      </c>
      <c r="C76" s="36">
        <f>[5]monthly!$D175</f>
        <v>4.1646190476190474</v>
      </c>
      <c r="D76" s="37">
        <f>[6]monthly!$BJ175</f>
        <v>23953.441406999998</v>
      </c>
    </row>
    <row r="77" spans="1:4" ht="15.75" x14ac:dyDescent="0.25">
      <c r="A77" s="27">
        <v>36982</v>
      </c>
      <c r="B77" s="36">
        <v>86.281234710831001</v>
      </c>
      <c r="C77" s="36">
        <f>[5]monthly!$D176</f>
        <v>4.1759999999999993</v>
      </c>
      <c r="D77" s="37">
        <f>[6]monthly!$BJ176</f>
        <v>23533.646742000001</v>
      </c>
    </row>
    <row r="78" spans="1:4" ht="15.75" x14ac:dyDescent="0.25">
      <c r="A78" s="27">
        <v>37012</v>
      </c>
      <c r="B78" s="36">
        <v>85.147713204435902</v>
      </c>
      <c r="C78" s="36">
        <f>[5]monthly!$D177</f>
        <v>4.1400454545454544</v>
      </c>
      <c r="D78" s="37">
        <f>[6]monthly!$BJ177</f>
        <v>23241.568266999999</v>
      </c>
    </row>
    <row r="79" spans="1:4" ht="15.75" x14ac:dyDescent="0.25">
      <c r="A79" s="27">
        <v>37043</v>
      </c>
      <c r="B79" s="36">
        <v>84.160603118576702</v>
      </c>
      <c r="C79" s="36">
        <f>[5]monthly!$D178</f>
        <v>4.1625714285714279</v>
      </c>
      <c r="D79" s="37">
        <f>[6]monthly!$BJ178</f>
        <v>23207.096511</v>
      </c>
    </row>
    <row r="80" spans="1:4" ht="15.75" x14ac:dyDescent="0.25">
      <c r="A80" s="27">
        <v>37073</v>
      </c>
      <c r="B80" s="36">
        <v>84.332257306297905</v>
      </c>
      <c r="C80" s="36">
        <f>[5]monthly!$D179</f>
        <v>4.1982727272727285</v>
      </c>
      <c r="D80" s="37">
        <f>[6]monthly!$BJ179</f>
        <v>23593.487625000002</v>
      </c>
    </row>
    <row r="81" spans="1:4" ht="15.75" x14ac:dyDescent="0.25">
      <c r="A81" s="27">
        <v>37104</v>
      </c>
      <c r="B81" s="36">
        <v>86.616979540295105</v>
      </c>
      <c r="C81" s="36">
        <f>[5]monthly!$D180</f>
        <v>4.2333478260869573</v>
      </c>
      <c r="D81" s="37">
        <f>[6]monthly!$BJ180</f>
        <v>24034.707731999999</v>
      </c>
    </row>
    <row r="82" spans="1:4" ht="15.75" x14ac:dyDescent="0.25">
      <c r="A82" s="27">
        <v>37135</v>
      </c>
      <c r="B82" s="36">
        <v>88.804648490084901</v>
      </c>
      <c r="C82" s="36">
        <f>[5]monthly!$D181</f>
        <v>4.3224666666666671</v>
      </c>
      <c r="D82" s="37">
        <f>[6]monthly!$BJ181</f>
        <v>24648.139190000002</v>
      </c>
    </row>
    <row r="83" spans="1:4" ht="15.75" x14ac:dyDescent="0.25">
      <c r="A83" s="27">
        <v>37165</v>
      </c>
      <c r="B83" s="36">
        <v>88.131578201066901</v>
      </c>
      <c r="C83" s="36">
        <f>[5]monthly!$D182</f>
        <v>4.3147619047619061</v>
      </c>
      <c r="D83" s="37">
        <f>[6]monthly!$BJ182</f>
        <v>24199.705418000001</v>
      </c>
    </row>
    <row r="84" spans="1:4" ht="15.75" x14ac:dyDescent="0.25">
      <c r="A84" s="27">
        <v>37196</v>
      </c>
      <c r="B84" s="36">
        <v>86.499857842096503</v>
      </c>
      <c r="C84" s="36">
        <f>[5]monthly!$D183</f>
        <v>4.2388636363636358</v>
      </c>
      <c r="D84" s="37">
        <f>[6]monthly!$BJ183</f>
        <v>23316.910753</v>
      </c>
    </row>
    <row r="85" spans="1:4" ht="15.75" x14ac:dyDescent="0.25">
      <c r="A85" s="27">
        <v>37226</v>
      </c>
      <c r="B85" s="36">
        <v>87.311719214402601</v>
      </c>
      <c r="C85" s="36">
        <f>[5]monthly!$D184</f>
        <v>4.2756499999999997</v>
      </c>
      <c r="D85" s="37">
        <f>[6]monthly!$BJ184</f>
        <v>23379.040666000001</v>
      </c>
    </row>
    <row r="86" spans="1:4" ht="15.75" x14ac:dyDescent="0.25">
      <c r="A86" s="27">
        <v>37257</v>
      </c>
      <c r="B86" s="36">
        <v>91.331921961871601</v>
      </c>
      <c r="C86" s="36">
        <f>[5]monthly!$D185</f>
        <v>4.5370909090909084</v>
      </c>
      <c r="D86" s="37">
        <f>[6]monthly!$BJ185</f>
        <v>23085.248479000002</v>
      </c>
    </row>
    <row r="87" spans="1:4" ht="15.75" x14ac:dyDescent="0.25">
      <c r="A87" s="27">
        <v>37288</v>
      </c>
      <c r="B87" s="36">
        <v>92.747431586295306</v>
      </c>
      <c r="C87" s="36">
        <f>[5]monthly!$D186</f>
        <v>4.6619999999999999</v>
      </c>
      <c r="D87" s="37">
        <f>[6]monthly!$BJ186</f>
        <v>24304.752885999998</v>
      </c>
    </row>
    <row r="88" spans="1:4" ht="15.75" x14ac:dyDescent="0.25">
      <c r="A88" s="27">
        <v>37316</v>
      </c>
      <c r="B88" s="36">
        <v>93.191189553917596</v>
      </c>
      <c r="C88" s="36">
        <f>[5]monthly!$D187</f>
        <v>4.6643888888888902</v>
      </c>
      <c r="D88" s="37">
        <f>[6]monthly!$BJ187</f>
        <v>24221.443143</v>
      </c>
    </row>
    <row r="89" spans="1:4" ht="15.75" x14ac:dyDescent="0.25">
      <c r="A89" s="27">
        <v>37347</v>
      </c>
      <c r="B89" s="36">
        <v>95.679535100564394</v>
      </c>
      <c r="C89" s="36">
        <f>[5]monthly!$D188</f>
        <v>4.8062105263157893</v>
      </c>
      <c r="D89" s="37">
        <f>[6]monthly!$BJ188</f>
        <v>24345.494391</v>
      </c>
    </row>
    <row r="90" spans="1:4" ht="15.75" x14ac:dyDescent="0.25">
      <c r="A90" s="27">
        <v>37377</v>
      </c>
      <c r="B90" s="36">
        <v>98.264639734897699</v>
      </c>
      <c r="C90" s="36">
        <f>[5]monthly!$D189</f>
        <v>4.8940454545454548</v>
      </c>
      <c r="D90" s="37">
        <f>[6]monthly!$BJ189</f>
        <v>24431.452979000002</v>
      </c>
    </row>
    <row r="91" spans="1:4" ht="15.75" x14ac:dyDescent="0.25">
      <c r="A91" s="27">
        <v>37408</v>
      </c>
      <c r="B91" s="36">
        <v>99.616895252420207</v>
      </c>
      <c r="C91" s="36">
        <f>[5]monthly!$D190</f>
        <v>4.939350000000001</v>
      </c>
      <c r="D91" s="37">
        <f>[6]monthly!$BJ190</f>
        <v>25164.185704</v>
      </c>
    </row>
    <row r="92" spans="1:4" ht="15.75" x14ac:dyDescent="0.25">
      <c r="A92" s="27">
        <v>37438</v>
      </c>
      <c r="B92" s="36">
        <v>96.455854320256293</v>
      </c>
      <c r="C92" s="36">
        <f>[5]monthly!$D191</f>
        <v>4.7209545454545463</v>
      </c>
      <c r="D92" s="37">
        <f>[6]monthly!$BJ191</f>
        <v>25132.626305999998</v>
      </c>
    </row>
    <row r="93" spans="1:4" ht="15.75" x14ac:dyDescent="0.25">
      <c r="A93" s="27">
        <v>37469</v>
      </c>
      <c r="B93" s="36">
        <v>95.249501041084599</v>
      </c>
      <c r="C93" s="36">
        <f>[5]monthly!$D192</f>
        <v>4.6761818181818171</v>
      </c>
      <c r="D93" s="37">
        <f>[6]monthly!$BJ192</f>
        <v>24654.931385</v>
      </c>
    </row>
    <row r="94" spans="1:4" ht="15.75" x14ac:dyDescent="0.25">
      <c r="A94" s="27">
        <v>37500</v>
      </c>
      <c r="B94" s="36">
        <v>97.1610037594467</v>
      </c>
      <c r="C94" s="36">
        <f>[5]monthly!$D193</f>
        <v>4.7749999999999995</v>
      </c>
      <c r="D94" s="37">
        <f>[6]monthly!$BJ193</f>
        <v>24622.942300999999</v>
      </c>
    </row>
    <row r="95" spans="1:4" ht="15.75" x14ac:dyDescent="0.25">
      <c r="A95" s="27">
        <v>37530</v>
      </c>
      <c r="B95" s="36">
        <v>96.915243497279107</v>
      </c>
      <c r="C95" s="36">
        <f>[5]monthly!$D194</f>
        <v>4.7983043478260869</v>
      </c>
      <c r="D95" s="37">
        <f>[6]monthly!$BJ194</f>
        <v>24229.400081</v>
      </c>
    </row>
    <row r="96" spans="1:4" ht="15.75" x14ac:dyDescent="0.25">
      <c r="A96" s="27">
        <v>37561</v>
      </c>
      <c r="B96" s="36">
        <v>96.739660689406094</v>
      </c>
      <c r="C96" s="36">
        <f>[5]monthly!$D195</f>
        <v>4.6866666666666665</v>
      </c>
      <c r="D96" s="37">
        <f>[6]monthly!$BJ195</f>
        <v>23658.750152000001</v>
      </c>
    </row>
    <row r="97" spans="1:4" ht="15.75" x14ac:dyDescent="0.25">
      <c r="A97" s="27">
        <v>37591</v>
      </c>
      <c r="B97" s="36">
        <v>98.167818607511094</v>
      </c>
      <c r="C97" s="36">
        <f>[5]monthly!$D196</f>
        <v>4.6937142857142859</v>
      </c>
      <c r="D97" s="37">
        <f>[6]monthly!$BJ196</f>
        <v>24082.621838999999</v>
      </c>
    </row>
    <row r="98" spans="1:4" ht="15.75" x14ac:dyDescent="0.25">
      <c r="A98" s="27">
        <v>37622</v>
      </c>
      <c r="B98" s="36">
        <v>103.184728108462</v>
      </c>
      <c r="C98" s="36">
        <f>[5]monthly!$D197</f>
        <v>4.8362857142857152</v>
      </c>
      <c r="D98" s="37">
        <f>[6]monthly!$BJ197</f>
        <v>23852.217235</v>
      </c>
    </row>
    <row r="99" spans="1:4" ht="15.75" x14ac:dyDescent="0.25">
      <c r="A99" s="27">
        <v>37653</v>
      </c>
      <c r="B99" s="36">
        <v>104.462102578729</v>
      </c>
      <c r="C99" s="36">
        <f>[5]monthly!$D198</f>
        <v>4.8658999999999999</v>
      </c>
      <c r="D99" s="37">
        <f>[6]monthly!$BJ198</f>
        <v>23481.689058</v>
      </c>
    </row>
    <row r="100" spans="1:4" ht="15.75" x14ac:dyDescent="0.25">
      <c r="A100" s="27">
        <v>37681</v>
      </c>
      <c r="B100" s="36">
        <v>103.16409342180999</v>
      </c>
      <c r="C100" s="36">
        <f>[5]monthly!$D199</f>
        <v>4.7809473684210522</v>
      </c>
      <c r="D100" s="37">
        <f>[6]monthly!$BJ199</f>
        <v>23937.147679999998</v>
      </c>
    </row>
    <row r="101" spans="1:4" ht="15.75" x14ac:dyDescent="0.25">
      <c r="A101" s="27">
        <v>37712</v>
      </c>
      <c r="B101" s="36">
        <v>99.982694368461196</v>
      </c>
      <c r="C101" s="36">
        <f>[5]monthly!$D200</f>
        <v>4.6185</v>
      </c>
      <c r="D101" s="37">
        <f>[6]monthly!$BJ200</f>
        <v>23767.018225</v>
      </c>
    </row>
    <row r="102" spans="1:4" ht="15.75" x14ac:dyDescent="0.25">
      <c r="A102" s="27">
        <v>37742</v>
      </c>
      <c r="B102" s="36">
        <v>101.01166874873</v>
      </c>
      <c r="C102" s="36">
        <f>[5]monthly!$D201</f>
        <v>4.4778823529411769</v>
      </c>
      <c r="D102" s="37">
        <f>[6]monthly!$BJ201</f>
        <v>23840.916722000002</v>
      </c>
    </row>
    <row r="103" spans="1:4" ht="15.75" x14ac:dyDescent="0.25">
      <c r="A103" s="27">
        <v>37773</v>
      </c>
      <c r="B103" s="36">
        <v>99.793708238016393</v>
      </c>
      <c r="C103" s="36">
        <f>[5]monthly!$D202</f>
        <v>4.3779999999999992</v>
      </c>
      <c r="D103" s="37">
        <f>[6]monthly!$BJ202</f>
        <v>24564.680941999999</v>
      </c>
    </row>
    <row r="104" spans="1:4" ht="15.75" x14ac:dyDescent="0.25">
      <c r="A104" s="27">
        <v>37803</v>
      </c>
      <c r="B104" s="36">
        <v>99.120429390602695</v>
      </c>
      <c r="C104" s="36">
        <f>[5]monthly!$D203</f>
        <v>4.3709565217391306</v>
      </c>
      <c r="D104" s="37">
        <f>[6]monthly!$BJ203</f>
        <v>24429.567292</v>
      </c>
    </row>
    <row r="105" spans="1:4" ht="15.75" x14ac:dyDescent="0.25">
      <c r="A105" s="27">
        <v>37834</v>
      </c>
      <c r="B105" s="36">
        <v>99.882443468911305</v>
      </c>
      <c r="C105" s="36">
        <f>[5]monthly!$D204</f>
        <v>4.4521999999999995</v>
      </c>
      <c r="D105" s="37">
        <f>[6]monthly!$BJ204</f>
        <v>23968.199333</v>
      </c>
    </row>
    <row r="106" spans="1:4" ht="15.75" x14ac:dyDescent="0.25">
      <c r="A106" s="27">
        <v>37865</v>
      </c>
      <c r="B106" s="36">
        <v>101.791914985684</v>
      </c>
      <c r="C106" s="36">
        <f>[5]monthly!$D205</f>
        <v>4.4648571428571424</v>
      </c>
      <c r="D106" s="37">
        <f>[6]monthly!$BJ205</f>
        <v>25287.113337999999</v>
      </c>
    </row>
    <row r="107" spans="1:4" ht="15.75" x14ac:dyDescent="0.25">
      <c r="A107" s="27">
        <v>37895</v>
      </c>
      <c r="B107" s="36">
        <v>103.984997909209</v>
      </c>
      <c r="C107" s="36">
        <f>[5]monthly!$D206</f>
        <v>4.4480000000000013</v>
      </c>
      <c r="D107" s="37">
        <f>[6]monthly!$BJ206</f>
        <v>24949.926571</v>
      </c>
    </row>
    <row r="108" spans="1:4" ht="15.75" x14ac:dyDescent="0.25">
      <c r="A108" s="27">
        <v>37926</v>
      </c>
      <c r="B108" s="36">
        <v>105.208006553703</v>
      </c>
      <c r="C108" s="36">
        <f>[5]monthly!$D207</f>
        <v>4.4936499999999997</v>
      </c>
      <c r="D108" s="37">
        <f>[6]monthly!$BJ207</f>
        <v>24975.841667000001</v>
      </c>
    </row>
    <row r="109" spans="1:4" ht="15.75" x14ac:dyDescent="0.25">
      <c r="A109" s="27">
        <v>37956</v>
      </c>
      <c r="B109" s="36">
        <v>105.65053903347101</v>
      </c>
      <c r="C109" s="36">
        <f>[5]monthly!$D208</f>
        <v>4.3928095238095235</v>
      </c>
      <c r="D109" s="37">
        <f>[6]monthly!$BJ208</f>
        <v>26314.302553000001</v>
      </c>
    </row>
    <row r="110" spans="1:4" ht="15.75" x14ac:dyDescent="0.25">
      <c r="A110" s="27">
        <v>37987</v>
      </c>
      <c r="B110" s="36">
        <v>108.576557013209</v>
      </c>
      <c r="C110" s="36">
        <f>[5]monthly!$D209</f>
        <v>4.4235238095238101</v>
      </c>
      <c r="D110" s="37">
        <f>[6]monthly!$BJ209</f>
        <v>26033.669011000002</v>
      </c>
    </row>
    <row r="111" spans="1:4" ht="15.75" x14ac:dyDescent="0.25">
      <c r="A111" s="27">
        <v>38018</v>
      </c>
      <c r="B111" s="36">
        <v>109.910275119546</v>
      </c>
      <c r="C111" s="36">
        <f>[5]monthly!$D210</f>
        <v>4.4637499999999992</v>
      </c>
      <c r="D111" s="37">
        <f>[6]monthly!$BJ210</f>
        <v>26285.861858</v>
      </c>
    </row>
    <row r="112" spans="1:4" ht="15.75" x14ac:dyDescent="0.25">
      <c r="A112" s="27">
        <v>38047</v>
      </c>
      <c r="B112" s="36">
        <v>109.88082816548901</v>
      </c>
      <c r="C112" s="36">
        <f>[5]monthly!$D211</f>
        <v>4.5031363636363642</v>
      </c>
      <c r="D112" s="37">
        <f>[6]monthly!$BJ211</f>
        <v>26677.493158000001</v>
      </c>
    </row>
    <row r="113" spans="1:4" ht="15.75" x14ac:dyDescent="0.25">
      <c r="A113" s="27">
        <v>38078</v>
      </c>
      <c r="B113" s="36">
        <v>109.143657833424</v>
      </c>
      <c r="C113" s="36">
        <f>[5]monthly!$D212</f>
        <v>4.5522941176470582</v>
      </c>
      <c r="D113" s="37">
        <f>[6]monthly!$BJ212</f>
        <v>27162.737869000001</v>
      </c>
    </row>
    <row r="114" spans="1:4" ht="15.75" x14ac:dyDescent="0.25">
      <c r="A114" s="27">
        <v>38108</v>
      </c>
      <c r="B114" s="36">
        <v>109.179576693131</v>
      </c>
      <c r="C114" s="36">
        <f>[5]monthly!$D213</f>
        <v>4.5954999999999995</v>
      </c>
      <c r="D114" s="37">
        <f>[6]monthly!$BJ213</f>
        <v>26695.564229</v>
      </c>
    </row>
    <row r="115" spans="1:4" ht="15.75" x14ac:dyDescent="0.25">
      <c r="A115" s="27">
        <v>38139</v>
      </c>
      <c r="B115" s="36">
        <v>108.471049525369</v>
      </c>
      <c r="C115" s="36">
        <f>[5]monthly!$D214</f>
        <v>4.5166363636363638</v>
      </c>
      <c r="D115" s="37">
        <f>[6]monthly!$BJ214</f>
        <v>26202.294794000001</v>
      </c>
    </row>
    <row r="116" spans="1:4" ht="15.75" x14ac:dyDescent="0.25">
      <c r="A116" s="27">
        <v>38169</v>
      </c>
      <c r="B116" s="36">
        <v>108.783775405315</v>
      </c>
      <c r="C116" s="36">
        <f>[5]monthly!$D215</f>
        <v>4.4912380952380957</v>
      </c>
      <c r="D116" s="37">
        <f>[6]monthly!$BJ215</f>
        <v>26328.980195</v>
      </c>
    </row>
    <row r="117" spans="1:4" ht="15.75" x14ac:dyDescent="0.25">
      <c r="A117" s="27">
        <v>38200</v>
      </c>
      <c r="B117" s="36">
        <v>109.170441232276</v>
      </c>
      <c r="C117" s="36">
        <f>[5]monthly!$D216</f>
        <v>4.5340909090909101</v>
      </c>
      <c r="D117" s="37">
        <f>[6]monthly!$BJ216</f>
        <v>26134.377090999998</v>
      </c>
    </row>
    <row r="118" spans="1:4" ht="15.75" x14ac:dyDescent="0.25">
      <c r="A118" s="27">
        <v>38231</v>
      </c>
      <c r="B118" s="36">
        <v>108.845491065025</v>
      </c>
      <c r="C118" s="36">
        <f>[5]monthly!$D217</f>
        <v>4.4974666666666661</v>
      </c>
      <c r="D118" s="37">
        <f>[6]monthly!$BJ217</f>
        <v>26315.378712999998</v>
      </c>
    </row>
    <row r="119" spans="1:4" ht="15.75" x14ac:dyDescent="0.25">
      <c r="A119" s="27">
        <v>38261</v>
      </c>
      <c r="B119" s="36">
        <v>109.901521514229</v>
      </c>
      <c r="C119" s="36">
        <f>[5]monthly!$D218</f>
        <v>4.4596</v>
      </c>
      <c r="D119" s="37">
        <f>[6]monthly!$BJ218</f>
        <v>26094.420620000001</v>
      </c>
    </row>
    <row r="120" spans="1:4" ht="15.75" x14ac:dyDescent="0.25">
      <c r="A120" s="27">
        <v>38292</v>
      </c>
      <c r="B120" s="36">
        <v>111.437636727596</v>
      </c>
      <c r="C120" s="36">
        <f>[5]monthly!$D219</f>
        <v>4.4052272727272728</v>
      </c>
      <c r="D120" s="37">
        <f>[6]monthly!$BJ219</f>
        <v>27338.983810000002</v>
      </c>
    </row>
    <row r="121" spans="1:4" ht="15.75" x14ac:dyDescent="0.25">
      <c r="A121" s="27">
        <v>38322</v>
      </c>
      <c r="B121" s="36">
        <v>111.85618814710899</v>
      </c>
      <c r="C121" s="36">
        <f>[5]monthly!$D220</f>
        <v>4.3418260869565213</v>
      </c>
      <c r="D121" s="37">
        <f>[6]monthly!$BJ220</f>
        <v>27094.577019</v>
      </c>
    </row>
    <row r="122" spans="1:4" ht="15.75" x14ac:dyDescent="0.25">
      <c r="A122" s="27">
        <v>38353</v>
      </c>
      <c r="B122" s="36">
        <v>112.23520953660601</v>
      </c>
      <c r="C122" s="36">
        <f>[5]monthly!$D221</f>
        <v>4.3786666666666667</v>
      </c>
      <c r="D122" s="37">
        <f>[6]monthly!$BJ221</f>
        <v>27179.689273</v>
      </c>
    </row>
    <row r="123" spans="1:4" ht="15.75" x14ac:dyDescent="0.25">
      <c r="A123" s="27">
        <v>38384</v>
      </c>
      <c r="B123" s="36">
        <v>112.02407545313299</v>
      </c>
      <c r="C123" s="36">
        <f>[5]monthly!$D222</f>
        <v>4.3702500000000004</v>
      </c>
      <c r="D123" s="37">
        <f>[6]monthly!$BJ222</f>
        <v>27207.762798</v>
      </c>
    </row>
    <row r="124" spans="1:4" ht="15.75" x14ac:dyDescent="0.25">
      <c r="A124" s="27">
        <v>38412</v>
      </c>
      <c r="B124" s="36">
        <v>112.555147626812</v>
      </c>
      <c r="C124" s="36">
        <f>[5]monthly!$D223</f>
        <v>4.3290000000000006</v>
      </c>
      <c r="D124" s="37">
        <f>[6]monthly!$BJ223</f>
        <v>27155.905404000001</v>
      </c>
    </row>
    <row r="125" spans="1:4" ht="15.75" x14ac:dyDescent="0.25">
      <c r="A125" s="27">
        <v>38443</v>
      </c>
      <c r="B125" s="36">
        <v>112.043862305407</v>
      </c>
      <c r="C125" s="36">
        <f>[5]monthly!$D224</f>
        <v>4.3714499999999994</v>
      </c>
      <c r="D125" s="37">
        <f>[6]monthly!$BJ224</f>
        <v>26926.251516</v>
      </c>
    </row>
    <row r="126" spans="1:4" ht="15.75" x14ac:dyDescent="0.25">
      <c r="A126" s="27">
        <v>38473</v>
      </c>
      <c r="B126" s="36">
        <v>110.995536128099</v>
      </c>
      <c r="C126" s="36">
        <f>[5]monthly!$D225</f>
        <v>4.3736499999999996</v>
      </c>
      <c r="D126" s="37">
        <f>[6]monthly!$BJ225</f>
        <v>26605.166401999999</v>
      </c>
    </row>
    <row r="127" spans="1:4" ht="15.75" x14ac:dyDescent="0.25">
      <c r="A127" s="27">
        <v>38504</v>
      </c>
      <c r="B127" s="36">
        <v>111.42831913874799</v>
      </c>
      <c r="C127" s="36">
        <f>[5]monthly!$D226</f>
        <v>4.4849047619047608</v>
      </c>
      <c r="D127" s="37">
        <f>[6]monthly!$BJ226</f>
        <v>26598.256139000001</v>
      </c>
    </row>
    <row r="128" spans="1:4" ht="15.75" x14ac:dyDescent="0.25">
      <c r="A128" s="27">
        <v>38534</v>
      </c>
      <c r="B128" s="36">
        <v>111.312632426504</v>
      </c>
      <c r="C128" s="36">
        <f>[5]monthly!$D227</f>
        <v>4.5604761904761899</v>
      </c>
      <c r="D128" s="37">
        <f>[6]monthly!$BJ227</f>
        <v>27199.325699000001</v>
      </c>
    </row>
    <row r="129" spans="1:4" ht="15.75" x14ac:dyDescent="0.25">
      <c r="A129" s="27">
        <v>38565</v>
      </c>
      <c r="B129" s="36">
        <v>111.586734664895</v>
      </c>
      <c r="C129" s="36">
        <f>[5]monthly!$D228</f>
        <v>4.5092608695652165</v>
      </c>
      <c r="D129" s="37">
        <f>[6]monthly!$BJ228</f>
        <v>27812.722685000001</v>
      </c>
    </row>
    <row r="130" spans="1:4" ht="15.75" x14ac:dyDescent="0.25">
      <c r="A130" s="27">
        <v>38596</v>
      </c>
      <c r="B130" s="36">
        <v>112.875196984647</v>
      </c>
      <c r="C130" s="36">
        <f>[5]monthly!$D229</f>
        <v>4.5383636363636359</v>
      </c>
      <c r="D130" s="37">
        <f>[6]monthly!$BJ229</f>
        <v>27635.320237</v>
      </c>
    </row>
    <row r="131" spans="1:4" ht="15.75" x14ac:dyDescent="0.25">
      <c r="A131" s="27">
        <v>38626</v>
      </c>
      <c r="B131" s="36">
        <v>113.008978301547</v>
      </c>
      <c r="C131" s="36">
        <f>[5]monthly!$D230</f>
        <v>4.6255000000000006</v>
      </c>
      <c r="D131" s="37">
        <f>[6]monthly!$BJ230</f>
        <v>28715.968971999999</v>
      </c>
    </row>
    <row r="132" spans="1:4" ht="15.75" x14ac:dyDescent="0.25">
      <c r="A132" s="27">
        <v>38657</v>
      </c>
      <c r="B132" s="36">
        <v>113.27421318457201</v>
      </c>
      <c r="C132" s="36">
        <f>[5]monthly!$D231</f>
        <v>4.6997727272727268</v>
      </c>
      <c r="D132" s="37">
        <f>[6]monthly!$BJ231</f>
        <v>28310.255395</v>
      </c>
    </row>
    <row r="133" spans="1:4" ht="15.75" x14ac:dyDescent="0.25">
      <c r="A133" s="27">
        <v>38687</v>
      </c>
      <c r="B133" s="36">
        <v>111.948386811834</v>
      </c>
      <c r="C133" s="36">
        <f>[5]monthly!$D232</f>
        <v>4.6117142857142843</v>
      </c>
      <c r="D133" s="37">
        <f>[6]monthly!$BJ232</f>
        <v>28060.538402999999</v>
      </c>
    </row>
    <row r="134" spans="1:4" ht="15.75" x14ac:dyDescent="0.25">
      <c r="A134" s="27">
        <v>38718</v>
      </c>
      <c r="B134" s="36">
        <v>114.38394032698599</v>
      </c>
      <c r="C134" s="36">
        <f>[5]monthly!$D233</f>
        <v>4.6188095238095244</v>
      </c>
      <c r="D134" s="37">
        <f>[6]monthly!$BJ233</f>
        <v>28300.335084999999</v>
      </c>
    </row>
    <row r="135" spans="1:4" ht="15.75" x14ac:dyDescent="0.25">
      <c r="A135" s="27">
        <v>38749</v>
      </c>
      <c r="B135" s="36">
        <v>115.263649808873</v>
      </c>
      <c r="C135" s="36">
        <f>[5]monthly!$D234</f>
        <v>4.7031499999999991</v>
      </c>
      <c r="D135" s="37">
        <f>[6]monthly!$BJ234</f>
        <v>28207.131875999999</v>
      </c>
    </row>
    <row r="136" spans="1:4" ht="15.75" x14ac:dyDescent="0.25">
      <c r="A136" s="27">
        <v>38777</v>
      </c>
      <c r="B136" s="36">
        <v>115.20689569180701</v>
      </c>
      <c r="C136" s="36">
        <f>[5]monthly!$D235</f>
        <v>4.6891000000000007</v>
      </c>
      <c r="D136" s="37">
        <f>[6]monthly!$BJ235</f>
        <v>28048.257594999999</v>
      </c>
    </row>
    <row r="137" spans="1:4" ht="15.75" x14ac:dyDescent="0.25">
      <c r="A137" s="27">
        <v>38808</v>
      </c>
      <c r="B137" s="36">
        <v>113.521172605879</v>
      </c>
      <c r="C137" s="36">
        <f>[5]monthly!$D236</f>
        <v>4.5797333333333343</v>
      </c>
      <c r="D137" s="37">
        <f>[6]monthly!$BJ236</f>
        <v>27988.826430000001</v>
      </c>
    </row>
    <row r="138" spans="1:4" ht="15.75" x14ac:dyDescent="0.25">
      <c r="A138" s="27">
        <v>38838</v>
      </c>
      <c r="B138" s="36">
        <v>113.77744573276</v>
      </c>
      <c r="C138" s="36">
        <f>[5]monthly!$D237</f>
        <v>4.4740000000000002</v>
      </c>
      <c r="D138" s="37">
        <f>[6]monthly!$BJ237</f>
        <v>28229.902505999999</v>
      </c>
    </row>
    <row r="139" spans="1:4" ht="15.75" x14ac:dyDescent="0.25">
      <c r="A139" s="27">
        <v>38869</v>
      </c>
      <c r="B139" s="36">
        <v>112.43070067127201</v>
      </c>
      <c r="C139" s="36">
        <f>[5]monthly!$D238</f>
        <v>4.4723333333333333</v>
      </c>
      <c r="D139" s="37">
        <f>[6]monthly!$BJ238</f>
        <v>27501.895685</v>
      </c>
    </row>
    <row r="140" spans="1:4" ht="15.75" x14ac:dyDescent="0.25">
      <c r="A140" s="27">
        <v>38899</v>
      </c>
      <c r="B140" s="36">
        <v>111.638107836697</v>
      </c>
      <c r="C140" s="36">
        <f>[5]monthly!$D239</f>
        <v>4.4328095238095226</v>
      </c>
      <c r="D140" s="37">
        <f>[6]monthly!$BJ239</f>
        <v>28137.116585</v>
      </c>
    </row>
    <row r="141" spans="1:4" ht="15.75" x14ac:dyDescent="0.25">
      <c r="A141" s="27">
        <v>38930</v>
      </c>
      <c r="B141" s="36">
        <v>111.33630939211599</v>
      </c>
      <c r="C141" s="36">
        <f>[5]monthly!$D240</f>
        <v>4.3793181818181823</v>
      </c>
      <c r="D141" s="37">
        <f>[6]monthly!$BJ240</f>
        <v>28103.976578999998</v>
      </c>
    </row>
    <row r="142" spans="1:4" ht="15.75" x14ac:dyDescent="0.25">
      <c r="A142" s="27">
        <v>38961</v>
      </c>
      <c r="B142" s="36">
        <v>111.077662335076</v>
      </c>
      <c r="C142" s="36">
        <f>[5]monthly!$D241</f>
        <v>4.3527499999999986</v>
      </c>
      <c r="D142" s="37">
        <f>[6]monthly!$BJ241</f>
        <v>27777.174682000001</v>
      </c>
    </row>
    <row r="143" spans="1:4" ht="15.75" x14ac:dyDescent="0.25">
      <c r="A143" s="27">
        <v>38991</v>
      </c>
      <c r="B143" s="36">
        <v>109.15965192592</v>
      </c>
      <c r="C143" s="36">
        <f>[5]monthly!$D242</f>
        <v>4.272904761904762</v>
      </c>
      <c r="D143" s="37">
        <f>[6]monthly!$BJ242</f>
        <v>27516.514177000001</v>
      </c>
    </row>
    <row r="144" spans="1:4" ht="15.75" x14ac:dyDescent="0.25">
      <c r="A144" s="27">
        <v>39022</v>
      </c>
      <c r="B144" s="36">
        <v>111.466144395021</v>
      </c>
      <c r="C144" s="36">
        <f>[5]monthly!$D243</f>
        <v>4.3009047619047625</v>
      </c>
      <c r="D144" s="37">
        <f>[6]monthly!$BJ243</f>
        <v>28657.373857999999</v>
      </c>
    </row>
    <row r="145" spans="1:4" ht="15.75" x14ac:dyDescent="0.25">
      <c r="A145" s="27">
        <v>39052</v>
      </c>
      <c r="B145" s="36">
        <v>110.809696807778</v>
      </c>
      <c r="C145" s="36">
        <f>[5]monthly!$D244</f>
        <v>4.2015999999999982</v>
      </c>
      <c r="D145" s="37">
        <f>[6]monthly!$BJ244</f>
        <v>29178.249371999998</v>
      </c>
    </row>
    <row r="146" spans="1:4" ht="15.75" x14ac:dyDescent="0.25">
      <c r="A146" s="27">
        <v>39083</v>
      </c>
      <c r="B146" s="36">
        <v>110.502525663592</v>
      </c>
      <c r="C146" s="36">
        <f>[5]monthly!$D245</f>
        <v>4.2282727272727278</v>
      </c>
      <c r="D146" s="37">
        <f>[6]monthly!$BJ245</f>
        <v>28607.450975</v>
      </c>
    </row>
    <row r="147" spans="1:4" ht="15.75" x14ac:dyDescent="0.25">
      <c r="A147" s="27">
        <v>39114</v>
      </c>
      <c r="B147" s="36">
        <v>111.26693267454399</v>
      </c>
      <c r="C147" s="36">
        <f>[5]monthly!$D246</f>
        <v>4.218</v>
      </c>
      <c r="D147" s="37">
        <f>[6]monthly!$BJ246</f>
        <v>30924.356356</v>
      </c>
    </row>
    <row r="148" spans="1:4" ht="15.75" x14ac:dyDescent="0.25">
      <c r="A148" s="27">
        <v>39142</v>
      </c>
      <c r="B148" s="36">
        <v>111.969933526944</v>
      </c>
      <c r="C148" s="36">
        <f>[5]monthly!$D247</f>
        <v>4.2000952380952388</v>
      </c>
      <c r="D148" s="37">
        <f>[6]monthly!$BJ247</f>
        <v>30627.650766999999</v>
      </c>
    </row>
    <row r="149" spans="1:4" ht="15.75" x14ac:dyDescent="0.25">
      <c r="A149" s="27">
        <v>39173</v>
      </c>
      <c r="B149" s="36">
        <v>109.909020543472</v>
      </c>
      <c r="C149" s="36">
        <f>[5]monthly!$D248</f>
        <v>4.0691875</v>
      </c>
      <c r="D149" s="37">
        <f>[6]monthly!$BJ248</f>
        <v>29972.873189000002</v>
      </c>
    </row>
    <row r="150" spans="1:4" ht="15.75" x14ac:dyDescent="0.25">
      <c r="A150" s="27">
        <v>39203</v>
      </c>
      <c r="B150" s="36">
        <v>108.502524197978</v>
      </c>
      <c r="C150" s="36">
        <f>[5]monthly!$D249</f>
        <v>4.0009523809523806</v>
      </c>
      <c r="D150" s="37">
        <f>[6]monthly!$BJ249</f>
        <v>28546.204518999999</v>
      </c>
    </row>
    <row r="151" spans="1:4" ht="15.75" x14ac:dyDescent="0.25">
      <c r="A151" s="27">
        <v>39234</v>
      </c>
      <c r="B151" s="36">
        <v>112.489953225012</v>
      </c>
      <c r="C151" s="36">
        <f>[5]monthly!$D250</f>
        <v>4.1826666666666661</v>
      </c>
      <c r="D151" s="37">
        <f>[6]monthly!$BJ250</f>
        <v>29070.970378999999</v>
      </c>
    </row>
    <row r="152" spans="1:4" ht="15.75" x14ac:dyDescent="0.25">
      <c r="A152" s="27">
        <v>39264</v>
      </c>
      <c r="B152" s="36">
        <v>114.760565251389</v>
      </c>
      <c r="C152" s="36">
        <f>[5]monthly!$D251</f>
        <v>4.2543333333333333</v>
      </c>
      <c r="D152" s="37">
        <f>[6]monthly!$BJ251</f>
        <v>28416.975071000001</v>
      </c>
    </row>
    <row r="153" spans="1:4" ht="15.75" x14ac:dyDescent="0.25">
      <c r="A153" s="27">
        <v>39295</v>
      </c>
      <c r="B153" s="36">
        <v>112.756507543651</v>
      </c>
      <c r="C153" s="36">
        <f>[5]monthly!$D252</f>
        <v>4.2244347826086956</v>
      </c>
      <c r="D153" s="37">
        <f>[6]monthly!$BJ252</f>
        <v>28916.860461</v>
      </c>
    </row>
    <row r="154" spans="1:4" ht="15.75" x14ac:dyDescent="0.25">
      <c r="A154" s="27">
        <v>39326</v>
      </c>
      <c r="B154" s="36">
        <v>111.188423793849</v>
      </c>
      <c r="C154" s="36">
        <f>[5]monthly!$D253</f>
        <v>4.0872000000000002</v>
      </c>
      <c r="D154" s="37">
        <f>[6]monthly!$BJ253</f>
        <v>29221.803658000001</v>
      </c>
    </row>
    <row r="155" spans="1:4" ht="15.75" x14ac:dyDescent="0.25">
      <c r="A155" s="27">
        <v>39356</v>
      </c>
      <c r="B155" s="36">
        <v>111.54923366982599</v>
      </c>
      <c r="C155" s="36">
        <f>[5]monthly!$D254</f>
        <v>4.0138636363636362</v>
      </c>
      <c r="D155" s="37">
        <f>[6]monthly!$BJ254</f>
        <v>28824.890671000001</v>
      </c>
    </row>
    <row r="156" spans="1:4" ht="15.75" x14ac:dyDescent="0.25">
      <c r="A156" s="27">
        <v>39387</v>
      </c>
      <c r="B156" s="36">
        <v>110.723869776152</v>
      </c>
      <c r="C156" s="36">
        <f>[5]monthly!$D255</f>
        <v>3.9133636363636368</v>
      </c>
      <c r="D156" s="37">
        <f>[6]monthly!$BJ255</f>
        <v>28456.537885999998</v>
      </c>
    </row>
    <row r="157" spans="1:4" ht="15.75" x14ac:dyDescent="0.25">
      <c r="A157" s="27">
        <v>39417</v>
      </c>
      <c r="B157" s="36">
        <v>109.26394355223999</v>
      </c>
      <c r="C157" s="36">
        <f>[5]monthly!$D256</f>
        <v>3.9042000000000003</v>
      </c>
      <c r="D157" s="37">
        <f>[6]monthly!$BJ256</f>
        <v>28555.931585999999</v>
      </c>
    </row>
    <row r="158" spans="1:4" ht="15.75" x14ac:dyDescent="0.25">
      <c r="A158" s="27">
        <v>39448</v>
      </c>
      <c r="B158" s="36">
        <v>105.534830537191</v>
      </c>
      <c r="C158" s="36">
        <f>[5]monthly!$D257</f>
        <v>3.7509090909090905</v>
      </c>
      <c r="D158" s="37">
        <f>[6]monthly!$BJ257</f>
        <v>28713.324735999999</v>
      </c>
    </row>
    <row r="159" spans="1:4" ht="15.75" x14ac:dyDescent="0.25">
      <c r="A159" s="27">
        <v>39479</v>
      </c>
      <c r="B159" s="36">
        <v>102.42353188653399</v>
      </c>
      <c r="C159" s="36">
        <f>[5]monthly!$D258</f>
        <v>3.6084285714285707</v>
      </c>
      <c r="D159" s="37">
        <f>[6]monthly!$BJ258</f>
        <v>28582.611943</v>
      </c>
    </row>
    <row r="160" spans="1:4" ht="15.75" x14ac:dyDescent="0.25">
      <c r="A160" s="27">
        <v>39508</v>
      </c>
      <c r="B160" s="36">
        <v>102.595350827258</v>
      </c>
      <c r="C160" s="36">
        <f>[5]monthly!$D259</f>
        <v>3.51085</v>
      </c>
      <c r="D160" s="37">
        <f>[6]monthly!$BJ259</f>
        <v>29539.300388</v>
      </c>
    </row>
    <row r="161" spans="1:4" ht="15.75" x14ac:dyDescent="0.25">
      <c r="A161" s="27">
        <v>39539</v>
      </c>
      <c r="B161" s="36">
        <v>102.319808131702</v>
      </c>
      <c r="C161" s="36">
        <f>[5]monthly!$D260</f>
        <v>3.5196818181818177</v>
      </c>
      <c r="D161" s="37">
        <f>[6]monthly!$BJ260</f>
        <v>29478.273068999999</v>
      </c>
    </row>
    <row r="162" spans="1:4" ht="15.75" x14ac:dyDescent="0.25">
      <c r="A162" s="27">
        <v>39569</v>
      </c>
      <c r="B162" s="36">
        <v>97.5293347392724</v>
      </c>
      <c r="C162" s="36">
        <f>[5]monthly!$D261</f>
        <v>3.3788000000000005</v>
      </c>
      <c r="D162" s="37">
        <f>[6]monthly!$BJ261</f>
        <v>29958.334675999999</v>
      </c>
    </row>
    <row r="163" spans="1:4" ht="15.75" x14ac:dyDescent="0.25">
      <c r="A163" s="27">
        <v>39600</v>
      </c>
      <c r="B163" s="36">
        <v>97.322770255384398</v>
      </c>
      <c r="C163" s="36">
        <f>[5]monthly!$D262</f>
        <v>3.3622999999999998</v>
      </c>
      <c r="D163" s="37">
        <f>[6]monthly!$BJ262</f>
        <v>31383.391887999998</v>
      </c>
    </row>
    <row r="164" spans="1:4" ht="15.75" x14ac:dyDescent="0.25">
      <c r="A164" s="27">
        <v>39630</v>
      </c>
      <c r="B164" s="36">
        <v>97.600125310300498</v>
      </c>
      <c r="C164" s="36">
        <f>[5]monthly!$D263</f>
        <v>3.3711304347826081</v>
      </c>
      <c r="D164" s="37">
        <f>[6]monthly!$BJ263</f>
        <v>32623.761200000001</v>
      </c>
    </row>
    <row r="165" spans="1:4" ht="15.75" x14ac:dyDescent="0.25">
      <c r="A165" s="27">
        <v>39661</v>
      </c>
      <c r="B165" s="36">
        <v>99.130227802548603</v>
      </c>
      <c r="C165" s="36">
        <f>[5]monthly!$D264</f>
        <v>3.5587142857142857</v>
      </c>
      <c r="D165" s="37">
        <f>[6]monthly!$BJ264</f>
        <v>33749.937440000002</v>
      </c>
    </row>
    <row r="166" spans="1:4" ht="15.75" x14ac:dyDescent="0.25">
      <c r="A166" s="27">
        <v>39692</v>
      </c>
      <c r="B166" s="36">
        <v>96.318341727868003</v>
      </c>
      <c r="C166" s="36">
        <f>[5]monthly!$D265</f>
        <v>3.5456500000000006</v>
      </c>
      <c r="D166" s="37">
        <f>[6]monthly!$BJ265</f>
        <v>36255.557035999998</v>
      </c>
    </row>
    <row r="167" spans="1:4" ht="15.75" x14ac:dyDescent="0.25">
      <c r="A167" s="27">
        <v>39722</v>
      </c>
      <c r="B167" s="36">
        <v>94.529534185201399</v>
      </c>
      <c r="C167" s="36">
        <f>[5]monthly!$D266</f>
        <v>3.6871666666666667</v>
      </c>
      <c r="D167" s="37">
        <f>[6]monthly!$BJ266</f>
        <v>35265.056164000001</v>
      </c>
    </row>
    <row r="168" spans="1:4" ht="15.75" x14ac:dyDescent="0.25">
      <c r="A168" s="27">
        <v>39753</v>
      </c>
      <c r="B168" s="36">
        <v>97.086983968179297</v>
      </c>
      <c r="C168" s="36">
        <f>[5]monthly!$D267</f>
        <v>3.8903999999999996</v>
      </c>
      <c r="D168" s="37">
        <f>[6]monthly!$BJ267</f>
        <v>37024.097571999999</v>
      </c>
    </row>
    <row r="169" spans="1:4" ht="15.75" x14ac:dyDescent="0.25">
      <c r="A169" s="27">
        <v>39783</v>
      </c>
      <c r="B169" s="36">
        <v>98.257942508121999</v>
      </c>
      <c r="C169" s="36">
        <f>[5]monthly!$D268</f>
        <v>3.8699523809523813</v>
      </c>
      <c r="D169" s="37">
        <f>[6]monthly!$BJ268</f>
        <v>42513.024155999999</v>
      </c>
    </row>
    <row r="170" spans="1:4" ht="15.75" x14ac:dyDescent="0.25">
      <c r="A170" s="27">
        <v>39814</v>
      </c>
      <c r="B170" s="36">
        <v>98.886975866732698</v>
      </c>
      <c r="C170" s="36">
        <f>[5]monthly!$D269</f>
        <v>3.9133333333333331</v>
      </c>
      <c r="D170" s="37">
        <f>[6]monthly!$BJ269</f>
        <v>41926.953925000002</v>
      </c>
    </row>
    <row r="171" spans="1:4" ht="15.75" x14ac:dyDescent="0.25">
      <c r="A171" s="27">
        <v>39845</v>
      </c>
      <c r="B171" s="36">
        <v>101.66044153348901</v>
      </c>
      <c r="C171" s="36">
        <f>[5]monthly!$D270</f>
        <v>4.1030526315789482</v>
      </c>
      <c r="D171" s="37">
        <f>[6]monthly!$BJ270</f>
        <v>40808.027954999998</v>
      </c>
    </row>
    <row r="172" spans="1:4" ht="15.75" x14ac:dyDescent="0.25">
      <c r="A172" s="27">
        <v>39873</v>
      </c>
      <c r="B172" s="36">
        <v>103.35160776277201</v>
      </c>
      <c r="C172" s="36">
        <f>[5]monthly!$D271</f>
        <v>4.1589999999999998</v>
      </c>
      <c r="D172" s="37">
        <f>[6]monthly!$BJ271</f>
        <v>44326.497846999999</v>
      </c>
    </row>
    <row r="173" spans="1:4" ht="15.75" x14ac:dyDescent="0.25">
      <c r="A173" s="27">
        <v>39904</v>
      </c>
      <c r="B173" s="36">
        <v>104.93017882307799</v>
      </c>
      <c r="C173" s="36">
        <f>[5]monthly!$D272</f>
        <v>4.1959374999999994</v>
      </c>
      <c r="D173" s="37">
        <f>[6]monthly!$BJ272</f>
        <v>45247.763272999997</v>
      </c>
    </row>
    <row r="174" spans="1:4" ht="15.75" x14ac:dyDescent="0.25">
      <c r="A174" s="27">
        <v>39934</v>
      </c>
      <c r="B174" s="36">
        <v>104.52856536269</v>
      </c>
      <c r="C174" s="36">
        <f>[5]monthly!$D273</f>
        <v>4.0916315789473687</v>
      </c>
      <c r="D174" s="37">
        <f>[6]monthly!$BJ273</f>
        <v>47725.839315999998</v>
      </c>
    </row>
    <row r="175" spans="1:4" ht="15.75" x14ac:dyDescent="0.25">
      <c r="A175" s="27">
        <v>39965</v>
      </c>
      <c r="B175" s="36">
        <v>102.049691860287</v>
      </c>
      <c r="C175" s="36">
        <f>[5]monthly!$D274</f>
        <v>3.9436363636363638</v>
      </c>
      <c r="D175" s="37">
        <f>[6]monthly!$BJ274</f>
        <v>50271.648163999998</v>
      </c>
    </row>
    <row r="176" spans="1:4" ht="15.75" x14ac:dyDescent="0.25">
      <c r="A176" s="27">
        <v>39995</v>
      </c>
      <c r="B176" s="36">
        <v>99.871061834915807</v>
      </c>
      <c r="C176" s="36">
        <f>[5]monthly!$D275</f>
        <v>3.8923636363636374</v>
      </c>
      <c r="D176" s="37">
        <f>[6]monthly!$BJ275</f>
        <v>52380.102602999999</v>
      </c>
    </row>
    <row r="177" spans="1:4" ht="15.75" x14ac:dyDescent="0.25">
      <c r="A177" s="27">
        <v>40026</v>
      </c>
      <c r="B177" s="36">
        <v>98.9430481379393</v>
      </c>
      <c r="C177" s="36">
        <f>[5]monthly!$D276</f>
        <v>3.8320476190476196</v>
      </c>
      <c r="D177" s="37">
        <f>[6]monthly!$BJ276</f>
        <v>57767.02824</v>
      </c>
    </row>
    <row r="178" spans="1:4" ht="15.75" x14ac:dyDescent="0.25">
      <c r="A178" s="27">
        <v>40057</v>
      </c>
      <c r="B178" s="36">
        <v>98.639986075382396</v>
      </c>
      <c r="C178" s="36">
        <f>[5]monthly!$D277</f>
        <v>3.7658499999999995</v>
      </c>
      <c r="D178" s="37">
        <f>[6]monthly!$BJ277</f>
        <v>59962.967535000003</v>
      </c>
    </row>
    <row r="179" spans="1:4" ht="15.75" x14ac:dyDescent="0.25">
      <c r="A179" s="27">
        <v>40087</v>
      </c>
      <c r="B179" s="36">
        <v>98.9115183175807</v>
      </c>
      <c r="C179" s="36">
        <f>[5]monthly!$D278</f>
        <v>3.7261818181818187</v>
      </c>
      <c r="D179" s="37">
        <f>[6]monthly!$BJ278</f>
        <v>61195.659249999997</v>
      </c>
    </row>
    <row r="180" spans="1:4" ht="15.75" x14ac:dyDescent="0.25">
      <c r="A180" s="27">
        <v>40118</v>
      </c>
      <c r="B180" s="36">
        <v>100.656036847191</v>
      </c>
      <c r="C180" s="36">
        <f>[5]monthly!$D279</f>
        <v>3.7789523809523806</v>
      </c>
      <c r="D180" s="37">
        <f>[6]monthly!$BJ279</f>
        <v>61544.184219000002</v>
      </c>
    </row>
    <row r="181" spans="1:4" ht="15.75" x14ac:dyDescent="0.25">
      <c r="A181" s="27">
        <v>40148</v>
      </c>
      <c r="B181" s="36">
        <v>100</v>
      </c>
      <c r="C181" s="36">
        <f>[5]monthly!$D280</f>
        <v>3.7896363636363644</v>
      </c>
      <c r="D181" s="37">
        <f>[6]monthly!$BJ280</f>
        <v>60612.455128000001</v>
      </c>
    </row>
    <row r="182" spans="1:4" ht="15.75" x14ac:dyDescent="0.25">
      <c r="A182" s="27">
        <v>40179</v>
      </c>
      <c r="B182" s="36">
        <v>98.375065030809694</v>
      </c>
      <c r="C182" s="36">
        <f>[5]monthly!$D281</f>
        <v>3.7125499999999994</v>
      </c>
      <c r="D182" s="37">
        <f>[6]monthly!$BJ281</f>
        <v>61600.787449000003</v>
      </c>
    </row>
    <row r="183" spans="1:4" ht="15.75" x14ac:dyDescent="0.25">
      <c r="A183" s="27">
        <v>40210</v>
      </c>
      <c r="B183" s="36">
        <v>98.124599708813193</v>
      </c>
      <c r="C183" s="36">
        <f>[5]monthly!$D282</f>
        <v>3.7465500000000005</v>
      </c>
      <c r="D183" s="37">
        <f>[6]monthly!$BJ282</f>
        <v>60728.883183999998</v>
      </c>
    </row>
    <row r="184" spans="1:4" ht="15.75" x14ac:dyDescent="0.25">
      <c r="A184" s="27">
        <v>40238</v>
      </c>
      <c r="B184" s="36">
        <v>98.300712691626799</v>
      </c>
      <c r="C184" s="36">
        <f>[5]monthly!$D283</f>
        <v>3.7438999999999991</v>
      </c>
      <c r="D184" s="37">
        <f>[6]monthly!$BJ283</f>
        <v>62475.273461999997</v>
      </c>
    </row>
    <row r="185" spans="1:4" ht="15.75" x14ac:dyDescent="0.25">
      <c r="A185" s="27">
        <v>40269</v>
      </c>
      <c r="B185" s="36">
        <v>97.039319239449995</v>
      </c>
      <c r="C185" s="36">
        <f>[5]monthly!$D284</f>
        <v>3.7125789473684203</v>
      </c>
      <c r="D185" s="37">
        <f>[6]monthly!$BJ284</f>
        <v>64472.892079999998</v>
      </c>
    </row>
    <row r="186" spans="1:4" ht="15.75" x14ac:dyDescent="0.25">
      <c r="A186" s="27">
        <v>40299</v>
      </c>
      <c r="B186" s="36">
        <v>95.862933317659099</v>
      </c>
      <c r="C186" s="36">
        <f>[5]monthly!$D285</f>
        <v>3.7854736842105265</v>
      </c>
      <c r="D186" s="37">
        <f>[6]monthly!$BJ285</f>
        <v>63417.460455</v>
      </c>
    </row>
    <row r="187" spans="1:4" ht="15.75" x14ac:dyDescent="0.25">
      <c r="A187" s="27">
        <v>40330</v>
      </c>
      <c r="B187" s="36">
        <v>96.060906259861198</v>
      </c>
      <c r="C187" s="36">
        <f>[5]monthly!$D286</f>
        <v>3.8523181818181835</v>
      </c>
      <c r="D187" s="37">
        <f>[6]monthly!$BJ286</f>
        <v>63096.314429999999</v>
      </c>
    </row>
    <row r="188" spans="1:4" ht="15.75" x14ac:dyDescent="0.25">
      <c r="A188" s="27">
        <v>40360</v>
      </c>
      <c r="B188" s="36">
        <v>97.6031883890129</v>
      </c>
      <c r="C188" s="36">
        <f>[5]monthly!$D287</f>
        <v>3.854428571428572</v>
      </c>
      <c r="D188" s="37">
        <f>[6]monthly!$BJ287</f>
        <v>64312.895814000003</v>
      </c>
    </row>
    <row r="189" spans="1:4" ht="15.75" x14ac:dyDescent="0.25">
      <c r="A189" s="27">
        <v>40391</v>
      </c>
      <c r="B189" s="36">
        <v>96.622453674423198</v>
      </c>
      <c r="C189" s="36">
        <f>[5]monthly!$D288</f>
        <v>3.7908181818181803</v>
      </c>
      <c r="D189" s="37">
        <f>[6]monthly!$BJ288</f>
        <v>64107.505082999996</v>
      </c>
    </row>
    <row r="190" spans="1:4" ht="15.75" x14ac:dyDescent="0.25">
      <c r="A190" s="27">
        <v>40422</v>
      </c>
      <c r="B190" s="36">
        <v>96.034844914278906</v>
      </c>
      <c r="C190" s="36">
        <f>[5]monthly!$D289</f>
        <v>3.737625</v>
      </c>
      <c r="D190" s="37">
        <f>[6]monthly!$BJ289</f>
        <v>66260.048083000001</v>
      </c>
    </row>
    <row r="191" spans="1:4" ht="15.75" x14ac:dyDescent="0.25">
      <c r="A191" s="27">
        <v>40452</v>
      </c>
      <c r="B191" s="36">
        <v>95.532022861236001</v>
      </c>
      <c r="C191" s="36">
        <f>[5]monthly!$D290</f>
        <v>3.6112380952380954</v>
      </c>
      <c r="D191" s="37">
        <f>[6]monthly!$BJ290</f>
        <v>69610.152209000007</v>
      </c>
    </row>
    <row r="192" spans="1:4" ht="15.75" x14ac:dyDescent="0.25">
      <c r="A192" s="27">
        <v>40483</v>
      </c>
      <c r="B192" s="36">
        <v>96.038423009840699</v>
      </c>
      <c r="C192" s="36">
        <f>[5]monthly!$D291</f>
        <v>3.6442272727272726</v>
      </c>
      <c r="D192" s="37">
        <f>[6]monthly!$BJ291</f>
        <v>68277.122568000006</v>
      </c>
    </row>
    <row r="193" spans="1:4" ht="15.75" x14ac:dyDescent="0.25">
      <c r="A193" s="27">
        <v>40513</v>
      </c>
      <c r="B193" s="36">
        <v>93.575808676173907</v>
      </c>
      <c r="C193" s="36">
        <f>[5]monthly!$D292</f>
        <v>3.6039565217391298</v>
      </c>
      <c r="D193" s="37">
        <f>[6]monthly!$BJ292</f>
        <v>70913.257629999993</v>
      </c>
    </row>
    <row r="194" spans="1:4" ht="15.75" x14ac:dyDescent="0.25">
      <c r="A194" s="27">
        <v>40544</v>
      </c>
      <c r="B194" s="36">
        <v>93.833948596147295</v>
      </c>
      <c r="C194" s="36">
        <f>[5]monthly!$D293</f>
        <v>3.584285714285715</v>
      </c>
      <c r="D194" s="37">
        <f>[6]monthly!$BJ293</f>
        <v>73397.936707999994</v>
      </c>
    </row>
    <row r="195" spans="1:4" ht="15.75" x14ac:dyDescent="0.25">
      <c r="A195" s="27">
        <v>40575</v>
      </c>
      <c r="B195" s="36">
        <v>96.750071089502299</v>
      </c>
      <c r="C195" s="36">
        <f>[5]monthly!$D294</f>
        <v>3.65665</v>
      </c>
      <c r="D195" s="37">
        <f>[6]monthly!$BJ294</f>
        <v>73793.166087999998</v>
      </c>
    </row>
    <row r="196" spans="1:4" ht="15.75" x14ac:dyDescent="0.25">
      <c r="A196" s="27">
        <v>40603</v>
      </c>
      <c r="B196" s="36">
        <v>95.628332580425706</v>
      </c>
      <c r="C196" s="36">
        <f>[5]monthly!$D295</f>
        <v>3.562727272727273</v>
      </c>
      <c r="D196" s="37">
        <f>[6]monthly!$BJ295</f>
        <v>74526.358051000003</v>
      </c>
    </row>
    <row r="197" spans="1:4" ht="15.75" x14ac:dyDescent="0.25">
      <c r="A197" s="27">
        <v>40634</v>
      </c>
      <c r="B197" s="36">
        <v>93.651003798843206</v>
      </c>
      <c r="C197" s="36">
        <f>[5]monthly!$D296</f>
        <v>3.4337647058823526</v>
      </c>
      <c r="D197" s="37">
        <f>[6]monthly!$BJ296</f>
        <v>77409.003954999993</v>
      </c>
    </row>
    <row r="198" spans="1:4" ht="15.75" x14ac:dyDescent="0.25">
      <c r="A198" s="27">
        <v>40664</v>
      </c>
      <c r="B198" s="36">
        <v>94.279804555493698</v>
      </c>
      <c r="C198" s="36">
        <f>[5]monthly!$D297</f>
        <v>3.4680999999999997</v>
      </c>
      <c r="D198" s="37">
        <f>[6]monthly!$BJ297</f>
        <v>76801.812539999999</v>
      </c>
    </row>
    <row r="199" spans="1:4" ht="15.75" x14ac:dyDescent="0.25">
      <c r="A199" s="27">
        <v>40695</v>
      </c>
      <c r="B199" s="36">
        <v>92.672109371543499</v>
      </c>
      <c r="C199" s="36">
        <f>[5]monthly!$D298</f>
        <v>3.4223809523809527</v>
      </c>
      <c r="D199" s="37">
        <f>[6]monthly!$BJ298</f>
        <v>77413.716050999996</v>
      </c>
    </row>
    <row r="200" spans="1:4" ht="15.75" x14ac:dyDescent="0.25">
      <c r="A200" s="27">
        <v>40725</v>
      </c>
      <c r="B200" s="36">
        <v>92.756035533566106</v>
      </c>
      <c r="C200" s="36">
        <f>[5]monthly!$D299</f>
        <v>3.4201904761904767</v>
      </c>
      <c r="D200" s="37">
        <f>[6]monthly!$BJ299</f>
        <v>77943.188685000001</v>
      </c>
    </row>
    <row r="201" spans="1:4" ht="15.75" x14ac:dyDescent="0.25">
      <c r="A201" s="27">
        <v>40756</v>
      </c>
      <c r="B201" s="36">
        <v>95.854269763949802</v>
      </c>
      <c r="C201" s="36">
        <f>[5]monthly!$D300</f>
        <v>3.5432727272727274</v>
      </c>
      <c r="D201" s="37">
        <f>[6]monthly!$BJ300</f>
        <v>78077.517917000005</v>
      </c>
    </row>
    <row r="202" spans="1:4" ht="15.75" x14ac:dyDescent="0.25">
      <c r="A202" s="27">
        <v>40787</v>
      </c>
      <c r="B202" s="36">
        <v>97.905192197585805</v>
      </c>
      <c r="C202" s="36">
        <f>[5]monthly!$D301</f>
        <v>3.6805789473684216</v>
      </c>
      <c r="D202" s="37">
        <f>[6]monthly!$BJ301</f>
        <v>76331.199254000006</v>
      </c>
    </row>
    <row r="203" spans="1:4" ht="15.75" x14ac:dyDescent="0.25">
      <c r="A203" s="27">
        <v>40817</v>
      </c>
      <c r="B203" s="36">
        <v>96.899026951737198</v>
      </c>
      <c r="C203" s="36">
        <f>[5]monthly!$D302</f>
        <v>3.666055555555555</v>
      </c>
      <c r="D203" s="37">
        <f>[6]monthly!$BJ302</f>
        <v>76902.426936000003</v>
      </c>
    </row>
    <row r="204" spans="1:4" ht="15.75" x14ac:dyDescent="0.25">
      <c r="A204" s="27">
        <v>40848</v>
      </c>
      <c r="B204" s="36">
        <v>98.235258315386304</v>
      </c>
      <c r="C204" s="36">
        <f>[5]monthly!$D303</f>
        <v>3.725454545454546</v>
      </c>
      <c r="D204" s="37">
        <f>[6]monthly!$BJ303</f>
        <v>75154.291414000007</v>
      </c>
    </row>
    <row r="205" spans="1:4" ht="15.75" x14ac:dyDescent="0.25">
      <c r="A205" s="27">
        <v>40878</v>
      </c>
      <c r="B205" s="36">
        <v>98.311335610333003</v>
      </c>
      <c r="C205" s="36">
        <f>[5]monthly!$D304</f>
        <v>3.7739047619047623</v>
      </c>
      <c r="D205" s="37">
        <f>[6]monthly!$BJ304</f>
        <v>74875.186537999994</v>
      </c>
    </row>
    <row r="206" spans="1:4" ht="15.75" x14ac:dyDescent="0.25">
      <c r="A206" s="27">
        <v>40909</v>
      </c>
      <c r="B206" s="36">
        <v>99.191383642833898</v>
      </c>
      <c r="C206" s="36">
        <f>[5]monthly!$D305</f>
        <v>3.8089523809523818</v>
      </c>
      <c r="D206" s="37">
        <f>[6]monthly!$BJ305</f>
        <v>77115.164279999997</v>
      </c>
    </row>
    <row r="207" spans="1:4" ht="15.75" x14ac:dyDescent="0.25">
      <c r="A207" s="27">
        <v>40940</v>
      </c>
      <c r="B207" s="36">
        <v>99.363127008413798</v>
      </c>
      <c r="C207" s="36">
        <f>[5]monthly!$D306</f>
        <v>3.7408095238095238</v>
      </c>
      <c r="D207" s="37">
        <f>[6]monthly!$BJ306</f>
        <v>77100.297111000007</v>
      </c>
    </row>
    <row r="208" spans="1:4" ht="15.75" x14ac:dyDescent="0.25">
      <c r="A208" s="27">
        <v>40969</v>
      </c>
      <c r="B208" s="36">
        <v>99.883409189970195</v>
      </c>
      <c r="C208" s="36">
        <f>[5]monthly!$D307</f>
        <v>3.7632000000000003</v>
      </c>
      <c r="D208" s="37">
        <f>[6]monthly!$BJ307</f>
        <v>76997.17409</v>
      </c>
    </row>
    <row r="209" spans="1:4" ht="15.75" x14ac:dyDescent="0.25">
      <c r="A209" s="27">
        <v>41000</v>
      </c>
      <c r="B209" s="36">
        <v>98.927706056543201</v>
      </c>
      <c r="C209" s="36">
        <f>[5]monthly!$D308</f>
        <v>3.7512941176470589</v>
      </c>
      <c r="D209" s="37">
        <f>[6]monthly!$BJ308</f>
        <v>76630.285585000005</v>
      </c>
    </row>
    <row r="210" spans="1:4" ht="15.75" x14ac:dyDescent="0.25">
      <c r="A210" s="27">
        <v>41030</v>
      </c>
      <c r="B210" s="36">
        <v>99.464710604849699</v>
      </c>
      <c r="C210" s="36">
        <f>[5]monthly!$D309</f>
        <v>3.8273478260869562</v>
      </c>
      <c r="D210" s="37">
        <f>[6]monthly!$BJ309</f>
        <v>74792.186480000004</v>
      </c>
    </row>
    <row r="211" spans="1:4" ht="15.75" x14ac:dyDescent="0.25">
      <c r="A211" s="27">
        <v>41061</v>
      </c>
      <c r="B211" s="36">
        <v>99.9684704642696</v>
      </c>
      <c r="C211" s="36">
        <f>[5]monthly!$D310</f>
        <v>3.8927619047619055</v>
      </c>
      <c r="D211" s="37">
        <f>[6]monthly!$BJ310</f>
        <v>75118.681467999995</v>
      </c>
    </row>
    <row r="212" spans="1:4" ht="15.75" x14ac:dyDescent="0.25">
      <c r="A212" s="27">
        <v>41091</v>
      </c>
      <c r="B212" s="36">
        <v>102.00735832588001</v>
      </c>
      <c r="C212" s="36">
        <f>[5]monthly!$D311</f>
        <v>3.9910909090909086</v>
      </c>
      <c r="D212" s="37">
        <f>[6]monthly!$BJ311</f>
        <v>75385.528527999995</v>
      </c>
    </row>
    <row r="213" spans="1:4" ht="15.75" x14ac:dyDescent="0.25">
      <c r="A213" s="27">
        <v>41122</v>
      </c>
      <c r="B213" s="36">
        <v>102.581402986886</v>
      </c>
      <c r="C213" s="36">
        <f>[5]monthly!$D312</f>
        <v>4.0153478260869573</v>
      </c>
      <c r="D213" s="37">
        <f>[6]monthly!$BJ312</f>
        <v>75616.262570000006</v>
      </c>
    </row>
    <row r="214" spans="1:4" ht="15.75" x14ac:dyDescent="0.25">
      <c r="A214" s="27">
        <v>41153</v>
      </c>
      <c r="B214" s="36">
        <v>103.003449488055</v>
      </c>
      <c r="C214" s="36">
        <f>[5]monthly!$D313</f>
        <v>3.9586249999999996</v>
      </c>
      <c r="D214" s="37">
        <f>[6]monthly!$BJ313</f>
        <v>76225.714957999997</v>
      </c>
    </row>
    <row r="215" spans="1:4" ht="15.75" x14ac:dyDescent="0.25">
      <c r="A215" s="27">
        <v>41183</v>
      </c>
      <c r="B215" s="36">
        <v>101.29726763830099</v>
      </c>
      <c r="C215" s="36">
        <f>[5]monthly!$D314</f>
        <v>3.851142857142857</v>
      </c>
      <c r="D215" s="37">
        <f>[6]monthly!$BJ314</f>
        <v>75896.316260000007</v>
      </c>
    </row>
    <row r="216" spans="1:4" ht="15.75" x14ac:dyDescent="0.25">
      <c r="A216" s="27">
        <v>41214</v>
      </c>
      <c r="B216" s="36">
        <v>102.254629027974</v>
      </c>
      <c r="C216" s="36">
        <f>[5]monthly!$D315</f>
        <v>3.8934545454545444</v>
      </c>
      <c r="D216" s="37">
        <f>[6]monthly!$BJ315</f>
        <v>75672.105498000004</v>
      </c>
    </row>
    <row r="217" spans="1:4" ht="15.75" x14ac:dyDescent="0.25">
      <c r="A217" s="27">
        <v>41244</v>
      </c>
      <c r="B217" s="36">
        <v>99.963219708811195</v>
      </c>
      <c r="C217" s="36">
        <f>[5]monthly!$D316</f>
        <v>3.7770999999999999</v>
      </c>
      <c r="D217" s="37">
        <f>[6]monthly!$BJ316</f>
        <v>75905.559229999999</v>
      </c>
    </row>
    <row r="218" spans="1:4" ht="15.75" x14ac:dyDescent="0.25">
      <c r="A218" s="27">
        <v>41275</v>
      </c>
      <c r="B218" s="36">
        <v>99.563229534614905</v>
      </c>
      <c r="C218" s="36">
        <f>[5]monthly!$D317</f>
        <v>3.7394285714285709</v>
      </c>
      <c r="D218" s="37">
        <f>[6]monthly!$BJ317</f>
        <v>78413.224090000003</v>
      </c>
    </row>
    <row r="219" spans="1:4" ht="15.75" x14ac:dyDescent="0.25">
      <c r="A219" s="27">
        <v>41306</v>
      </c>
      <c r="B219" s="36">
        <v>98.739930280746293</v>
      </c>
      <c r="C219" s="36">
        <f>[5]monthly!$D318</f>
        <v>3.6926842105263149</v>
      </c>
      <c r="D219" s="37">
        <f>[6]monthly!$BJ318</f>
        <v>77275.282412999994</v>
      </c>
    </row>
    <row r="220" spans="1:4" ht="15.75" x14ac:dyDescent="0.25">
      <c r="A220" s="27">
        <v>41334</v>
      </c>
      <c r="B220" s="36">
        <v>97.524208759194806</v>
      </c>
      <c r="C220" s="36">
        <f>[5]monthly!$D319</f>
        <v>3.6922222222222221</v>
      </c>
      <c r="D220" s="37">
        <f>[6]monthly!$BJ319</f>
        <v>76966.790718999997</v>
      </c>
    </row>
    <row r="221" spans="1:4" ht="15.75" x14ac:dyDescent="0.25">
      <c r="A221" s="27">
        <v>41365</v>
      </c>
      <c r="B221" s="36">
        <v>95.471727556830501</v>
      </c>
      <c r="C221" s="36">
        <f>[5]monthly!$D320</f>
        <v>3.6199499999999993</v>
      </c>
      <c r="D221" s="37">
        <f>[6]monthly!$BJ320</f>
        <v>77146.142105000006</v>
      </c>
    </row>
    <row r="222" spans="1:4" ht="15.75" x14ac:dyDescent="0.25">
      <c r="A222" s="27">
        <v>41395</v>
      </c>
      <c r="B222" s="36">
        <v>95.503561983230199</v>
      </c>
      <c r="C222" s="36">
        <f>[5]monthly!$D321</f>
        <v>3.6286666666666667</v>
      </c>
      <c r="D222" s="37">
        <f>[6]monthly!$BJ321</f>
        <v>77651.094557000004</v>
      </c>
    </row>
    <row r="223" spans="1:4" ht="15.75" x14ac:dyDescent="0.25">
      <c r="A223" s="27">
        <v>41426</v>
      </c>
      <c r="B223" s="36">
        <v>94.796068376758797</v>
      </c>
      <c r="C223" s="36">
        <f>[5]monthly!$D322</f>
        <v>3.6299499999999996</v>
      </c>
      <c r="D223" s="37">
        <f>[6]monthly!$BJ322</f>
        <v>78219.971097999995</v>
      </c>
    </row>
    <row r="224" spans="1:4" ht="15.75" x14ac:dyDescent="0.25">
      <c r="A224" s="27">
        <v>41456</v>
      </c>
      <c r="B224" s="36">
        <v>93.270269510584697</v>
      </c>
      <c r="C224" s="36">
        <f>[5]monthly!$D323</f>
        <v>3.6067727272727268</v>
      </c>
      <c r="D224" s="37">
        <f>[6]monthly!$BJ323</f>
        <v>79071.424192999999</v>
      </c>
    </row>
    <row r="225" spans="1:4" ht="15.75" x14ac:dyDescent="0.25">
      <c r="A225" s="27">
        <v>41487</v>
      </c>
      <c r="B225" s="36">
        <v>92.8995962751398</v>
      </c>
      <c r="C225" s="36">
        <f>[5]monthly!$D324</f>
        <v>3.5785909090909089</v>
      </c>
      <c r="D225" s="37">
        <f>[6]monthly!$BJ324</f>
        <v>78518.577342000004</v>
      </c>
    </row>
    <row r="226" spans="1:4" ht="15.75" x14ac:dyDescent="0.25">
      <c r="A226" s="27">
        <v>41518</v>
      </c>
      <c r="B226" s="36">
        <v>93.069091110586101</v>
      </c>
      <c r="C226" s="36">
        <f>[5]monthly!$D325</f>
        <v>3.5616666666666661</v>
      </c>
      <c r="D226" s="37">
        <f>[6]monthly!$BJ325</f>
        <v>79901.869412999993</v>
      </c>
    </row>
    <row r="227" spans="1:4" ht="15.75" x14ac:dyDescent="0.25">
      <c r="A227" s="27">
        <v>41548</v>
      </c>
      <c r="B227" s="36">
        <v>93.2590114894641</v>
      </c>
      <c r="C227" s="36">
        <f>[5]monthly!$D326</f>
        <v>3.5374347826086958</v>
      </c>
      <c r="D227" s="37">
        <f>[6]monthly!$BJ326</f>
        <v>80570.638569999996</v>
      </c>
    </row>
    <row r="228" spans="1:4" ht="15.75" x14ac:dyDescent="0.25">
      <c r="A228" s="27">
        <v>41579</v>
      </c>
      <c r="B228" s="36">
        <v>92.909547534926503</v>
      </c>
      <c r="C228" s="36">
        <f>[5]monthly!$D327</f>
        <v>3.5365714285714285</v>
      </c>
      <c r="D228" s="37">
        <f>[6]monthly!$BJ327</f>
        <v>80589.436541999996</v>
      </c>
    </row>
    <row r="229" spans="1:4" ht="15.75" x14ac:dyDescent="0.25">
      <c r="A229" s="27">
        <v>41609</v>
      </c>
      <c r="B229" s="36">
        <v>92.413007219746802</v>
      </c>
      <c r="C229" s="36">
        <f>[5]monthly!$D328</f>
        <v>3.5050476190476196</v>
      </c>
      <c r="D229" s="37">
        <f>[6]monthly!$BJ328</f>
        <v>81789.757836000004</v>
      </c>
    </row>
    <row r="230" spans="1:4" ht="15.75" x14ac:dyDescent="0.25">
      <c r="A230" s="27">
        <v>41640</v>
      </c>
      <c r="B230" s="36">
        <v>92.021627288892304</v>
      </c>
      <c r="C230" s="36">
        <f>[5]monthly!$D329</f>
        <v>3.4933636363636364</v>
      </c>
      <c r="D230" s="37">
        <f>[6]monthly!$BJ329</f>
        <v>83164.679132000005</v>
      </c>
    </row>
    <row r="231" spans="1:4" ht="15.75" x14ac:dyDescent="0.25">
      <c r="A231" s="27">
        <v>41671</v>
      </c>
      <c r="B231" s="36">
        <v>93.129662638028194</v>
      </c>
      <c r="C231" s="36">
        <f>[5]monthly!$D330</f>
        <v>3.5185500000000003</v>
      </c>
      <c r="D231" s="37">
        <f>[6]monthly!$BJ330</f>
        <v>83975.258694000004</v>
      </c>
    </row>
    <row r="232" spans="1:4" ht="15.75" x14ac:dyDescent="0.25">
      <c r="A232" s="27">
        <v>41699</v>
      </c>
      <c r="B232" s="36">
        <v>92.432614228591504</v>
      </c>
      <c r="C232" s="36">
        <f>[5]monthly!$D331</f>
        <v>3.4798999999999998</v>
      </c>
      <c r="D232" s="37">
        <f>[6]monthly!$BJ331</f>
        <v>85569.853701</v>
      </c>
    </row>
    <row r="233" spans="1:4" ht="15.75" x14ac:dyDescent="0.25">
      <c r="A233" s="27">
        <v>41730</v>
      </c>
      <c r="B233" s="36">
        <v>92.728514983932399</v>
      </c>
      <c r="C233" s="36">
        <f>[5]monthly!$D332</f>
        <v>3.4757777777777776</v>
      </c>
      <c r="D233" s="37">
        <f>[6]monthly!$BJ332</f>
        <v>86480.065638999993</v>
      </c>
    </row>
    <row r="234" spans="1:4" ht="15.75" x14ac:dyDescent="0.25">
      <c r="A234" s="27">
        <v>41760</v>
      </c>
      <c r="B234" s="36">
        <v>92.634584102766098</v>
      </c>
      <c r="C234" s="36">
        <f>[5]monthly!$D333</f>
        <v>3.4653499999999999</v>
      </c>
      <c r="D234" s="37">
        <f>[6]monthly!$BJ333</f>
        <v>86478.468311000004</v>
      </c>
    </row>
    <row r="235" spans="1:4" ht="15.75" x14ac:dyDescent="0.25">
      <c r="A235" s="27">
        <v>41791</v>
      </c>
      <c r="B235" s="36">
        <v>91.894544550933304</v>
      </c>
      <c r="C235" s="36">
        <f>[5]monthly!$D334</f>
        <v>3.4535500000000008</v>
      </c>
      <c r="D235" s="37">
        <f>[6]monthly!$BJ334</f>
        <v>86812.954641999997</v>
      </c>
    </row>
    <row r="236" spans="1:4" ht="15.75" x14ac:dyDescent="0.25">
      <c r="A236" s="27">
        <v>41821</v>
      </c>
      <c r="B236" s="36">
        <v>90.912994556986604</v>
      </c>
      <c r="C236" s="36">
        <f>[5]monthly!$D335</f>
        <v>3.4215217391304349</v>
      </c>
      <c r="D236" s="37">
        <f>[6]monthly!$BJ335</f>
        <v>87139.236653999993</v>
      </c>
    </row>
    <row r="237" spans="1:4" ht="15.75" x14ac:dyDescent="0.25">
      <c r="A237" s="27">
        <v>41852</v>
      </c>
      <c r="B237" s="36">
        <v>92.149050645399299</v>
      </c>
      <c r="C237" s="36">
        <f>[5]monthly!$D336</f>
        <v>3.5</v>
      </c>
      <c r="D237" s="37">
        <f>[6]monthly!$BJ336</f>
        <v>87627.532380999997</v>
      </c>
    </row>
    <row r="238" spans="1:4" ht="15.75" x14ac:dyDescent="0.25">
      <c r="A238" s="27">
        <v>41883</v>
      </c>
      <c r="B238" s="36">
        <v>94.687072489998897</v>
      </c>
      <c r="C238" s="36">
        <f>[5]monthly!$D337</f>
        <v>3.6271578947368419</v>
      </c>
      <c r="D238" s="37">
        <f>[6]monthly!$BJ337</f>
        <v>86187.823210999995</v>
      </c>
    </row>
    <row r="239" spans="1:4" ht="15.75" x14ac:dyDescent="0.25">
      <c r="A239" s="27">
        <v>41913</v>
      </c>
      <c r="B239" s="36">
        <v>96.094265429036298</v>
      </c>
      <c r="C239" s="36">
        <f>[5]monthly!$D338</f>
        <v>3.7359500000000003</v>
      </c>
      <c r="D239" s="37">
        <f>[6]monthly!$BJ338</f>
        <v>86416.100409000006</v>
      </c>
    </row>
    <row r="240" spans="1:4" ht="15.75" x14ac:dyDescent="0.25">
      <c r="A240" s="27">
        <v>41944</v>
      </c>
      <c r="B240" s="36">
        <v>97.161540079995802</v>
      </c>
      <c r="C240" s="36">
        <f>[5]monthly!$D339</f>
        <v>3.8289999999999993</v>
      </c>
      <c r="D240" s="37">
        <f>[6]monthly!$BJ339</f>
        <v>86327.581676999995</v>
      </c>
    </row>
    <row r="241" spans="1:4" ht="15.75" x14ac:dyDescent="0.25">
      <c r="A241" s="27">
        <v>41974</v>
      </c>
      <c r="B241" s="36">
        <v>98.236688878691993</v>
      </c>
      <c r="C241" s="36">
        <f>[5]monthly!$D340</f>
        <v>3.9346666666666668</v>
      </c>
      <c r="D241" s="37">
        <f>[6]monthly!$BJ340</f>
        <v>86101.167862000002</v>
      </c>
    </row>
    <row r="242" spans="1:4" ht="15.75" x14ac:dyDescent="0.25">
      <c r="A242" s="27">
        <v>42005</v>
      </c>
      <c r="B242" s="36">
        <v>96.300328721658204</v>
      </c>
      <c r="C242" s="36">
        <f>[5]monthly!$D341</f>
        <v>3.9463809523809528</v>
      </c>
      <c r="D242" s="37">
        <f>[6]monthly!$BJ341</f>
        <v>84664.956556000005</v>
      </c>
    </row>
    <row r="243" spans="1:4" ht="15.75" x14ac:dyDescent="0.25">
      <c r="A243" s="27">
        <v>42036</v>
      </c>
      <c r="B243" s="36">
        <v>94.855026554314705</v>
      </c>
      <c r="C243" s="36">
        <f>[5]monthly!$D342</f>
        <v>3.8928499999999993</v>
      </c>
      <c r="D243" s="37">
        <f>[6]monthly!$BJ342</f>
        <v>85319.615143999996</v>
      </c>
    </row>
    <row r="244" spans="1:4" ht="15.75" x14ac:dyDescent="0.25">
      <c r="A244" s="27">
        <v>42064</v>
      </c>
      <c r="B244" s="36">
        <v>96.103556297901093</v>
      </c>
      <c r="C244" s="36">
        <f>[5]monthly!$D343</f>
        <v>3.9978421052631581</v>
      </c>
      <c r="D244" s="37">
        <f>[6]monthly!$BJ343</f>
        <v>84983.182545999996</v>
      </c>
    </row>
    <row r="245" spans="1:4" ht="15.75" x14ac:dyDescent="0.25">
      <c r="A245" s="27">
        <v>42095</v>
      </c>
      <c r="B245" s="36">
        <v>94.904236203387299</v>
      </c>
      <c r="C245" s="36">
        <f>[5]monthly!$D344</f>
        <v>3.9384444444444449</v>
      </c>
      <c r="D245" s="37">
        <f>[6]monthly!$BJ344</f>
        <v>85712.656258000003</v>
      </c>
    </row>
    <row r="246" spans="1:4" ht="15.75" x14ac:dyDescent="0.25">
      <c r="A246" s="27">
        <v>42125</v>
      </c>
      <c r="B246" s="36">
        <v>94.428280854666298</v>
      </c>
      <c r="C246" s="36">
        <f>[5]monthly!$D345</f>
        <v>3.8622500000000004</v>
      </c>
      <c r="D246" s="37">
        <f>[6]monthly!$BJ345</f>
        <v>85763.847833000007</v>
      </c>
    </row>
    <row r="247" spans="1:4" ht="15.75" x14ac:dyDescent="0.25">
      <c r="A247" s="27">
        <v>42156</v>
      </c>
      <c r="B247" s="36">
        <v>93.006287595735301</v>
      </c>
      <c r="C247" s="36">
        <f>[5]monthly!$D346</f>
        <v>3.8244545454545449</v>
      </c>
      <c r="D247" s="37">
        <f>[6]monthly!$BJ346</f>
        <v>88178.95018</v>
      </c>
    </row>
    <row r="248" spans="1:4" ht="15.75" x14ac:dyDescent="0.25">
      <c r="A248" s="27">
        <v>42186</v>
      </c>
      <c r="B248" s="36">
        <v>91.021422282258499</v>
      </c>
      <c r="C248" s="36">
        <f>[5]monthly!$D347</f>
        <v>3.7890000000000001</v>
      </c>
      <c r="D248" s="37">
        <f>[6]monthly!$BJ347</f>
        <v>88424.258652999997</v>
      </c>
    </row>
    <row r="249" spans="1:4" ht="15.75" x14ac:dyDescent="0.25">
      <c r="A249" s="27">
        <v>42217</v>
      </c>
      <c r="B249" s="36">
        <v>91.7579735494961</v>
      </c>
      <c r="C249" s="36">
        <f>[5]monthly!$D348</f>
        <v>3.8448571428571436</v>
      </c>
      <c r="D249" s="37">
        <f>[6]monthly!$BJ348</f>
        <v>88998.359263000006</v>
      </c>
    </row>
    <row r="250" spans="1:4" ht="15.75" x14ac:dyDescent="0.25">
      <c r="A250" s="27">
        <v>42248</v>
      </c>
      <c r="B250" s="36">
        <v>93.556083234444799</v>
      </c>
      <c r="C250" s="36">
        <f>[5]monthly!$D349</f>
        <v>3.9129411764705888</v>
      </c>
      <c r="D250" s="37">
        <f>[6]monthly!$BJ349</f>
        <v>89475.833069999993</v>
      </c>
    </row>
    <row r="251" spans="1:4" ht="15.75" x14ac:dyDescent="0.25">
      <c r="A251" s="27">
        <v>42278</v>
      </c>
      <c r="B251" s="36">
        <v>92.804519068231599</v>
      </c>
      <c r="C251" s="36">
        <f>[5]monthly!$D350</f>
        <v>3.8629999999999995</v>
      </c>
      <c r="D251" s="37">
        <f>[6]monthly!$BJ350</f>
        <v>89230.161653999996</v>
      </c>
    </row>
    <row r="252" spans="1:4" ht="15.75" x14ac:dyDescent="0.25">
      <c r="A252" s="27">
        <v>42309</v>
      </c>
      <c r="B252" s="36">
        <v>92.211010775891907</v>
      </c>
      <c r="C252" s="36">
        <f>[5]monthly!$D351</f>
        <v>3.8893333333333326</v>
      </c>
      <c r="D252" s="37">
        <f>[6]monthly!$BJ351</f>
        <v>88822.492438000001</v>
      </c>
    </row>
    <row r="253" spans="1:4" ht="15.75" x14ac:dyDescent="0.25">
      <c r="A253" s="27">
        <v>42339</v>
      </c>
      <c r="B253" s="36">
        <v>91.833580008049495</v>
      </c>
      <c r="C253" s="36">
        <f>[5]monthly!$D352</f>
        <v>3.8813636363636363</v>
      </c>
      <c r="D253" s="37">
        <f>[6]monthly!$BJ352</f>
        <v>90574.783563000005</v>
      </c>
    </row>
    <row r="254" spans="1:4" ht="15.75" x14ac:dyDescent="0.25">
      <c r="A254" s="27">
        <v>42370</v>
      </c>
      <c r="B254" s="36">
        <v>92.740160272013597</v>
      </c>
      <c r="C254" s="36">
        <f>[5]monthly!$D353</f>
        <v>3.9508999999999994</v>
      </c>
      <c r="D254" s="37">
        <f>[6]monthly!$BJ353</f>
        <v>90487.135842000003</v>
      </c>
    </row>
    <row r="255" spans="1:4" ht="15.75" x14ac:dyDescent="0.25">
      <c r="A255" s="27">
        <v>42401</v>
      </c>
      <c r="B255" s="36">
        <v>93.016562431270799</v>
      </c>
      <c r="C255" s="36">
        <f>[5]monthly!$D354</f>
        <v>3.9080476190476192</v>
      </c>
      <c r="D255" s="37">
        <f>[6]monthly!$BJ354</f>
        <v>90618.848733000006</v>
      </c>
    </row>
    <row r="256" spans="1:4" ht="15.75" x14ac:dyDescent="0.25">
      <c r="A256" s="27">
        <v>42430</v>
      </c>
      <c r="B256" s="36">
        <v>93.405367623987999</v>
      </c>
      <c r="C256" s="36">
        <f>[5]monthly!$D355</f>
        <v>3.8676190476190477</v>
      </c>
      <c r="D256" s="37">
        <f>[6]monthly!$BJ355</f>
        <v>94779.577600999997</v>
      </c>
    </row>
    <row r="257" spans="1:4" ht="15.75" x14ac:dyDescent="0.25">
      <c r="A257" s="27">
        <v>42461</v>
      </c>
      <c r="B257" s="36">
        <v>92.321774728768602</v>
      </c>
      <c r="C257" s="36">
        <f>[5]monthly!$D356</f>
        <v>3.7784210526315793</v>
      </c>
      <c r="D257" s="37">
        <f>[6]monthly!$BJ356</f>
        <v>95683.981843999994</v>
      </c>
    </row>
    <row r="258" spans="1:4" ht="15.75" x14ac:dyDescent="0.25">
      <c r="A258" s="27">
        <v>42491</v>
      </c>
      <c r="B258" s="36">
        <v>92.832630977387197</v>
      </c>
      <c r="C258" s="36">
        <f>[5]monthly!$D357</f>
        <v>3.8134499999999996</v>
      </c>
      <c r="D258" s="37">
        <f>[6]monthly!$BJ357</f>
        <v>96463.373846999995</v>
      </c>
    </row>
    <row r="259" spans="1:4" ht="15.75" x14ac:dyDescent="0.25">
      <c r="A259" s="27">
        <v>42522</v>
      </c>
      <c r="B259" s="36">
        <v>93.560736212443103</v>
      </c>
      <c r="C259" s="36">
        <f>[5]monthly!$D358</f>
        <v>3.8566363636363645</v>
      </c>
      <c r="D259" s="37">
        <f>[6]monthly!$BJ358</f>
        <v>96634.682209999999</v>
      </c>
    </row>
    <row r="260" spans="1:4" ht="15.75" x14ac:dyDescent="0.25">
      <c r="A260" s="27">
        <v>42552</v>
      </c>
      <c r="B260" s="36">
        <v>92.303392782672503</v>
      </c>
      <c r="C260" s="36">
        <f>[5]monthly!$D359</f>
        <v>3.8574285714285717</v>
      </c>
      <c r="D260" s="37">
        <f>[6]monthly!$BJ359</f>
        <v>97392.620318999994</v>
      </c>
    </row>
    <row r="261" spans="1:4" ht="15.75" x14ac:dyDescent="0.25">
      <c r="A261" s="27">
        <v>42583</v>
      </c>
      <c r="B261" s="36">
        <v>91.698232510679205</v>
      </c>
      <c r="C261" s="36">
        <f>[5]monthly!$D360</f>
        <v>3.795391304347826</v>
      </c>
      <c r="D261" s="37">
        <f>[6]monthly!$BJ360</f>
        <v>97625.998164999997</v>
      </c>
    </row>
    <row r="262" spans="1:4" ht="15.75" x14ac:dyDescent="0.25">
      <c r="A262" s="27">
        <v>42614</v>
      </c>
      <c r="B262" s="36">
        <v>91.217539290172297</v>
      </c>
      <c r="C262" s="36">
        <f>[5]monthly!$D361</f>
        <v>3.7657272727272724</v>
      </c>
      <c r="D262" s="37">
        <f>[6]monthly!$BJ361</f>
        <v>98428.618797000003</v>
      </c>
    </row>
    <row r="263" spans="1:4" ht="15.75" x14ac:dyDescent="0.25">
      <c r="A263" s="27">
        <v>42644</v>
      </c>
      <c r="B263" s="36">
        <v>91.533464075056997</v>
      </c>
      <c r="C263" s="36">
        <f>[5]monthly!$D362</f>
        <v>3.8217333333333339</v>
      </c>
      <c r="D263" s="37">
        <f>[6]monthly!$BJ362</f>
        <v>97962.721780000007</v>
      </c>
    </row>
    <row r="264" spans="1:4" ht="15.75" x14ac:dyDescent="0.25">
      <c r="A264" s="27">
        <v>42675</v>
      </c>
      <c r="B264" s="36">
        <v>91.065707631248401</v>
      </c>
      <c r="C264" s="36">
        <f>[5]monthly!$D363</f>
        <v>3.8428636363636355</v>
      </c>
      <c r="D264" s="37">
        <f>[6]monthly!$BJ363</f>
        <v>97126.751369999998</v>
      </c>
    </row>
    <row r="265" spans="1:4" ht="15.75" x14ac:dyDescent="0.25">
      <c r="A265" s="27">
        <v>42705</v>
      </c>
      <c r="B265" s="36">
        <v>89.777361196433105</v>
      </c>
      <c r="C265" s="36">
        <f>[5]monthly!$D364</f>
        <v>3.8283809523809516</v>
      </c>
      <c r="D265" s="37">
        <f>[6]monthly!$BJ364</f>
        <v>98447</v>
      </c>
    </row>
    <row r="266" spans="1:4" ht="15.75" x14ac:dyDescent="0.25">
      <c r="A266" s="27">
        <v>42736</v>
      </c>
      <c r="B266" s="36">
        <v>90.043119987655402</v>
      </c>
      <c r="C266" s="36">
        <f>[5]monthly!$D365</f>
        <v>3.8181904761904764</v>
      </c>
      <c r="D266" s="37">
        <f>[6]monthly!$BJ365</f>
        <v>101613</v>
      </c>
    </row>
    <row r="267" spans="1:4" ht="15.75" x14ac:dyDescent="0.25">
      <c r="A267" s="27">
        <v>42767</v>
      </c>
      <c r="B267" s="36">
        <v>88.782339705000695</v>
      </c>
      <c r="C267" s="36">
        <f>[5]monthly!$D366</f>
        <v>3.72905</v>
      </c>
      <c r="D267" s="37">
        <f>[6]monthly!$BJ366</f>
        <v>102022</v>
      </c>
    </row>
    <row r="268" spans="1:4" ht="15.75" x14ac:dyDescent="0.25">
      <c r="A268" s="27">
        <v>42795</v>
      </c>
      <c r="B268" s="36">
        <v>86.942475735487207</v>
      </c>
      <c r="C268" s="36">
        <f>[5]monthly!$D367</f>
        <v>3.6493181818181815</v>
      </c>
      <c r="D268" s="37">
        <f>[6]monthly!$BJ367</f>
        <v>103174</v>
      </c>
    </row>
    <row r="269" spans="1:4" ht="15.75" x14ac:dyDescent="0.25">
      <c r="A269" s="27">
        <v>42826</v>
      </c>
      <c r="B269" s="36">
        <v>87.6084642774061</v>
      </c>
      <c r="C269" s="36">
        <f>[5]monthly!$D368</f>
        <v>3.6496875000000002</v>
      </c>
      <c r="D269" s="37">
        <f>[6]monthly!$BJ368</f>
        <v>105142</v>
      </c>
    </row>
    <row r="270" spans="1:4" ht="15.75" x14ac:dyDescent="0.25">
      <c r="A270" s="27">
        <v>42856</v>
      </c>
      <c r="B270" s="36">
        <v>86.861389586231596</v>
      </c>
      <c r="C270" s="36">
        <f>[5]monthly!$D369</f>
        <v>3.5974210526315789</v>
      </c>
      <c r="D270" s="37">
        <f>[6]monthly!$BJ369</f>
        <v>107367</v>
      </c>
    </row>
    <row r="271" spans="1:4" ht="15.75" x14ac:dyDescent="0.25">
      <c r="A271" s="27">
        <v>42887</v>
      </c>
      <c r="B271" s="36">
        <v>86.498646107496697</v>
      </c>
      <c r="C271" s="36">
        <f>[5]monthly!$D370</f>
        <v>3.531863636363636</v>
      </c>
      <c r="D271" s="37">
        <f>[6]monthly!$BJ370</f>
        <v>108706</v>
      </c>
    </row>
    <row r="272" spans="1:4" ht="15.75" x14ac:dyDescent="0.25">
      <c r="A272" s="27">
        <v>42917</v>
      </c>
      <c r="B272" s="36">
        <v>87.768259049497402</v>
      </c>
      <c r="C272" s="36">
        <f>[5]monthly!$D371</f>
        <v>3.5509047619047616</v>
      </c>
      <c r="D272" s="37">
        <f>[6]monthly!$BJ371</f>
        <v>110110</v>
      </c>
    </row>
    <row r="273" spans="1:4" ht="15.75" x14ac:dyDescent="0.25">
      <c r="A273" s="27">
        <v>42948</v>
      </c>
      <c r="B273" s="36">
        <v>89.960339230735002</v>
      </c>
      <c r="C273" s="36">
        <f>[5]monthly!$D372</f>
        <v>3.601136363636364</v>
      </c>
      <c r="D273" s="37">
        <f>[6]monthly!$BJ372</f>
        <v>111020</v>
      </c>
    </row>
    <row r="274" spans="1:4" ht="15.75" x14ac:dyDescent="0.25">
      <c r="A274" s="27">
        <v>42979</v>
      </c>
      <c r="B274" s="36">
        <v>89.255479162996394</v>
      </c>
      <c r="C274" s="36">
        <f>[5]monthly!$D373</f>
        <v>3.5373529411764708</v>
      </c>
      <c r="D274" s="37">
        <f>[6]monthly!$BJ373</f>
        <v>111051</v>
      </c>
    </row>
    <row r="275" spans="1:4" ht="15.75" x14ac:dyDescent="0.25">
      <c r="A275" s="27">
        <v>43009</v>
      </c>
      <c r="B275" s="36">
        <v>87.593979007394694</v>
      </c>
      <c r="C275" s="36">
        <f>[5]monthly!$D374</f>
        <v>3.5124000000000004</v>
      </c>
      <c r="D275" s="37">
        <f>[6]monthly!$BJ374</f>
        <v>111309</v>
      </c>
    </row>
    <row r="276" spans="1:4" ht="15.75" x14ac:dyDescent="0.25">
      <c r="A276" s="27">
        <v>43040</v>
      </c>
      <c r="B276" s="36">
        <v>87.815840783594595</v>
      </c>
      <c r="C276" s="36">
        <f>[5]monthly!$D375</f>
        <v>3.5172272727272729</v>
      </c>
      <c r="D276" s="37">
        <f>[6]monthly!$BJ375</f>
        <v>112079</v>
      </c>
    </row>
    <row r="277" spans="1:4" ht="15.75" x14ac:dyDescent="0.25">
      <c r="A277" s="27">
        <v>43070</v>
      </c>
      <c r="B277" s="36">
        <v>87.910077423803102</v>
      </c>
      <c r="C277" s="36">
        <f>[5]monthly!$D376</f>
        <v>3.50345</v>
      </c>
      <c r="D277" s="37">
        <f>[6]monthly!$BJ376</f>
        <v>113011</v>
      </c>
    </row>
    <row r="278" spans="1:4" ht="15.75" x14ac:dyDescent="0.25">
      <c r="A278" s="27">
        <v>43101</v>
      </c>
      <c r="B278" s="36">
        <v>88.027620871170399</v>
      </c>
      <c r="C278" s="36">
        <f>[5]monthly!$D377</f>
        <v>3.4232272727272726</v>
      </c>
      <c r="D278" s="37">
        <f>[6]monthly!$BJ377</f>
        <v>117622</v>
      </c>
    </row>
    <row r="279" spans="1:4" ht="15.75" x14ac:dyDescent="0.25">
      <c r="A279" s="27">
        <v>43132</v>
      </c>
      <c r="B279" s="36">
        <v>90.8412918831783</v>
      </c>
      <c r="C279" s="36">
        <f>[5]monthly!$D378</f>
        <v>3.4791000000000012</v>
      </c>
      <c r="D279" s="37">
        <f>[6]monthly!$BJ378</f>
        <v>116293</v>
      </c>
    </row>
    <row r="280" spans="1:4" ht="15.75" x14ac:dyDescent="0.25">
      <c r="A280" s="27">
        <v>43160</v>
      </c>
      <c r="B280" s="36">
        <v>89.921343369632595</v>
      </c>
      <c r="C280" s="36">
        <f>[5]monthly!$D379</f>
        <v>3.4751538461538467</v>
      </c>
      <c r="D280" s="37">
        <f>[6]monthly!$BJ379</f>
        <v>116127</v>
      </c>
    </row>
    <row r="281" spans="1:4" ht="15.75" x14ac:dyDescent="0.25">
      <c r="A281" s="27">
        <v>43191</v>
      </c>
      <c r="B281" s="36">
        <v>91.170984816321194</v>
      </c>
      <c r="C281" s="36">
        <f>[5]monthly!$D380</f>
        <v>3.5385555555555555</v>
      </c>
      <c r="D281" s="37">
        <f>[6]monthly!$BJ380</f>
        <v>115354</v>
      </c>
    </row>
    <row r="282" spans="1:4" ht="15.75" x14ac:dyDescent="0.25">
      <c r="A282" s="27">
        <v>43221</v>
      </c>
      <c r="B282" s="36">
        <v>90.372813744333797</v>
      </c>
      <c r="C282" s="36">
        <f>[5]monthly!$D381</f>
        <v>3.5910454545454544</v>
      </c>
      <c r="D282" s="37">
        <f>[6]monthly!$BJ381</f>
        <v>114700</v>
      </c>
    </row>
    <row r="283" spans="1:4" ht="15.75" x14ac:dyDescent="0.25">
      <c r="A283" s="27">
        <v>43252</v>
      </c>
      <c r="B283" s="36">
        <v>89.8912183628278</v>
      </c>
      <c r="C283" s="36">
        <f>[5]monthly!$D382</f>
        <v>3.6045238095238092</v>
      </c>
      <c r="D283" s="37">
        <f>[6]monthly!$BJ382</f>
        <v>114832</v>
      </c>
    </row>
    <row r="284" spans="1:4" ht="15.75" x14ac:dyDescent="0.25">
      <c r="A284" s="27">
        <v>43282</v>
      </c>
      <c r="B284" s="36">
        <v>90.324651343281701</v>
      </c>
      <c r="C284" s="36">
        <f>[5]monthly!$D383</f>
        <v>3.6453181818181828</v>
      </c>
      <c r="D284" s="37">
        <f>[6]monthly!$BJ383</f>
        <v>115782</v>
      </c>
    </row>
    <row r="285" spans="1:4" ht="15.75" x14ac:dyDescent="0.25">
      <c r="A285" s="27">
        <v>43313</v>
      </c>
      <c r="B285" s="36">
        <v>89.539686942643399</v>
      </c>
      <c r="C285" s="36">
        <f>[5]monthly!$D384</f>
        <v>3.6644999999999994</v>
      </c>
      <c r="D285" s="37">
        <f>[6]monthly!$BJ384</f>
        <v>116005</v>
      </c>
    </row>
    <row r="286" spans="1:4" ht="15.75" x14ac:dyDescent="0.25">
      <c r="A286" s="27">
        <v>43344</v>
      </c>
      <c r="B286" s="36">
        <v>87.933694753416304</v>
      </c>
      <c r="C286" s="36">
        <f>[5]monthly!$D385</f>
        <v>3.5925333333333334</v>
      </c>
      <c r="D286" s="37">
        <f>[6]monthly!$BJ385</f>
        <v>115458</v>
      </c>
    </row>
    <row r="287" spans="1:4" ht="15.75" x14ac:dyDescent="0.25">
      <c r="A287" s="27">
        <v>43374</v>
      </c>
      <c r="B287" s="36">
        <v>89.289511977852399</v>
      </c>
      <c r="C287" s="36">
        <f>[5]monthly!$D386</f>
        <v>3.6559523809523813</v>
      </c>
      <c r="D287" s="37">
        <f>[6]monthly!$BJ386</f>
        <v>113911</v>
      </c>
    </row>
    <row r="288" spans="1:4" ht="15.75" x14ac:dyDescent="0.25">
      <c r="A288" s="27">
        <v>43405</v>
      </c>
      <c r="B288" s="36">
        <v>90.433251145573706</v>
      </c>
      <c r="C288" s="36">
        <f>[5]monthly!$D387</f>
        <v>3.7054545454545451</v>
      </c>
      <c r="D288" s="37">
        <f>[6]monthly!$BJ387</f>
        <v>115056</v>
      </c>
    </row>
    <row r="289" spans="1:4" ht="15.75" x14ac:dyDescent="0.25">
      <c r="A289" s="27">
        <v>43435</v>
      </c>
      <c r="B289" s="36">
        <v>91.8250690797868</v>
      </c>
      <c r="C289" s="36">
        <f>[5]monthly!$D388</f>
        <v>3.7529000000000003</v>
      </c>
      <c r="D289" s="37">
        <f>[6]monthly!$BJ388</f>
        <v>115279</v>
      </c>
    </row>
    <row r="290" spans="1:4" ht="15.75" x14ac:dyDescent="0.25">
      <c r="A290" s="27">
        <v>43466</v>
      </c>
      <c r="B290" s="36">
        <v>90.791254828024705</v>
      </c>
      <c r="C290" s="36">
        <f>[5]monthly!$D389</f>
        <v>3.687045454545455</v>
      </c>
      <c r="D290" s="37">
        <f>[6]monthly!$BJ389</f>
        <v>118153</v>
      </c>
    </row>
    <row r="291" spans="1:4" ht="15.75" x14ac:dyDescent="0.25">
      <c r="A291" s="27">
        <v>43497</v>
      </c>
      <c r="B291" s="36">
        <v>89.663546828859097</v>
      </c>
      <c r="C291" s="36">
        <f>[5]monthly!$D390</f>
        <v>3.6262999999999992</v>
      </c>
      <c r="D291" s="37">
        <f>[6]monthly!$BJ390</f>
        <v>117939</v>
      </c>
    </row>
    <row r="292" spans="1:4" ht="15.75" x14ac:dyDescent="0.25">
      <c r="A292" s="27">
        <v>43525</v>
      </c>
      <c r="B292" s="36">
        <v>89.276851965146193</v>
      </c>
      <c r="C292" s="36">
        <f>[5]monthly!$D391</f>
        <v>3.618631578947368</v>
      </c>
      <c r="D292" s="37">
        <f>[6]monthly!$BJ391</f>
        <v>118219</v>
      </c>
    </row>
    <row r="293" spans="1:4" ht="15.75" x14ac:dyDescent="0.25">
      <c r="A293" s="27">
        <v>43556</v>
      </c>
      <c r="B293" s="36">
        <v>88.549296653625504</v>
      </c>
      <c r="C293" s="36">
        <f>[5]monthly!$D392</f>
        <v>3.5946111111111114</v>
      </c>
      <c r="D293" s="37">
        <f>[6]monthly!$BJ392</f>
        <v>118743</v>
      </c>
    </row>
    <row r="294" spans="1:4" ht="15.75" x14ac:dyDescent="0.25">
      <c r="A294" s="27">
        <v>43586</v>
      </c>
      <c r="B294" s="36">
        <v>87.352490105507499</v>
      </c>
      <c r="C294" s="36">
        <f>[5]monthly!$D393</f>
        <v>3.593238095238096</v>
      </c>
      <c r="D294" s="37">
        <f>[6]monthly!$BJ393</f>
        <v>118124</v>
      </c>
    </row>
    <row r="295" spans="1:4" ht="15.75" x14ac:dyDescent="0.25">
      <c r="A295" s="27">
        <v>43617</v>
      </c>
      <c r="B295" s="36">
        <v>88.432110529652505</v>
      </c>
      <c r="C295" s="36">
        <f>[5]monthly!$D394</f>
        <v>3.5972999999999997</v>
      </c>
      <c r="D295" s="37">
        <f>[6]monthly!$BJ394</f>
        <v>120108</v>
      </c>
    </row>
    <row r="296" spans="1:4" ht="15.75" x14ac:dyDescent="0.25">
      <c r="A296" s="27">
        <v>43647</v>
      </c>
      <c r="B296" s="36">
        <v>87.5251043926785</v>
      </c>
      <c r="C296" s="36">
        <f>[5]monthly!$D395</f>
        <v>3.5446521739130437</v>
      </c>
      <c r="D296" s="37">
        <f>[6]monthly!$BJ395</f>
        <v>119994</v>
      </c>
    </row>
    <row r="297" spans="1:4" ht="15.75" x14ac:dyDescent="0.25">
      <c r="A297" s="27">
        <v>43678</v>
      </c>
      <c r="B297" s="36">
        <v>85.766436114192899</v>
      </c>
      <c r="C297" s="36">
        <f>[5]monthly!$D396</f>
        <v>3.5112272727272726</v>
      </c>
      <c r="D297" s="37">
        <f>[6]monthly!$BJ396</f>
        <v>119812</v>
      </c>
    </row>
    <row r="298" spans="1:4" ht="15.75" x14ac:dyDescent="0.25">
      <c r="A298" s="27">
        <v>43709</v>
      </c>
      <c r="B298" s="36">
        <v>86.1782708868204</v>
      </c>
      <c r="C298" s="36">
        <f>[5]monthly!$D397</f>
        <v>3.5240526315789471</v>
      </c>
      <c r="D298" s="37">
        <f>[6]monthly!$BJ397</f>
        <v>119469</v>
      </c>
    </row>
    <row r="299" spans="1:4" ht="15.75" x14ac:dyDescent="0.25">
      <c r="A299" s="27">
        <v>43739</v>
      </c>
      <c r="B299" s="36">
        <v>86.332698368651705</v>
      </c>
      <c r="C299" s="36">
        <f>[5]monthly!$D398</f>
        <v>3.5192222222222225</v>
      </c>
      <c r="D299" s="37">
        <f>[6]monthly!$BJ398</f>
        <v>121361</v>
      </c>
    </row>
    <row r="300" spans="1:4" ht="15.75" x14ac:dyDescent="0.25">
      <c r="A300" s="27">
        <v>43770</v>
      </c>
      <c r="B300" s="36">
        <v>86.031613934204898</v>
      </c>
      <c r="C300" s="36">
        <f>[5]monthly!$D399</f>
        <v>3.4826190476190479</v>
      </c>
      <c r="D300" s="37">
        <f>[6]monthly!$BJ399</f>
        <v>122383</v>
      </c>
    </row>
    <row r="301" spans="1:4" ht="15.75" x14ac:dyDescent="0.25">
      <c r="A301" s="27">
        <v>43800</v>
      </c>
      <c r="B301" s="36">
        <v>86.276381385950103</v>
      </c>
      <c r="C301" s="36">
        <f>[5]monthly!$D400</f>
        <v>3.4754285714285711</v>
      </c>
      <c r="D301" s="37">
        <f>[6]monthly!$BJ400</f>
        <v>126014</v>
      </c>
    </row>
    <row r="302" spans="1:4" ht="15.75" x14ac:dyDescent="0.25">
      <c r="A302" s="27">
        <v>43831</v>
      </c>
      <c r="B302" s="36">
        <v>86.613655031738006</v>
      </c>
      <c r="C302" s="36">
        <f>[5]monthly!$D401</f>
        <v>3.4601818181818178</v>
      </c>
      <c r="D302" s="37">
        <f>[6]monthly!$BJ401</f>
        <v>129978</v>
      </c>
    </row>
    <row r="303" spans="1:4" ht="15.75" x14ac:dyDescent="0.25">
      <c r="A303" s="27">
        <v>43862</v>
      </c>
      <c r="B303" s="36">
        <v>85.319720429898396</v>
      </c>
      <c r="C303" s="36">
        <f>[5]monthly!$D402</f>
        <v>3.4336500000000001</v>
      </c>
      <c r="D303" s="37">
        <f>[6]monthly!$BJ402</f>
        <v>131176</v>
      </c>
    </row>
    <row r="304" spans="1:4" ht="15.75" x14ac:dyDescent="0.25">
      <c r="A304" s="27">
        <v>43891</v>
      </c>
      <c r="B304" s="36">
        <v>88.157529878880197</v>
      </c>
      <c r="C304" s="36">
        <f>[5]monthly!$D403</f>
        <v>3.6178947368421057</v>
      </c>
      <c r="D304" s="37">
        <f>[6]monthly!$BJ403</f>
        <v>125941</v>
      </c>
    </row>
    <row r="305" spans="1:4" ht="15.75" x14ac:dyDescent="0.25">
      <c r="A305" s="27">
        <v>43922</v>
      </c>
      <c r="B305" s="36">
        <v>85.892688431501099</v>
      </c>
      <c r="C305" s="36">
        <f>[5]monthly!$D404</f>
        <v>3.5678125000000001</v>
      </c>
      <c r="D305" s="37">
        <f>[6]monthly!$BJ404</f>
        <v>133547</v>
      </c>
    </row>
    <row r="306" spans="1:4" ht="15.75" x14ac:dyDescent="0.25">
      <c r="A306" s="27">
        <v>43952</v>
      </c>
      <c r="B306" s="36">
        <v>84.928458905351704</v>
      </c>
      <c r="C306" s="36">
        <f>[5]monthly!$D405</f>
        <v>3.5175000000000005</v>
      </c>
      <c r="D306" s="37">
        <f>[6]monthly!$BJ405</f>
        <v>142513</v>
      </c>
    </row>
    <row r="307" spans="1:4" ht="15.75" x14ac:dyDescent="0.25">
      <c r="A307" s="27">
        <v>43983</v>
      </c>
      <c r="B307" s="36">
        <v>85.191593966091006</v>
      </c>
      <c r="C307" s="36">
        <f>[5]monthly!$D406</f>
        <v>3.4583181818181812</v>
      </c>
      <c r="D307" s="37">
        <f>[6]monthly!$BJ406</f>
        <v>147337</v>
      </c>
    </row>
    <row r="308" spans="1:4" ht="15.75" x14ac:dyDescent="0.25">
      <c r="A308" s="27">
        <v>44013</v>
      </c>
      <c r="B308" s="36">
        <v>85.143499938215598</v>
      </c>
      <c r="C308" s="36">
        <f>[5]monthly!$D407</f>
        <v>3.433181818181819</v>
      </c>
      <c r="D308" s="37">
        <f>[6]monthly!$BJ407</f>
        <v>157663</v>
      </c>
    </row>
    <row r="309" spans="1:4" ht="15.75" x14ac:dyDescent="0.25">
      <c r="A309" s="27">
        <v>44044</v>
      </c>
      <c r="B309" s="36">
        <v>85.249866954816696</v>
      </c>
      <c r="C309" s="36">
        <f>[5]monthly!$D408</f>
        <v>3.4009047619047617</v>
      </c>
      <c r="D309" s="37">
        <f>[6]monthly!$BJ408</f>
        <v>161688</v>
      </c>
    </row>
    <row r="310" spans="1:4" ht="15.75" x14ac:dyDescent="0.25">
      <c r="A310" s="27">
        <v>44075</v>
      </c>
      <c r="B310" s="36">
        <v>82.852221380152002</v>
      </c>
      <c r="C310" s="36">
        <f>[5]monthly!$D409</f>
        <v>3.4174999999999995</v>
      </c>
      <c r="D310" s="37">
        <f>[6]monthly!$BJ409</f>
        <v>160584</v>
      </c>
    </row>
    <row r="311" spans="1:4" ht="15.75" x14ac:dyDescent="0.25">
      <c r="A311" s="27">
        <v>44105</v>
      </c>
      <c r="B311" s="36">
        <v>82.109238022910503</v>
      </c>
      <c r="C311" s="36">
        <f>[5]monthly!$D410</f>
        <v>3.3950454545454538</v>
      </c>
      <c r="D311" s="37">
        <f>[6]monthly!$BJ410</f>
        <v>160748</v>
      </c>
    </row>
    <row r="312" spans="1:4" ht="15.75" x14ac:dyDescent="0.25">
      <c r="A312" s="27">
        <v>44136</v>
      </c>
      <c r="B312" s="36">
        <v>82.046546344928899</v>
      </c>
      <c r="C312" s="36">
        <f>[5]monthly!$D411</f>
        <v>3.3593809523809521</v>
      </c>
      <c r="D312" s="37">
        <f>[6]monthly!$BJ411</f>
        <v>166947</v>
      </c>
    </row>
    <row r="313" spans="1:4" ht="15.75" x14ac:dyDescent="0.25">
      <c r="A313" s="27">
        <v>44166</v>
      </c>
      <c r="B313" s="36">
        <v>80.800940951141399</v>
      </c>
      <c r="C313" s="36">
        <f>[5]monthly!$D412</f>
        <v>3.2474999999999996</v>
      </c>
      <c r="D313" s="37">
        <f>[6]monthly!$BJ412</f>
        <v>173297</v>
      </c>
    </row>
    <row r="314" spans="1:4" ht="15.75" x14ac:dyDescent="0.25">
      <c r="A314" s="27">
        <v>44197</v>
      </c>
      <c r="B314" s="36">
        <v>80.967855829001806</v>
      </c>
      <c r="C314" s="36">
        <f>[5]monthly!$D413</f>
        <v>3.2220999999999997</v>
      </c>
      <c r="D314" s="37">
        <f>[6]monthly!$BJ413</f>
        <v>179501</v>
      </c>
    </row>
    <row r="315" spans="1:4" ht="15.75" x14ac:dyDescent="0.25">
      <c r="A315" s="27">
        <v>44228</v>
      </c>
      <c r="B315" s="36">
        <v>82.388391721656504</v>
      </c>
      <c r="C315" s="36">
        <f>[5]monthly!$D414</f>
        <v>3.2697368421052637</v>
      </c>
      <c r="D315" s="37">
        <f>[6]monthly!$BJ414</f>
        <v>185055</v>
      </c>
    </row>
    <row r="316" spans="1:4" ht="15.75" x14ac:dyDescent="0.25">
      <c r="A316" s="27">
        <v>44256</v>
      </c>
      <c r="B316" s="36">
        <v>82.274319104558401</v>
      </c>
      <c r="C316" s="36">
        <f>[5]monthly!$D415</f>
        <v>3.3112272727272729</v>
      </c>
      <c r="D316" s="37">
        <f>[6]monthly!$BJ415</f>
        <v>185680</v>
      </c>
    </row>
    <row r="317" spans="1:4" ht="15.75" x14ac:dyDescent="0.25">
      <c r="A317" s="27">
        <v>44287</v>
      </c>
      <c r="B317" s="36">
        <v>81.357973616037697</v>
      </c>
      <c r="C317" s="36">
        <f>[5]monthly!$D416</f>
        <v>3.2754500000000006</v>
      </c>
      <c r="D317" s="37">
        <f>[6]monthly!$BJ416</f>
        <v>194000</v>
      </c>
    </row>
    <row r="318" spans="1:4" ht="15.75" x14ac:dyDescent="0.25">
      <c r="A318" s="27">
        <v>44317</v>
      </c>
      <c r="B318" s="36">
        <v>81.734496851693095</v>
      </c>
      <c r="C318" s="36">
        <f>[5]monthly!$D417</f>
        <v>3.2622631578947372</v>
      </c>
      <c r="D318" s="37">
        <f>[6]monthly!$BJ417</f>
        <v>198350</v>
      </c>
    </row>
    <row r="319" spans="1:4" ht="15.75" x14ac:dyDescent="0.25">
      <c r="A319" s="27">
        <v>44348</v>
      </c>
      <c r="B319" s="36">
        <v>81.550235961087594</v>
      </c>
      <c r="C319" s="36">
        <f>[5]monthly!$D418</f>
        <v>3.2517272727272726</v>
      </c>
      <c r="D319" s="37">
        <f>[6]monthly!$BJ418</f>
        <v>200175</v>
      </c>
    </row>
    <row r="320" spans="1:4" ht="15.75" x14ac:dyDescent="0.25">
      <c r="A320" s="27">
        <v>44378</v>
      </c>
      <c r="B320" s="36">
        <v>81.174455892481703</v>
      </c>
      <c r="C320" s="36">
        <f>[5]monthly!$D419</f>
        <v>3.2706</v>
      </c>
      <c r="D320" s="37">
        <f>[6]monthly!$BJ419</f>
        <v>201695</v>
      </c>
    </row>
    <row r="321" spans="1:4" ht="15.75" x14ac:dyDescent="0.25">
      <c r="A321" s="27">
        <v>44409</v>
      </c>
      <c r="B321" s="36">
        <v>79.998131044796807</v>
      </c>
      <c r="C321" s="36">
        <f>[5]monthly!$D420</f>
        <v>3.2237</v>
      </c>
      <c r="D321" s="37">
        <f>[6]monthly!$BJ420</f>
        <v>205907</v>
      </c>
    </row>
    <row r="322" spans="1:4" ht="15.75" x14ac:dyDescent="0.25">
      <c r="A322" s="27">
        <v>44440</v>
      </c>
      <c r="B322" s="36">
        <v>79.627453134704098</v>
      </c>
      <c r="C322" s="36">
        <f>[5]monthly!$D421</f>
        <v>3.2075</v>
      </c>
      <c r="D322" s="37">
        <f>[6]monthly!$BJ421</f>
        <v>203980</v>
      </c>
    </row>
    <row r="323" spans="1:4" ht="15.75" x14ac:dyDescent="0.25">
      <c r="A323" s="27">
        <v>44470</v>
      </c>
      <c r="B323" s="36">
        <v>79.808676598035206</v>
      </c>
      <c r="C323" s="36">
        <f>[5]monthly!$D422</f>
        <v>3.2155</v>
      </c>
      <c r="D323" s="37">
        <f>[6]monthly!$BJ422</f>
        <v>207473</v>
      </c>
    </row>
    <row r="324" spans="1:4" ht="15.75" x14ac:dyDescent="0.25">
      <c r="A324" s="27">
        <v>44501</v>
      </c>
      <c r="B324" s="36">
        <v>77.087601794808407</v>
      </c>
      <c r="C324" s="36">
        <f>[5]monthly!$D423</f>
        <v>3.1204999999999998</v>
      </c>
      <c r="D324" s="37">
        <f>[6]monthly!$BJ423</f>
        <v>208770</v>
      </c>
    </row>
    <row r="325" spans="1:4" ht="15.75" x14ac:dyDescent="0.25">
      <c r="A325" s="27">
        <v>44531</v>
      </c>
      <c r="B325" s="36">
        <v>76.605189164462899</v>
      </c>
      <c r="C325" s="36">
        <f>[5]monthly!$D424</f>
        <v>3.1320000000000001</v>
      </c>
      <c r="D325" s="37">
        <f>[6]monthly!$BJ424</f>
        <v>212993</v>
      </c>
    </row>
    <row r="326" spans="1:4" ht="15.75" x14ac:dyDescent="0.25">
      <c r="A326" s="27">
        <v>44562</v>
      </c>
      <c r="B326" s="36">
        <v>77.389015353955898</v>
      </c>
      <c r="C326" s="36">
        <f>[5]monthly!$D425</f>
        <v>3.1343000000000001</v>
      </c>
      <c r="D326" s="37">
        <f>[6]monthly!$BJ425</f>
        <v>208737.10440000001</v>
      </c>
    </row>
    <row r="327" spans="1:4" ht="15.75" x14ac:dyDescent="0.25">
      <c r="A327" s="27">
        <v>44593</v>
      </c>
      <c r="B327" s="36">
        <v>79.632861560704399</v>
      </c>
      <c r="C327" s="36">
        <f>[5]monthly!$D426</f>
        <v>3.2139000000000002</v>
      </c>
      <c r="D327" s="37">
        <f>[6]monthly!$BJ426</f>
        <v>207047.57010000001</v>
      </c>
    </row>
    <row r="328" spans="1:4" ht="15.75" x14ac:dyDescent="0.25">
      <c r="A328" s="27">
        <v>44621</v>
      </c>
      <c r="B328" s="36">
        <v>79.478011136462101</v>
      </c>
      <c r="C328" s="36">
        <f>[5]monthly!$D427</f>
        <v>3.2433000000000001</v>
      </c>
      <c r="D328" s="37">
        <f>[6]monthly!$BJ427</f>
        <v>206163.35860000001</v>
      </c>
    </row>
    <row r="329" spans="1:4" ht="15.75" x14ac:dyDescent="0.25">
      <c r="A329" s="27">
        <v>44652</v>
      </c>
      <c r="B329" s="36">
        <v>79.456146059170393</v>
      </c>
      <c r="C329" s="36">
        <f>[5]monthly!$D428</f>
        <v>3.2422</v>
      </c>
      <c r="D329" s="37">
        <f>[6]monthly!$BJ428</f>
        <v>197630.3927</v>
      </c>
    </row>
    <row r="330" spans="1:4" ht="15.75" x14ac:dyDescent="0.25">
      <c r="A330" s="27">
        <v>44682</v>
      </c>
      <c r="B330" s="36">
        <v>81.657872614226704</v>
      </c>
      <c r="C330" s="36">
        <f>[5]monthly!$D429</f>
        <v>3.3820000000000001</v>
      </c>
      <c r="D330" s="37">
        <f>[6]monthly!$BJ429</f>
        <v>199808.19769999999</v>
      </c>
    </row>
    <row r="331" spans="1:4" ht="15.75" x14ac:dyDescent="0.25">
      <c r="A331" s="27">
        <v>44713</v>
      </c>
      <c r="B331" s="36">
        <v>82.587906319345095</v>
      </c>
      <c r="C331" s="36">
        <f>[5]monthly!$D430</f>
        <v>3.4140000000000001</v>
      </c>
      <c r="D331" s="37">
        <f>[6]monthly!$BJ430</f>
        <v>193809.54860000001</v>
      </c>
    </row>
    <row r="332" spans="1:4" ht="15.75" x14ac:dyDescent="0.25">
      <c r="A332" s="27">
        <v>44743</v>
      </c>
      <c r="B332" s="36">
        <v>81.718753312385999</v>
      </c>
      <c r="C332" s="36">
        <f>[5]monthly!$D431</f>
        <v>3.4655238095238108</v>
      </c>
      <c r="D332" s="37">
        <f>[6]monthly!$BJ431</f>
        <v>197468.91450000001</v>
      </c>
    </row>
    <row r="333" spans="1:4" ht="15.75" x14ac:dyDescent="0.25">
      <c r="A333" s="27">
        <v>44774</v>
      </c>
      <c r="B333" s="36">
        <v>77.916838877213195</v>
      </c>
      <c r="C333" s="36">
        <f>[5]monthly!$D432</f>
        <v>3.298826086956522</v>
      </c>
      <c r="D333" s="37">
        <f>[6]monthly!$BJ432</f>
        <v>192151.40539999999</v>
      </c>
    </row>
    <row r="334" spans="1:4" ht="15.75" x14ac:dyDescent="0.25">
      <c r="A334" s="27">
        <v>44805</v>
      </c>
      <c r="B334" s="36">
        <v>80.246308933236307</v>
      </c>
      <c r="C334" s="36">
        <f>[5]monthly!$D433</f>
        <v>3.4422000000000006</v>
      </c>
      <c r="D334" s="37">
        <f>[6]monthly!$BJ433</f>
        <v>185994.2727</v>
      </c>
    </row>
    <row r="335" spans="1:4" ht="15.75" x14ac:dyDescent="0.25">
      <c r="A335" s="27">
        <v>44835</v>
      </c>
      <c r="B335" s="36">
        <v>81.816857015150006</v>
      </c>
      <c r="C335" s="36">
        <f>[5]monthly!$D434</f>
        <v>3.5479411764705882</v>
      </c>
      <c r="D335" s="37">
        <f>[6]monthly!$BJ434</f>
        <v>188842.18400000001</v>
      </c>
    </row>
    <row r="336" spans="1:4" ht="15.75" x14ac:dyDescent="0.25">
      <c r="A336" s="27">
        <v>44866</v>
      </c>
      <c r="B336" s="36">
        <v>81.677785009953297</v>
      </c>
      <c r="C336" s="36">
        <f>[5]monthly!$D435</f>
        <v>3.4795714285714285</v>
      </c>
      <c r="D336" s="37">
        <f>[6]monthly!$BJ435</f>
        <v>194417.67550000001</v>
      </c>
    </row>
    <row r="337" spans="1:4" ht="15.75" x14ac:dyDescent="0.25">
      <c r="A337" s="27">
        <v>44896</v>
      </c>
      <c r="B337" s="36">
        <v>82.246919840107196</v>
      </c>
      <c r="C337" s="36">
        <f>[5]monthly!$D436</f>
        <v>3.451571428571429</v>
      </c>
      <c r="D337" s="37">
        <f>[6]monthly!$BJ436</f>
        <v>194217.92120000001</v>
      </c>
    </row>
    <row r="338" spans="1:4" ht="15.75" x14ac:dyDescent="0.25">
      <c r="A338" s="27">
        <v>44927</v>
      </c>
      <c r="B338" s="36">
        <v>83.336151616269504</v>
      </c>
      <c r="C338" s="36">
        <f>[5]monthly!$D437</f>
        <v>3.4452857142857143</v>
      </c>
      <c r="D338" s="37">
        <f>[6]monthly!$BJ437</f>
        <v>200984.93950000001</v>
      </c>
    </row>
    <row r="339" spans="1:4" ht="15.75" x14ac:dyDescent="0.25">
      <c r="A339" s="27">
        <v>44958</v>
      </c>
      <c r="B339" s="36">
        <v>85.280204240054204</v>
      </c>
      <c r="C339" s="36">
        <f>[5]monthly!$D438</f>
        <v>3.5431499999999998</v>
      </c>
      <c r="D339" s="37">
        <f>[6]monthly!$BJ438</f>
        <v>196279.32670000001</v>
      </c>
    </row>
    <row r="340" spans="1:4" ht="15.75" x14ac:dyDescent="0.25">
      <c r="A340" s="27">
        <v>44986</v>
      </c>
      <c r="B340" s="36">
        <v>86.946371888217499</v>
      </c>
      <c r="C340" s="36">
        <f>[5]monthly!$D439</f>
        <v>3.6199523809523813</v>
      </c>
      <c r="D340" s="37">
        <f>[6]monthly!$BJ439</f>
        <v>200485.77840000001</v>
      </c>
    </row>
    <row r="341" spans="1:4" ht="15.75" x14ac:dyDescent="0.25">
      <c r="A341" s="27">
        <v>45017</v>
      </c>
      <c r="B341" s="36">
        <v>87.782528952238195</v>
      </c>
      <c r="C341" s="36">
        <f>[5]monthly!$D440</f>
        <v>3.6383571428571426</v>
      </c>
      <c r="D341" s="37">
        <f>[6]monthly!$BJ440</f>
        <v>201895.4179</v>
      </c>
    </row>
    <row r="342" spans="1:4" ht="15.75" x14ac:dyDescent="0.25">
      <c r="A342" s="27">
        <v>45047</v>
      </c>
      <c r="B342" s="36">
        <v>87.888012322645196</v>
      </c>
      <c r="C342" s="36">
        <f>[5]monthly!$D441</f>
        <v>3.6600952380952387</v>
      </c>
      <c r="D342" s="37">
        <f>[6]monthly!$BJ441</f>
        <v>199621.09239999999</v>
      </c>
    </row>
    <row r="343" spans="1:4" ht="15.75" x14ac:dyDescent="0.25">
      <c r="A343" s="27">
        <v>45078</v>
      </c>
      <c r="B343" s="36">
        <v>86.611622394348302</v>
      </c>
      <c r="C343" s="36">
        <f>[5]monthly!$D442</f>
        <v>3.6446363636363639</v>
      </c>
      <c r="D343" s="37">
        <f>[6]monthly!$BJ442</f>
        <v>201875.75039999999</v>
      </c>
    </row>
    <row r="344" spans="1:4" ht="15.75" x14ac:dyDescent="0.25">
      <c r="A344" s="27">
        <v>45108</v>
      </c>
      <c r="B344" s="36">
        <v>87.459262047999701</v>
      </c>
      <c r="C344" s="36">
        <f>[5]monthly!$D443</f>
        <v>3.66225925925926</v>
      </c>
      <c r="D344" s="37">
        <f>[6]monthly!$BJ443</f>
        <v>204664.85639999999</v>
      </c>
    </row>
    <row r="345" spans="1:4" ht="15.75" x14ac:dyDescent="0.25">
      <c r="A345" s="27">
        <v>45139</v>
      </c>
      <c r="B345" s="36">
        <v>88.672882474431105</v>
      </c>
      <c r="C345" s="36">
        <f>[5]monthly!$D444</f>
        <v>3.7457586206896547</v>
      </c>
      <c r="D345" s="37">
        <f>[6]monthly!$BJ444</f>
        <v>202856.43239999999</v>
      </c>
    </row>
    <row r="346" spans="1:4" ht="15.75" x14ac:dyDescent="0.25">
      <c r="A346" s="27">
        <v>45170</v>
      </c>
      <c r="B346" s="36">
        <v>89.9885240714422</v>
      </c>
      <c r="C346" s="36">
        <f>[5]monthly!$D445</f>
        <v>3.8201578947368429</v>
      </c>
      <c r="D346" s="37">
        <f>[6]monthly!$BJ445</f>
        <v>198552.50219999999</v>
      </c>
    </row>
    <row r="347" spans="1:4" ht="15.75" x14ac:dyDescent="0.25">
      <c r="A347" s="27">
        <v>45200</v>
      </c>
      <c r="B347" s="36">
        <v>92.814111151118198</v>
      </c>
      <c r="C347" s="36">
        <f>[5]monthly!$D446</f>
        <v>3.978272727272727</v>
      </c>
      <c r="D347" s="37">
        <f>[6]monthly!$BJ446</f>
        <v>191235.3732</v>
      </c>
    </row>
    <row r="348" spans="1:4" ht="15.75" x14ac:dyDescent="0.25">
      <c r="A348" s="27">
        <v>45231</v>
      </c>
      <c r="B348" s="36">
        <v>89.959030950047506</v>
      </c>
      <c r="C348" s="36">
        <f>[5]monthly!$D447</f>
        <v>3.8057727272727275</v>
      </c>
      <c r="D348" s="37">
        <f>[6]monthly!$BJ447</f>
        <v>198169.02470000001</v>
      </c>
    </row>
    <row r="349" spans="1:4" ht="15.75" x14ac:dyDescent="0.25">
      <c r="A349" s="27">
        <v>45261</v>
      </c>
      <c r="B349" s="36">
        <v>87.667658772844504</v>
      </c>
      <c r="C349" s="36">
        <f>[5]monthly!$D448</f>
        <v>3.6710000000000003</v>
      </c>
      <c r="D349" s="37">
        <f>[6]monthly!$BJ448</f>
        <v>204693.95259999999</v>
      </c>
    </row>
    <row r="350" spans="1:4" ht="15.75" x14ac:dyDescent="0.25">
      <c r="A350" s="27">
        <v>45292</v>
      </c>
      <c r="B350" s="36">
        <v>88.862074531244701</v>
      </c>
      <c r="C350" s="36">
        <f>[5]monthly!$D449</f>
        <v>3.7133181818181811</v>
      </c>
      <c r="D350" s="37">
        <f>[6]monthly!$BJ449</f>
        <v>206125.26439999999</v>
      </c>
    </row>
    <row r="351" spans="1:4" ht="15.75" x14ac:dyDescent="0.25">
      <c r="A351" s="27">
        <v>45323</v>
      </c>
      <c r="B351" s="36">
        <v>87.034408778300701</v>
      </c>
      <c r="C351" s="36">
        <f>[5]monthly!$D450</f>
        <v>3.6458500000000007</v>
      </c>
      <c r="D351" s="37">
        <f>[6]monthly!$BJ450</f>
        <v>206820.8395</v>
      </c>
    </row>
    <row r="352" spans="1:4" ht="15.75" x14ac:dyDescent="0.25">
      <c r="A352" s="27">
        <v>45352</v>
      </c>
      <c r="B352" s="36">
        <v>86.462764247407804</v>
      </c>
      <c r="C352" s="36">
        <f>[5]monthly!$D451</f>
        <v>3.627842105263158</v>
      </c>
      <c r="D352" s="37">
        <f>[6]monthly!$BJ451</f>
        <v>213741.005</v>
      </c>
    </row>
    <row r="353" spans="1:4" ht="15.75" x14ac:dyDescent="0.25">
      <c r="A353" s="27">
        <v>45383</v>
      </c>
      <c r="B353" s="36">
        <v>88.144732692458803</v>
      </c>
      <c r="C353" s="36">
        <f>[5]monthly!$D452</f>
        <v>3.7433157894736846</v>
      </c>
      <c r="D353" s="37">
        <f>[6]monthly!$BJ452</f>
        <v>208108.74849999999</v>
      </c>
    </row>
    <row r="354" spans="1:4" ht="15.75" x14ac:dyDescent="0.25">
      <c r="A354" s="27">
        <v>45413</v>
      </c>
      <c r="B354" s="36">
        <v>87.619927725319101</v>
      </c>
      <c r="C354" s="36">
        <f>[5]monthly!$D453</f>
        <v>3.6600952380952387</v>
      </c>
      <c r="D354" s="37">
        <f>[6]monthly!$BJ453</f>
        <v>210509.91190000001</v>
      </c>
    </row>
    <row r="355" spans="1:4" ht="15.75" x14ac:dyDescent="0.25">
      <c r="A355" s="27">
        <v>45444</v>
      </c>
      <c r="B355" s="36">
        <v>87.864145121269701</v>
      </c>
      <c r="C355" s="36">
        <f>[5]monthly!$D454</f>
        <v>3.7247368421052629</v>
      </c>
      <c r="D355" s="37">
        <f>[6]monthly!$BJ454</f>
        <v>210280.50700000001</v>
      </c>
    </row>
    <row r="356" spans="1:4" ht="15.75" x14ac:dyDescent="0.25">
      <c r="A356" s="27">
        <v>45474</v>
      </c>
      <c r="B356" s="36">
        <v>86.846016031349095</v>
      </c>
      <c r="C356" s="36">
        <f>[5]monthly!$D455</f>
        <v>3.6814347826086968</v>
      </c>
      <c r="D356" s="37">
        <f>[6]monthly!$BJ455</f>
        <v>213634.36799999999</v>
      </c>
    </row>
    <row r="357" spans="1:4" ht="15.75" x14ac:dyDescent="0.25">
      <c r="A357" s="27">
        <v>45505</v>
      </c>
      <c r="B357" s="36">
        <v>88.204327336276293</v>
      </c>
      <c r="C357" s="36">
        <f>[5]monthly!$D456</f>
        <v>3.7317619047619055</v>
      </c>
      <c r="D357" s="37">
        <f>[6]monthly!$BJ456</f>
        <v>217384.54</v>
      </c>
    </row>
    <row r="358" spans="1:4" ht="15.75" x14ac:dyDescent="0.25">
      <c r="A358" s="27">
        <v>45536</v>
      </c>
      <c r="B358" s="36">
        <v>89.052218430493397</v>
      </c>
      <c r="C358" s="36">
        <f>[5]monthly!$D457</f>
        <v>3.7328095238095238</v>
      </c>
      <c r="D358" s="37">
        <f>[6]monthly!$BJ457</f>
        <v>220377.37890000001</v>
      </c>
    </row>
    <row r="359" spans="1:4" ht="15.75" x14ac:dyDescent="0.25">
      <c r="A359" s="27">
        <v>45566</v>
      </c>
      <c r="B359" s="36">
        <v>88.417911667592705</v>
      </c>
      <c r="C359" s="36">
        <f>[5]monthly!$D458</f>
        <v>3.7515882352941183</v>
      </c>
      <c r="D359" s="37">
        <f>[6]monthly!$BJ458</f>
        <v>216074.2286</v>
      </c>
    </row>
    <row r="360" spans="1:4" ht="15.75" x14ac:dyDescent="0.25">
      <c r="A360" s="27">
        <v>45597</v>
      </c>
      <c r="B360" s="36">
        <v>86.647887079674206</v>
      </c>
      <c r="C360" s="36">
        <f>[5]monthly!$D459</f>
        <v>3.7188095238095231</v>
      </c>
      <c r="D360" s="37">
        <f>[6]monthly!$BJ459</f>
        <v>217100.46189999999</v>
      </c>
    </row>
    <row r="361" spans="1:4" ht="15.75" x14ac:dyDescent="0.25">
      <c r="A361" s="27">
        <v>45627</v>
      </c>
      <c r="B361" s="36">
        <v>83.888404415595005</v>
      </c>
      <c r="C361" s="36">
        <f>[5]monthly!$D460</f>
        <v>3.6176666666666661</v>
      </c>
      <c r="D361" s="37">
        <f>[6]monthly!$BJ460</f>
        <v>214570.02410000001</v>
      </c>
    </row>
    <row r="362" spans="1:4" ht="15.75" x14ac:dyDescent="0.25">
      <c r="A362" s="27">
        <v>45658</v>
      </c>
      <c r="B362" s="2">
        <v>83.182626355048001</v>
      </c>
      <c r="C362" s="36">
        <f>[5]monthly!$D461</f>
        <v>3.6152727272727265</v>
      </c>
      <c r="D362" s="37">
        <f>[6]monthly!$BJ461</f>
        <v>216068.40040000001</v>
      </c>
    </row>
    <row r="363" spans="1:4" ht="15.75" x14ac:dyDescent="0.25">
      <c r="A363" s="27">
        <v>45689</v>
      </c>
      <c r="B363" s="2">
        <v>83.0240915417304</v>
      </c>
      <c r="C363" s="36">
        <f>[5]monthly!$D462</f>
        <v>3.5678000000000005</v>
      </c>
      <c r="D363" s="37">
        <f>[6]monthly!$BJ462</f>
        <v>220254.30069999999</v>
      </c>
    </row>
    <row r="364" spans="1:4" ht="15.75" x14ac:dyDescent="0.25">
      <c r="A364" s="27">
        <v>45717</v>
      </c>
      <c r="B364" s="2">
        <v>86.017251279605404</v>
      </c>
      <c r="C364" s="36">
        <f>[5]monthly!$D463</f>
        <v>3.6551</v>
      </c>
      <c r="D364" s="37">
        <f>[6]monthly!$BJ463</f>
        <v>218810.52309217001</v>
      </c>
    </row>
    <row r="365" spans="1:4" ht="15.75" x14ac:dyDescent="0.25">
      <c r="A365" s="27">
        <v>45748</v>
      </c>
      <c r="B365" s="2">
        <v>87.529542277260902</v>
      </c>
      <c r="C365" s="36">
        <f>[5]monthly!$D464</f>
        <v>3.687789473684211</v>
      </c>
      <c r="D365" s="37">
        <f>[6]monthly!$BJ464</f>
        <v>217489</v>
      </c>
    </row>
    <row r="366" spans="1:4" ht="15.75" x14ac:dyDescent="0.25">
      <c r="A366" s="27">
        <v>45778</v>
      </c>
      <c r="B366" s="2">
        <v>85.318435387886396</v>
      </c>
      <c r="C366" s="36">
        <f>[5]monthly!$D465</f>
        <v>3.5626999999999995</v>
      </c>
      <c r="D366" s="37">
        <f>[6]monthly!$BJ465</f>
        <v>219086</v>
      </c>
    </row>
    <row r="367" spans="1:4" ht="15.75" x14ac:dyDescent="0.25">
      <c r="A367" s="27">
        <v>45809</v>
      </c>
      <c r="B367" s="2">
        <v>84.098446042831199</v>
      </c>
      <c r="C367" s="36">
        <f>[5]monthly!$D466</f>
        <v>3.4826000000000001</v>
      </c>
      <c r="D367" s="37">
        <f>[6]monthly!$BJ466</f>
        <v>223651</v>
      </c>
    </row>
    <row r="368" spans="1:4" ht="15.75" x14ac:dyDescent="0.25">
      <c r="A368" s="27">
        <v>45839</v>
      </c>
      <c r="B368" s="2">
        <v>81.108964122651798</v>
      </c>
      <c r="C368" s="36">
        <f>[5]monthly!$D467</f>
        <v>3.3521739130434782</v>
      </c>
      <c r="D368" s="37">
        <f>[6]monthly!$BJ467</f>
        <v>222157</v>
      </c>
    </row>
    <row r="369" spans="1:4" ht="15.75" x14ac:dyDescent="0.25">
      <c r="A369" s="27">
        <v>45870</v>
      </c>
      <c r="B369" s="2">
        <v>81.499665151067504</v>
      </c>
      <c r="C369" s="36">
        <f>[5]monthly!$D468</f>
        <v>3.3957619047619043</v>
      </c>
      <c r="D369" s="37">
        <f>[6]monthly!$BJ468</f>
        <v>225694</v>
      </c>
    </row>
    <row r="370" spans="1:4" ht="15.75" x14ac:dyDescent="0.25">
      <c r="A370" s="27">
        <v>45901</v>
      </c>
      <c r="B370" s="2">
        <v>81.140396663257505</v>
      </c>
      <c r="C370" s="36">
        <f>[5]monthly!$D469</f>
        <v>3.3432105263157896</v>
      </c>
      <c r="D370" s="37">
        <f>[6]monthly!$BJ469</f>
        <v>227246</v>
      </c>
    </row>
    <row r="371" spans="1:4" ht="15.75" x14ac:dyDescent="0.25">
      <c r="A371" s="27">
        <v>45931</v>
      </c>
      <c r="B371" s="2">
        <v>79.506312781492198</v>
      </c>
      <c r="C371" s="36">
        <f>[5]monthly!$D470</f>
        <v>3.2805789473684213</v>
      </c>
      <c r="D371" s="37">
        <f>[6]monthly!$BJ470</f>
        <v>227295</v>
      </c>
    </row>
    <row r="372" spans="1:4" ht="15.75" x14ac:dyDescent="0.25">
      <c r="A372" s="27">
        <v>45962</v>
      </c>
      <c r="B372" s="2">
        <v>79.021531939411901</v>
      </c>
      <c r="C372" s="36">
        <f>[5]monthly!$D471</f>
        <v>3.2548000000000004</v>
      </c>
      <c r="D372" s="37">
        <f>[6]monthly!$BJ471</f>
        <v>226794</v>
      </c>
    </row>
    <row r="373" spans="1:4" ht="15.75" x14ac:dyDescent="0.25">
      <c r="A373" s="27">
        <v>45992</v>
      </c>
      <c r="B373" s="2">
        <v>78.616930750635404</v>
      </c>
      <c r="C373" s="36">
        <f>[5]monthly!$D472</f>
        <v>3.2151428571428573</v>
      </c>
      <c r="D373" s="37">
        <f>[6]monthly!$BJ472</f>
        <v>224834</v>
      </c>
    </row>
    <row r="374" spans="1:4" ht="15.75" x14ac:dyDescent="0.25">
      <c r="A374" s="27">
        <v>46023</v>
      </c>
      <c r="B374" s="2">
        <v>77.587773445531894</v>
      </c>
      <c r="C374" s="36">
        <f>[5]monthly!$D473</f>
        <v>3.145571428571428</v>
      </c>
      <c r="D374" s="37">
        <f>[6]monthly!$BJ473</f>
        <v>228360</v>
      </c>
    </row>
    <row r="375" spans="1:4" ht="15.75" x14ac:dyDescent="0.25">
      <c r="A375" s="27">
        <v>46054</v>
      </c>
      <c r="B375" s="2">
        <v>77.283552256009997</v>
      </c>
      <c r="C375" s="36">
        <f>[5]monthly!$D474</f>
        <v>3.1026499999999997</v>
      </c>
      <c r="D375" s="37">
        <f>[6]monthly!$BJ474</f>
        <v>229909</v>
      </c>
    </row>
    <row r="376" spans="1:4" ht="15.75" x14ac:dyDescent="0.25">
      <c r="A376" s="27">
        <v>46082</v>
      </c>
      <c r="B376" s="2">
        <v>76.985034455313894</v>
      </c>
      <c r="C376" s="36">
        <f>[5]monthly!$D475</f>
        <v>3.1155999999999997</v>
      </c>
      <c r="D376" s="37">
        <f>[6]monthly!$BJ475</f>
        <v>224845</v>
      </c>
    </row>
    <row r="377" spans="1:4" ht="15.75" x14ac:dyDescent="0.25">
      <c r="A377" s="27">
        <v>46113</v>
      </c>
      <c r="C377" s="36">
        <f>[5]monthly!$D476</f>
        <v>3.01525</v>
      </c>
      <c r="D377" s="37">
        <f>[6]monthly!$BJ476</f>
        <v>231130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DB3D-61E1-49C0-978B-81B18D243653}">
  <dimension ref="A1:B126"/>
  <sheetViews>
    <sheetView workbookViewId="0">
      <pane ySplit="1" topLeftCell="A104" activePane="bottomLeft" state="frozen"/>
      <selection pane="bottomLeft" activeCell="D120" sqref="D120"/>
    </sheetView>
  </sheetViews>
  <sheetFormatPr defaultRowHeight="14.25" x14ac:dyDescent="0.2"/>
  <cols>
    <col min="1" max="1" width="10.5" style="26" bestFit="1" customWidth="1"/>
    <col min="3" max="3" width="10.5" bestFit="1" customWidth="1"/>
  </cols>
  <sheetData>
    <row r="1" spans="1:2" x14ac:dyDescent="0.2">
      <c r="A1" s="25" t="s">
        <v>42</v>
      </c>
      <c r="B1" s="9" t="s">
        <v>52</v>
      </c>
    </row>
    <row r="2" spans="1:2" x14ac:dyDescent="0.2">
      <c r="A2" s="26">
        <f>[7]quarterly!$B37</f>
        <v>34759</v>
      </c>
      <c r="B2" s="23">
        <f>[7]quarterly!$X37</f>
        <v>142787.6</v>
      </c>
    </row>
    <row r="3" spans="1:2" x14ac:dyDescent="0.2">
      <c r="A3" s="26">
        <f>[7]quarterly!$B38</f>
        <v>34851</v>
      </c>
      <c r="B3" s="23">
        <f>[7]quarterly!$X38</f>
        <v>145755.5</v>
      </c>
    </row>
    <row r="4" spans="1:2" x14ac:dyDescent="0.2">
      <c r="A4" s="26">
        <f>[7]quarterly!$B39</f>
        <v>34943</v>
      </c>
      <c r="B4" s="23">
        <f>[7]quarterly!$X39</f>
        <v>147479.1</v>
      </c>
    </row>
    <row r="5" spans="1:2" x14ac:dyDescent="0.2">
      <c r="A5" s="26">
        <f>[7]quarterly!$B40</f>
        <v>35034</v>
      </c>
      <c r="B5" s="23">
        <f>[7]quarterly!$X40</f>
        <v>148423.6</v>
      </c>
    </row>
    <row r="6" spans="1:2" x14ac:dyDescent="0.2">
      <c r="A6" s="26">
        <f>[7]quarterly!$B41</f>
        <v>35125</v>
      </c>
      <c r="B6" s="23">
        <f>[7]quarterly!$X41</f>
        <v>150162.20000000001</v>
      </c>
    </row>
    <row r="7" spans="1:2" x14ac:dyDescent="0.2">
      <c r="A7" s="26">
        <f>[7]quarterly!$B42</f>
        <v>35217</v>
      </c>
      <c r="B7" s="23">
        <f>[7]quarterly!$X42</f>
        <v>152955.20000000001</v>
      </c>
    </row>
    <row r="8" spans="1:2" x14ac:dyDescent="0.2">
      <c r="A8" s="26">
        <f>[7]quarterly!$B43</f>
        <v>35309</v>
      </c>
      <c r="B8" s="23">
        <f>[7]quarterly!$X43</f>
        <v>155037.9</v>
      </c>
    </row>
    <row r="9" spans="1:2" x14ac:dyDescent="0.2">
      <c r="A9" s="26">
        <f>[7]quarterly!$B44</f>
        <v>35400</v>
      </c>
      <c r="B9" s="23">
        <f>[7]quarterly!$X44</f>
        <v>157475.1</v>
      </c>
    </row>
    <row r="10" spans="1:2" x14ac:dyDescent="0.2">
      <c r="A10" s="26">
        <f>[7]quarterly!$B45</f>
        <v>35490</v>
      </c>
      <c r="B10" s="23">
        <f>[7]quarterly!$X45</f>
        <v>159323</v>
      </c>
    </row>
    <row r="11" spans="1:2" x14ac:dyDescent="0.2">
      <c r="A11" s="26">
        <f>[7]quarterly!$B46</f>
        <v>35582</v>
      </c>
      <c r="B11" s="23">
        <f>[7]quarterly!$X46</f>
        <v>159397.20000000001</v>
      </c>
    </row>
    <row r="12" spans="1:2" x14ac:dyDescent="0.2">
      <c r="A12" s="26">
        <f>[7]quarterly!$B47</f>
        <v>35674</v>
      </c>
      <c r="B12" s="23">
        <f>[7]quarterly!$X47</f>
        <v>159549.4</v>
      </c>
    </row>
    <row r="13" spans="1:2" x14ac:dyDescent="0.2">
      <c r="A13" s="26">
        <f>[7]quarterly!$B48</f>
        <v>35765</v>
      </c>
      <c r="B13" s="23">
        <f>[7]quarterly!$X48</f>
        <v>162430.39999999999</v>
      </c>
    </row>
    <row r="14" spans="1:2" x14ac:dyDescent="0.2">
      <c r="A14" s="26">
        <f>[7]quarterly!$B49</f>
        <v>35855</v>
      </c>
      <c r="B14" s="23">
        <f>[7]quarterly!$X49</f>
        <v>165599.1</v>
      </c>
    </row>
    <row r="15" spans="1:2" x14ac:dyDescent="0.2">
      <c r="A15" s="26">
        <f>[7]quarterly!$B50</f>
        <v>35947</v>
      </c>
      <c r="B15" s="23">
        <f>[7]quarterly!$X50</f>
        <v>164808.1</v>
      </c>
    </row>
    <row r="16" spans="1:2" x14ac:dyDescent="0.2">
      <c r="A16" s="26">
        <f>[7]quarterly!$B51</f>
        <v>36039</v>
      </c>
      <c r="B16" s="23">
        <f>[7]quarterly!$X51</f>
        <v>166364.5</v>
      </c>
    </row>
    <row r="17" spans="1:2" x14ac:dyDescent="0.2">
      <c r="A17" s="26">
        <f>[7]quarterly!$B52</f>
        <v>36130</v>
      </c>
      <c r="B17" s="23">
        <f>[7]quarterly!$X52</f>
        <v>167063.1</v>
      </c>
    </row>
    <row r="18" spans="1:2" x14ac:dyDescent="0.2">
      <c r="A18" s="26">
        <f>[7]quarterly!$B53</f>
        <v>36220</v>
      </c>
      <c r="B18" s="23">
        <f>[7]quarterly!$X53</f>
        <v>167281.70000000001</v>
      </c>
    </row>
    <row r="19" spans="1:2" x14ac:dyDescent="0.2">
      <c r="A19" s="26">
        <f>[7]quarterly!$B54</f>
        <v>36312</v>
      </c>
      <c r="B19" s="23">
        <f>[7]quarterly!$X54</f>
        <v>172720.3</v>
      </c>
    </row>
    <row r="20" spans="1:2" x14ac:dyDescent="0.2">
      <c r="A20" s="26">
        <f>[7]quarterly!$B55</f>
        <v>36404</v>
      </c>
      <c r="B20" s="23">
        <f>[7]quarterly!$X55</f>
        <v>173268.6</v>
      </c>
    </row>
    <row r="21" spans="1:2" x14ac:dyDescent="0.2">
      <c r="A21" s="26">
        <f>[7]quarterly!$B56</f>
        <v>36495</v>
      </c>
      <c r="B21" s="23">
        <f>[7]quarterly!$X56</f>
        <v>176743.4</v>
      </c>
    </row>
    <row r="22" spans="1:2" x14ac:dyDescent="0.2">
      <c r="A22" s="26">
        <f>[7]quarterly!$B57</f>
        <v>36586</v>
      </c>
      <c r="B22" s="23">
        <f>[7]quarterly!$X57</f>
        <v>178878.6</v>
      </c>
    </row>
    <row r="23" spans="1:2" x14ac:dyDescent="0.2">
      <c r="A23" s="26">
        <f>[7]quarterly!$B58</f>
        <v>36678</v>
      </c>
      <c r="B23" s="23">
        <f>[7]quarterly!$X58</f>
        <v>185421.3</v>
      </c>
    </row>
    <row r="24" spans="1:2" x14ac:dyDescent="0.2">
      <c r="A24" s="26">
        <f>[7]quarterly!$B59</f>
        <v>36770</v>
      </c>
      <c r="B24" s="23">
        <f>[7]quarterly!$X59</f>
        <v>191287.6</v>
      </c>
    </row>
    <row r="25" spans="1:2" x14ac:dyDescent="0.2">
      <c r="A25" s="26">
        <f>[7]quarterly!$B60</f>
        <v>36861</v>
      </c>
      <c r="B25" s="23">
        <f>[7]quarterly!$X60</f>
        <v>191748.4</v>
      </c>
    </row>
    <row r="26" spans="1:2" x14ac:dyDescent="0.2">
      <c r="A26" s="26">
        <f>[7]quarterly!$B61</f>
        <v>36951</v>
      </c>
      <c r="B26" s="23">
        <f>[7]quarterly!$X61</f>
        <v>189891.6</v>
      </c>
    </row>
    <row r="27" spans="1:2" x14ac:dyDescent="0.2">
      <c r="A27" s="26">
        <f>[7]quarterly!$B62</f>
        <v>37043</v>
      </c>
      <c r="B27" s="23">
        <f>[7]quarterly!$X62</f>
        <v>188305.2</v>
      </c>
    </row>
    <row r="28" spans="1:2" x14ac:dyDescent="0.2">
      <c r="A28" s="26">
        <f>[7]quarterly!$B63</f>
        <v>37135</v>
      </c>
      <c r="B28" s="23">
        <f>[7]quarterly!$X63</f>
        <v>186271.3</v>
      </c>
    </row>
    <row r="29" spans="1:2" x14ac:dyDescent="0.2">
      <c r="A29" s="26">
        <f>[7]quarterly!$B64</f>
        <v>37226</v>
      </c>
      <c r="B29" s="23">
        <f>[7]quarterly!$X64</f>
        <v>185477.6</v>
      </c>
    </row>
    <row r="30" spans="1:2" x14ac:dyDescent="0.2">
      <c r="A30" s="26">
        <f>[7]quarterly!$B65</f>
        <v>37316</v>
      </c>
      <c r="B30" s="23">
        <f>[7]quarterly!$X65</f>
        <v>187004.5</v>
      </c>
    </row>
    <row r="31" spans="1:2" x14ac:dyDescent="0.2">
      <c r="A31" s="26">
        <f>[7]quarterly!$B66</f>
        <v>37408</v>
      </c>
      <c r="B31" s="23">
        <f>[7]quarterly!$X66</f>
        <v>187072.9</v>
      </c>
    </row>
    <row r="32" spans="1:2" x14ac:dyDescent="0.2">
      <c r="A32" s="26">
        <f>[7]quarterly!$B67</f>
        <v>37500</v>
      </c>
      <c r="B32" s="23">
        <f>[7]quarterly!$X67</f>
        <v>187189.4</v>
      </c>
    </row>
    <row r="33" spans="1:2" x14ac:dyDescent="0.2">
      <c r="A33" s="26">
        <f>[7]quarterly!$B68</f>
        <v>37591</v>
      </c>
      <c r="B33" s="23">
        <f>[7]quarterly!$X68</f>
        <v>187100</v>
      </c>
    </row>
    <row r="34" spans="1:2" x14ac:dyDescent="0.2">
      <c r="A34" s="26">
        <f>[7]quarterly!$B69</f>
        <v>37681</v>
      </c>
      <c r="B34" s="23">
        <f>[7]quarterly!$X69</f>
        <v>189712</v>
      </c>
    </row>
    <row r="35" spans="1:2" x14ac:dyDescent="0.2">
      <c r="A35" s="26">
        <f>[7]quarterly!$B70</f>
        <v>37773</v>
      </c>
      <c r="B35" s="23">
        <f>[7]quarterly!$X70</f>
        <v>188718.4</v>
      </c>
    </row>
    <row r="36" spans="1:2" x14ac:dyDescent="0.2">
      <c r="A36" s="26">
        <f>[7]quarterly!$B71</f>
        <v>37865</v>
      </c>
      <c r="B36" s="23">
        <f>[7]quarterly!$X71</f>
        <v>190061.2</v>
      </c>
    </row>
    <row r="37" spans="1:2" x14ac:dyDescent="0.2">
      <c r="A37" s="26">
        <f>[7]quarterly!$B72</f>
        <v>37956</v>
      </c>
      <c r="B37" s="23">
        <f>[7]quarterly!$X72</f>
        <v>191333.6</v>
      </c>
    </row>
    <row r="38" spans="1:2" x14ac:dyDescent="0.2">
      <c r="A38" s="26">
        <f>[7]quarterly!$B73</f>
        <v>38047</v>
      </c>
      <c r="B38" s="23">
        <f>[7]quarterly!$X73</f>
        <v>194134.2</v>
      </c>
    </row>
    <row r="39" spans="1:2" x14ac:dyDescent="0.2">
      <c r="A39" s="26">
        <f>[7]quarterly!$B74</f>
        <v>38139</v>
      </c>
      <c r="B39" s="23">
        <f>[7]quarterly!$X74</f>
        <v>196595.6</v>
      </c>
    </row>
    <row r="40" spans="1:2" x14ac:dyDescent="0.2">
      <c r="A40" s="26">
        <f>[7]quarterly!$B75</f>
        <v>38231</v>
      </c>
      <c r="B40" s="23">
        <f>[7]quarterly!$X75</f>
        <v>199383.5</v>
      </c>
    </row>
    <row r="41" spans="1:2" x14ac:dyDescent="0.2">
      <c r="A41" s="26">
        <f>[7]quarterly!$B76</f>
        <v>38322</v>
      </c>
      <c r="B41" s="23">
        <f>[7]quarterly!$X76</f>
        <v>201754.8</v>
      </c>
    </row>
    <row r="42" spans="1:2" x14ac:dyDescent="0.2">
      <c r="A42" s="26">
        <f>[7]quarterly!$B77</f>
        <v>38412</v>
      </c>
      <c r="B42" s="23">
        <f>[7]quarterly!$X77</f>
        <v>204164.1</v>
      </c>
    </row>
    <row r="43" spans="1:2" x14ac:dyDescent="0.2">
      <c r="A43" s="26">
        <f>[7]quarterly!$B78</f>
        <v>38504</v>
      </c>
      <c r="B43" s="23">
        <f>[7]quarterly!$X78</f>
        <v>206189</v>
      </c>
    </row>
    <row r="44" spans="1:2" x14ac:dyDescent="0.2">
      <c r="A44" s="26">
        <f>[7]quarterly!$B79</f>
        <v>38596</v>
      </c>
      <c r="B44" s="23">
        <f>[7]quarterly!$X79</f>
        <v>208651.8</v>
      </c>
    </row>
    <row r="45" spans="1:2" x14ac:dyDescent="0.2">
      <c r="A45" s="26">
        <f>[7]quarterly!$B80</f>
        <v>38687</v>
      </c>
      <c r="B45" s="23">
        <f>[7]quarterly!$X80</f>
        <v>212557.8</v>
      </c>
    </row>
    <row r="46" spans="1:2" x14ac:dyDescent="0.2">
      <c r="A46" s="26">
        <f>[7]quarterly!$B81</f>
        <v>38777</v>
      </c>
      <c r="B46" s="23">
        <f>[7]quarterly!$X81</f>
        <v>215617.1</v>
      </c>
    </row>
    <row r="47" spans="1:2" x14ac:dyDescent="0.2">
      <c r="A47" s="26">
        <f>[7]quarterly!$B82</f>
        <v>38869</v>
      </c>
      <c r="B47" s="23">
        <f>[7]quarterly!$X82</f>
        <v>219673.5</v>
      </c>
    </row>
    <row r="48" spans="1:2" x14ac:dyDescent="0.2">
      <c r="A48" s="26">
        <f>[7]quarterly!$B83</f>
        <v>38961</v>
      </c>
      <c r="B48" s="23">
        <f>[7]quarterly!$X83</f>
        <v>218356.5</v>
      </c>
    </row>
    <row r="49" spans="1:2" x14ac:dyDescent="0.2">
      <c r="A49" s="26">
        <f>[7]quarterly!$B84</f>
        <v>39052</v>
      </c>
      <c r="B49" s="23">
        <f>[7]quarterly!$X84</f>
        <v>222230.39999999999</v>
      </c>
    </row>
    <row r="50" spans="1:2" x14ac:dyDescent="0.2">
      <c r="A50" s="26">
        <f>[7]quarterly!$B85</f>
        <v>39142</v>
      </c>
      <c r="B50" s="23">
        <f>[7]quarterly!$X85</f>
        <v>226793.4</v>
      </c>
    </row>
    <row r="51" spans="1:2" x14ac:dyDescent="0.2">
      <c r="A51" s="26">
        <f>[7]quarterly!$B86</f>
        <v>39234</v>
      </c>
      <c r="B51" s="23">
        <f>[7]quarterly!$X86</f>
        <v>230047.9</v>
      </c>
    </row>
    <row r="52" spans="1:2" x14ac:dyDescent="0.2">
      <c r="A52" s="26">
        <f>[7]quarterly!$B87</f>
        <v>39326</v>
      </c>
      <c r="B52" s="23">
        <f>[7]quarterly!$X87</f>
        <v>234808.4</v>
      </c>
    </row>
    <row r="53" spans="1:2" x14ac:dyDescent="0.2">
      <c r="A53" s="26">
        <f>[7]quarterly!$B88</f>
        <v>39417</v>
      </c>
      <c r="B53" s="23">
        <f>[7]quarterly!$X88</f>
        <v>238708.2</v>
      </c>
    </row>
    <row r="54" spans="1:2" x14ac:dyDescent="0.2">
      <c r="A54" s="26">
        <f>[7]quarterly!$B89</f>
        <v>39508</v>
      </c>
      <c r="B54" s="23">
        <f>[7]quarterly!$X89</f>
        <v>239398.5</v>
      </c>
    </row>
    <row r="55" spans="1:2" x14ac:dyDescent="0.2">
      <c r="A55" s="26">
        <f>[7]quarterly!$B90</f>
        <v>39600</v>
      </c>
      <c r="B55" s="23">
        <f>[7]quarterly!$X90</f>
        <v>240004</v>
      </c>
    </row>
    <row r="56" spans="1:2" x14ac:dyDescent="0.2">
      <c r="A56" s="26">
        <f>[7]quarterly!$B91</f>
        <v>39692</v>
      </c>
      <c r="B56" s="23">
        <f>[7]quarterly!$X91</f>
        <v>240536.6</v>
      </c>
    </row>
    <row r="57" spans="1:2" x14ac:dyDescent="0.2">
      <c r="A57" s="26">
        <f>[7]quarterly!$B92</f>
        <v>39783</v>
      </c>
      <c r="B57" s="23">
        <f>[7]quarterly!$X92</f>
        <v>239108.6</v>
      </c>
    </row>
    <row r="58" spans="1:2" x14ac:dyDescent="0.2">
      <c r="A58" s="26">
        <f>[7]quarterly!$B93</f>
        <v>39873</v>
      </c>
      <c r="B58" s="23">
        <f>[7]quarterly!$X93</f>
        <v>240023.2</v>
      </c>
    </row>
    <row r="59" spans="1:2" x14ac:dyDescent="0.2">
      <c r="A59" s="26">
        <f>[7]quarterly!$B94</f>
        <v>39965</v>
      </c>
      <c r="B59" s="23">
        <f>[7]quarterly!$X94</f>
        <v>242148.6</v>
      </c>
    </row>
    <row r="60" spans="1:2" x14ac:dyDescent="0.2">
      <c r="A60" s="26">
        <f>[7]quarterly!$B95</f>
        <v>40057</v>
      </c>
      <c r="B60" s="23">
        <f>[7]quarterly!$X95</f>
        <v>243963.5</v>
      </c>
    </row>
    <row r="61" spans="1:2" x14ac:dyDescent="0.2">
      <c r="A61" s="26">
        <f>[7]quarterly!$B96</f>
        <v>40148</v>
      </c>
      <c r="B61" s="23">
        <f>[7]quarterly!$X96</f>
        <v>246707.5</v>
      </c>
    </row>
    <row r="62" spans="1:2" x14ac:dyDescent="0.2">
      <c r="A62" s="26">
        <f>[7]quarterly!$B97</f>
        <v>40238</v>
      </c>
      <c r="B62" s="23">
        <f>[7]quarterly!$X97</f>
        <v>250720.4</v>
      </c>
    </row>
    <row r="63" spans="1:2" x14ac:dyDescent="0.2">
      <c r="A63" s="26">
        <f>[7]quarterly!$B98</f>
        <v>40330</v>
      </c>
      <c r="B63" s="23">
        <f>[7]quarterly!$X98</f>
        <v>254803.20000000001</v>
      </c>
    </row>
    <row r="64" spans="1:2" x14ac:dyDescent="0.2">
      <c r="A64" s="26">
        <f>[7]quarterly!$B99</f>
        <v>40422</v>
      </c>
      <c r="B64" s="23">
        <f>[7]quarterly!$X99</f>
        <v>257523.5</v>
      </c>
    </row>
    <row r="65" spans="1:2" x14ac:dyDescent="0.2">
      <c r="A65" s="26">
        <f>[7]quarterly!$B100</f>
        <v>40513</v>
      </c>
      <c r="B65" s="23">
        <f>[7]quarterly!$X100</f>
        <v>261622.39999999999</v>
      </c>
    </row>
    <row r="66" spans="1:2" x14ac:dyDescent="0.2">
      <c r="A66" s="26">
        <f>[7]quarterly!$B101</f>
        <v>40603</v>
      </c>
      <c r="B66" s="23">
        <f>[7]quarterly!$X101</f>
        <v>266189</v>
      </c>
    </row>
    <row r="67" spans="1:2" x14ac:dyDescent="0.2">
      <c r="A67" s="26">
        <f>[7]quarterly!$B102</f>
        <v>40695</v>
      </c>
      <c r="B67" s="23">
        <f>[7]quarterly!$X102</f>
        <v>268522.7</v>
      </c>
    </row>
    <row r="68" spans="1:2" x14ac:dyDescent="0.2">
      <c r="A68" s="26">
        <f>[7]quarterly!$B103</f>
        <v>40787</v>
      </c>
      <c r="B68" s="23">
        <f>[7]quarterly!$X103</f>
        <v>273889</v>
      </c>
    </row>
    <row r="69" spans="1:2" x14ac:dyDescent="0.2">
      <c r="A69" s="26">
        <f>[7]quarterly!$B104</f>
        <v>40878</v>
      </c>
      <c r="B69" s="23">
        <f>[7]quarterly!$X104</f>
        <v>275585.7</v>
      </c>
    </row>
    <row r="70" spans="1:2" x14ac:dyDescent="0.2">
      <c r="A70" s="26">
        <f>[7]quarterly!$B105</f>
        <v>40969</v>
      </c>
      <c r="B70" s="23">
        <f>[7]quarterly!$X105</f>
        <v>273515.2</v>
      </c>
    </row>
    <row r="71" spans="1:2" x14ac:dyDescent="0.2">
      <c r="A71" s="26">
        <f>[7]quarterly!$B106</f>
        <v>41061</v>
      </c>
      <c r="B71" s="23">
        <f>[7]quarterly!$X106</f>
        <v>275876.59999999998</v>
      </c>
    </row>
    <row r="72" spans="1:2" x14ac:dyDescent="0.2">
      <c r="A72" s="26">
        <f>[7]quarterly!$B107</f>
        <v>41153</v>
      </c>
      <c r="B72" s="23">
        <f>[7]quarterly!$X107</f>
        <v>279124.2</v>
      </c>
    </row>
    <row r="73" spans="1:2" x14ac:dyDescent="0.2">
      <c r="A73" s="26">
        <f>[7]quarterly!$B108</f>
        <v>41244</v>
      </c>
      <c r="B73" s="23">
        <f>[7]quarterly!$X108</f>
        <v>279278.40000000002</v>
      </c>
    </row>
    <row r="74" spans="1:2" x14ac:dyDescent="0.2">
      <c r="A74" s="26">
        <f>[7]quarterly!$B109</f>
        <v>41334</v>
      </c>
      <c r="B74" s="23">
        <f>[7]quarterly!$X109</f>
        <v>283269.7</v>
      </c>
    </row>
    <row r="75" spans="1:2" x14ac:dyDescent="0.2">
      <c r="A75" s="26">
        <f>[7]quarterly!$B110</f>
        <v>41426</v>
      </c>
      <c r="B75" s="23">
        <f>[7]quarterly!$X110</f>
        <v>287905.59999999998</v>
      </c>
    </row>
    <row r="76" spans="1:2" x14ac:dyDescent="0.2">
      <c r="A76" s="26">
        <f>[7]quarterly!$B111</f>
        <v>41518</v>
      </c>
      <c r="B76" s="23">
        <f>[7]quarterly!$X111</f>
        <v>290479.8</v>
      </c>
    </row>
    <row r="77" spans="1:2" x14ac:dyDescent="0.2">
      <c r="A77" s="26">
        <f>[7]quarterly!$B112</f>
        <v>41609</v>
      </c>
      <c r="B77" s="23">
        <f>[7]quarterly!$X112</f>
        <v>293244.40000000002</v>
      </c>
    </row>
    <row r="78" spans="1:2" x14ac:dyDescent="0.2">
      <c r="A78" s="26">
        <f>[7]quarterly!$B113</f>
        <v>41699</v>
      </c>
      <c r="B78" s="23">
        <f>[7]quarterly!$X113</f>
        <v>297315.3</v>
      </c>
    </row>
    <row r="79" spans="1:2" x14ac:dyDescent="0.2">
      <c r="A79" s="26">
        <f>[7]quarterly!$B114</f>
        <v>41791</v>
      </c>
      <c r="B79" s="23">
        <f>[7]quarterly!$X114</f>
        <v>298786.8</v>
      </c>
    </row>
    <row r="80" spans="1:2" x14ac:dyDescent="0.2">
      <c r="A80" s="26">
        <f>[7]quarterly!$B115</f>
        <v>41883</v>
      </c>
      <c r="B80" s="23">
        <f>[7]quarterly!$X115</f>
        <v>300857.7</v>
      </c>
    </row>
    <row r="81" spans="1:2" x14ac:dyDescent="0.2">
      <c r="A81" s="26">
        <f>[7]quarterly!$B116</f>
        <v>41974</v>
      </c>
      <c r="B81" s="23">
        <f>[7]quarterly!$X116</f>
        <v>305196.40000000002</v>
      </c>
    </row>
    <row r="82" spans="1:2" x14ac:dyDescent="0.2">
      <c r="A82" s="26">
        <f>[7]quarterly!$B117</f>
        <v>42064</v>
      </c>
      <c r="B82" s="23">
        <f>[7]quarterly!$X117</f>
        <v>304962.3</v>
      </c>
    </row>
    <row r="83" spans="1:2" x14ac:dyDescent="0.2">
      <c r="A83" s="26">
        <f>[7]quarterly!$B118</f>
        <v>42156</v>
      </c>
      <c r="B83" s="23">
        <f>[7]quarterly!$X118</f>
        <v>306187.59999999998</v>
      </c>
    </row>
    <row r="84" spans="1:2" x14ac:dyDescent="0.2">
      <c r="A84" s="26">
        <f>[7]quarterly!$B119</f>
        <v>42248</v>
      </c>
      <c r="B84" s="23">
        <f>[7]quarterly!$X119</f>
        <v>306536.5</v>
      </c>
    </row>
    <row r="85" spans="1:2" x14ac:dyDescent="0.2">
      <c r="A85" s="26">
        <f>[7]quarterly!$B120</f>
        <v>42339</v>
      </c>
      <c r="B85" s="23">
        <f>[7]quarterly!$X120</f>
        <v>308543.8</v>
      </c>
    </row>
    <row r="86" spans="1:2" x14ac:dyDescent="0.2">
      <c r="A86" s="26">
        <f>[7]quarterly!$B121</f>
        <v>42430</v>
      </c>
      <c r="B86" s="23">
        <f>[7]quarterly!$X121</f>
        <v>309006.59999999998</v>
      </c>
    </row>
    <row r="87" spans="1:2" x14ac:dyDescent="0.2">
      <c r="A87" s="26">
        <f>[7]quarterly!$B122</f>
        <v>42522</v>
      </c>
      <c r="B87" s="23">
        <f>[7]quarterly!$X122</f>
        <v>318356.2</v>
      </c>
    </row>
    <row r="88" spans="1:2" x14ac:dyDescent="0.2">
      <c r="A88" s="26">
        <f>[7]quarterly!$B123</f>
        <v>42614</v>
      </c>
      <c r="B88" s="23">
        <f>[7]quarterly!$X123</f>
        <v>321250.59999999998</v>
      </c>
    </row>
    <row r="89" spans="1:2" x14ac:dyDescent="0.2">
      <c r="A89" s="26">
        <f>[7]quarterly!$B124</f>
        <v>42705</v>
      </c>
      <c r="B89" s="23">
        <f>[7]quarterly!$X124</f>
        <v>325667.8</v>
      </c>
    </row>
    <row r="90" spans="1:2" x14ac:dyDescent="0.2">
      <c r="A90" s="26">
        <f>[7]quarterly!$B125</f>
        <v>42795</v>
      </c>
      <c r="B90" s="23">
        <f>[7]quarterly!$X125</f>
        <v>326864.40000000002</v>
      </c>
    </row>
    <row r="91" spans="1:2" x14ac:dyDescent="0.2">
      <c r="A91" s="26">
        <f>[7]quarterly!$B126</f>
        <v>42887</v>
      </c>
      <c r="B91" s="23">
        <f>[7]quarterly!$X126</f>
        <v>330368.09999999998</v>
      </c>
    </row>
    <row r="92" spans="1:2" x14ac:dyDescent="0.2">
      <c r="A92" s="26">
        <f>[7]quarterly!$B127</f>
        <v>42979</v>
      </c>
      <c r="B92" s="23">
        <f>[7]quarterly!$X127</f>
        <v>335895.2</v>
      </c>
    </row>
    <row r="93" spans="1:2" x14ac:dyDescent="0.2">
      <c r="A93" s="26">
        <f>[7]quarterly!$B128</f>
        <v>43070</v>
      </c>
      <c r="B93" s="23">
        <f>[7]quarterly!$X128</f>
        <v>340362.3</v>
      </c>
    </row>
    <row r="94" spans="1:2" x14ac:dyDescent="0.2">
      <c r="A94" s="26">
        <f>[7]quarterly!$B129</f>
        <v>43160</v>
      </c>
      <c r="B94" s="23">
        <f>[7]quarterly!$X129</f>
        <v>343925.2</v>
      </c>
    </row>
    <row r="95" spans="1:2" x14ac:dyDescent="0.2">
      <c r="A95" s="26">
        <f>[7]quarterly!$B130</f>
        <v>43252</v>
      </c>
      <c r="B95" s="23">
        <f>[7]quarterly!$X130</f>
        <v>345948.1</v>
      </c>
    </row>
    <row r="96" spans="1:2" x14ac:dyDescent="0.2">
      <c r="A96" s="26">
        <f>[7]quarterly!$B131</f>
        <v>43344</v>
      </c>
      <c r="B96" s="23">
        <f>[7]quarterly!$X131</f>
        <v>348494</v>
      </c>
    </row>
    <row r="97" spans="1:2" x14ac:dyDescent="0.2">
      <c r="A97" s="26">
        <f>[7]quarterly!$B132</f>
        <v>43435</v>
      </c>
      <c r="B97" s="23">
        <f>[7]quarterly!$X132</f>
        <v>351989.5</v>
      </c>
    </row>
    <row r="98" spans="1:2" x14ac:dyDescent="0.2">
      <c r="A98" s="26">
        <f>[7]quarterly!$B133</f>
        <v>43525</v>
      </c>
      <c r="B98" s="23">
        <f>[7]quarterly!$X133</f>
        <v>358270.3</v>
      </c>
    </row>
    <row r="99" spans="1:2" x14ac:dyDescent="0.2">
      <c r="A99" s="26">
        <f>[7]quarterly!$B134</f>
        <v>43617</v>
      </c>
      <c r="B99" s="23">
        <f>[7]quarterly!$X134</f>
        <v>356928</v>
      </c>
    </row>
    <row r="100" spans="1:2" x14ac:dyDescent="0.2">
      <c r="A100" s="26">
        <f>[7]quarterly!$B135</f>
        <v>43709</v>
      </c>
      <c r="B100" s="23">
        <f>[7]quarterly!$X135</f>
        <v>360568.5</v>
      </c>
    </row>
    <row r="101" spans="1:2" x14ac:dyDescent="0.2">
      <c r="A101" s="26">
        <f>[7]quarterly!$B136</f>
        <v>43800</v>
      </c>
      <c r="B101" s="23">
        <f>[7]quarterly!$X136</f>
        <v>363304.4</v>
      </c>
    </row>
    <row r="102" spans="1:2" x14ac:dyDescent="0.2">
      <c r="A102" s="26">
        <f>[7]quarterly!$B137</f>
        <v>43891</v>
      </c>
      <c r="B102" s="23">
        <f>[7]quarterly!$X137</f>
        <v>356683.3</v>
      </c>
    </row>
    <row r="103" spans="1:2" x14ac:dyDescent="0.2">
      <c r="A103" s="26">
        <f>[7]quarterly!$B138</f>
        <v>43983</v>
      </c>
      <c r="B103" s="23">
        <f>[7]quarterly!$X138</f>
        <v>328486.40000000002</v>
      </c>
    </row>
    <row r="104" spans="1:2" x14ac:dyDescent="0.2">
      <c r="A104" s="26">
        <f>[7]quarterly!$B139</f>
        <v>44075</v>
      </c>
      <c r="B104" s="23">
        <f>[7]quarterly!$X139</f>
        <v>357100</v>
      </c>
    </row>
    <row r="105" spans="1:2" x14ac:dyDescent="0.2">
      <c r="A105" s="26">
        <f>[7]quarterly!$B140</f>
        <v>44166</v>
      </c>
      <c r="B105" s="23">
        <f>[7]quarterly!$X140</f>
        <v>366951.1</v>
      </c>
    </row>
    <row r="106" spans="1:2" x14ac:dyDescent="0.2">
      <c r="A106" s="26">
        <f>[7]quarterly!$B141</f>
        <v>44256</v>
      </c>
      <c r="B106" s="23">
        <f>[7]quarterly!$X141</f>
        <v>368974.4</v>
      </c>
    </row>
    <row r="107" spans="1:2" x14ac:dyDescent="0.2">
      <c r="A107" s="26">
        <f>[7]quarterly!$B142</f>
        <v>44348</v>
      </c>
      <c r="B107" s="23">
        <f>[7]quarterly!$X142</f>
        <v>381799.6</v>
      </c>
    </row>
    <row r="108" spans="1:2" x14ac:dyDescent="0.2">
      <c r="A108" s="26">
        <f>[7]quarterly!$B143</f>
        <v>44440</v>
      </c>
      <c r="B108" s="23">
        <f>[7]quarterly!$X143</f>
        <v>388514.4</v>
      </c>
    </row>
    <row r="109" spans="1:2" x14ac:dyDescent="0.2">
      <c r="A109" s="26">
        <f>[7]quarterly!$B144</f>
        <v>44531</v>
      </c>
      <c r="B109" s="23">
        <f>[7]quarterly!$X144</f>
        <v>406405.9</v>
      </c>
    </row>
    <row r="110" spans="1:2" x14ac:dyDescent="0.2">
      <c r="A110" s="26">
        <f>[7]quarterly!$B145</f>
        <v>44621</v>
      </c>
      <c r="B110" s="23">
        <f>[7]quarterly!$X145</f>
        <v>404183.8</v>
      </c>
    </row>
    <row r="111" spans="1:2" x14ac:dyDescent="0.2">
      <c r="A111" s="26">
        <f>[7]quarterly!$B146</f>
        <v>44713</v>
      </c>
      <c r="B111" s="23">
        <f>[7]quarterly!$X146</f>
        <v>411226.9</v>
      </c>
    </row>
    <row r="112" spans="1:2" x14ac:dyDescent="0.2">
      <c r="A112" s="26">
        <f>[7]quarterly!$B147</f>
        <v>44805</v>
      </c>
      <c r="B112" s="23">
        <f>[7]quarterly!$X147</f>
        <v>410324.2</v>
      </c>
    </row>
    <row r="113" spans="1:2" x14ac:dyDescent="0.2">
      <c r="A113" s="26">
        <f>[7]quarterly!$B148</f>
        <v>44896</v>
      </c>
      <c r="B113" s="23">
        <f>[7]quarterly!$X148</f>
        <v>418014.5</v>
      </c>
    </row>
    <row r="114" spans="1:2" x14ac:dyDescent="0.2">
      <c r="A114" s="26">
        <f>[7]quarterly!$B149</f>
        <v>44986</v>
      </c>
      <c r="B114" s="23">
        <f>[7]quarterly!$X149</f>
        <v>423030.4</v>
      </c>
    </row>
    <row r="115" spans="1:2" x14ac:dyDescent="0.2">
      <c r="A115" s="26">
        <f>[7]quarterly!$B150</f>
        <v>45078</v>
      </c>
      <c r="B115" s="23">
        <f>[7]quarterly!$X150</f>
        <v>425960.8</v>
      </c>
    </row>
    <row r="116" spans="1:2" x14ac:dyDescent="0.2">
      <c r="A116" s="26">
        <f>[7]quarterly!$B151</f>
        <v>45170</v>
      </c>
      <c r="B116" s="23">
        <f>[7]quarterly!$X151</f>
        <v>425433.5</v>
      </c>
    </row>
    <row r="117" spans="1:2" x14ac:dyDescent="0.2">
      <c r="A117" s="26">
        <f>[7]quarterly!$B152</f>
        <v>45261</v>
      </c>
      <c r="B117" s="23">
        <f>[7]quarterly!$X152</f>
        <v>401479.1</v>
      </c>
    </row>
    <row r="118" spans="1:2" x14ac:dyDescent="0.2">
      <c r="A118" s="26">
        <f>[7]quarterly!$B153</f>
        <v>45352</v>
      </c>
      <c r="B118" s="23">
        <f>[7]quarterly!$X153</f>
        <v>416186.9</v>
      </c>
    </row>
    <row r="119" spans="1:2" x14ac:dyDescent="0.2">
      <c r="A119" s="26">
        <f>[7]quarterly!$B154</f>
        <v>45444</v>
      </c>
      <c r="B119" s="23">
        <f>[7]quarterly!$X154</f>
        <v>418085.4</v>
      </c>
    </row>
    <row r="120" spans="1:2" x14ac:dyDescent="0.2">
      <c r="A120" s="26">
        <f>[7]quarterly!$B155</f>
        <v>45536</v>
      </c>
      <c r="B120" s="23">
        <f>[7]quarterly!$X155</f>
        <v>422669.5</v>
      </c>
    </row>
    <row r="121" spans="1:2" x14ac:dyDescent="0.2">
      <c r="A121" s="26">
        <f>[7]quarterly!$B156</f>
        <v>45627</v>
      </c>
      <c r="B121" s="23">
        <f>[7]quarterly!$X156</f>
        <v>423875.1</v>
      </c>
    </row>
    <row r="122" spans="1:2" x14ac:dyDescent="0.2">
      <c r="A122" s="26">
        <f>[7]quarterly!$B157</f>
        <v>45717</v>
      </c>
      <c r="B122" s="23">
        <f>[7]quarterly!$X157</f>
        <v>430071.9</v>
      </c>
    </row>
    <row r="123" spans="1:2" x14ac:dyDescent="0.2">
      <c r="A123" s="26">
        <f>[7]quarterly!$B158</f>
        <v>45809</v>
      </c>
      <c r="B123" s="23">
        <f>[7]quarterly!$X158</f>
        <v>425099.8</v>
      </c>
    </row>
    <row r="124" spans="1:2" x14ac:dyDescent="0.2">
      <c r="A124" s="26">
        <f>[7]quarterly!$B159</f>
        <v>45901</v>
      </c>
      <c r="B124" s="23">
        <f>[7]quarterly!$X159</f>
        <v>437582.6</v>
      </c>
    </row>
    <row r="125" spans="1:2" x14ac:dyDescent="0.2">
      <c r="A125" s="26">
        <f>[7]quarterly!$B160</f>
        <v>45992</v>
      </c>
      <c r="B125" s="23">
        <f>[7]quarterly!$X160</f>
        <v>441135.9</v>
      </c>
    </row>
    <row r="126" spans="1:2" x14ac:dyDescent="0.2">
      <c r="B126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77A8-5696-4176-9F0B-64641C2AD44D}">
  <dimension ref="A1:C377"/>
  <sheetViews>
    <sheetView topLeftCell="A64" workbookViewId="0">
      <selection activeCell="I85" sqref="I85"/>
    </sheetView>
  </sheetViews>
  <sheetFormatPr defaultRowHeight="14.25" x14ac:dyDescent="0.2"/>
  <cols>
    <col min="1" max="1" width="10.375" style="26" bestFit="1" customWidth="1"/>
    <col min="2" max="2" width="7" bestFit="1" customWidth="1"/>
    <col min="3" max="3" width="7.5" bestFit="1" customWidth="1"/>
  </cols>
  <sheetData>
    <row r="1" spans="1:3" ht="28.5" x14ac:dyDescent="0.2">
      <c r="A1" s="24" t="s">
        <v>42</v>
      </c>
      <c r="B1" s="10" t="s">
        <v>49</v>
      </c>
      <c r="C1" s="9" t="s">
        <v>34</v>
      </c>
    </row>
    <row r="2" spans="1:3" ht="15.75" x14ac:dyDescent="0.25">
      <c r="A2" s="27">
        <v>34700</v>
      </c>
      <c r="B2" s="15">
        <v>0.17</v>
      </c>
      <c r="C2" s="13">
        <f>[2]monthly!$G101</f>
        <v>47.154617635400001</v>
      </c>
    </row>
    <row r="3" spans="1:3" ht="15.75" x14ac:dyDescent="0.25">
      <c r="A3" s="27">
        <v>34731</v>
      </c>
      <c r="B3" s="16">
        <v>0.17</v>
      </c>
      <c r="C3" s="13">
        <f>[2]monthly!$G102</f>
        <v>47.233274211900003</v>
      </c>
    </row>
    <row r="4" spans="1:3" ht="15.75" x14ac:dyDescent="0.25">
      <c r="A4" s="27">
        <v>34759</v>
      </c>
      <c r="B4" s="16">
        <v>0.17</v>
      </c>
      <c r="C4" s="13">
        <f>[2]monthly!$G103</f>
        <v>47.193945923699999</v>
      </c>
    </row>
    <row r="5" spans="1:3" ht="15.75" x14ac:dyDescent="0.25">
      <c r="A5" s="27">
        <v>34790</v>
      </c>
      <c r="B5" s="16">
        <v>0.17</v>
      </c>
      <c r="C5" s="13">
        <f>[2]monthly!$G104</f>
        <v>47.626557094600003</v>
      </c>
    </row>
    <row r="6" spans="1:3" ht="15.75" x14ac:dyDescent="0.25">
      <c r="A6" s="27">
        <v>34820</v>
      </c>
      <c r="B6" s="16">
        <v>0.17</v>
      </c>
      <c r="C6" s="13">
        <f>[2]monthly!$G105</f>
        <v>48.098496553899999</v>
      </c>
    </row>
    <row r="7" spans="1:3" ht="15.75" x14ac:dyDescent="0.25">
      <c r="A7" s="27">
        <v>34851</v>
      </c>
      <c r="B7" s="16">
        <v>0.17</v>
      </c>
      <c r="C7" s="13">
        <f>[2]monthly!$G106</f>
        <v>48.255809706900003</v>
      </c>
    </row>
    <row r="8" spans="1:3" ht="15.75" x14ac:dyDescent="0.25">
      <c r="A8" s="27">
        <v>34881</v>
      </c>
      <c r="B8" s="16">
        <v>0.17</v>
      </c>
      <c r="C8" s="13">
        <f>[2]monthly!$G107</f>
        <v>48.373794571799998</v>
      </c>
    </row>
    <row r="9" spans="1:3" ht="15.75" x14ac:dyDescent="0.25">
      <c r="A9" s="27">
        <v>34912</v>
      </c>
      <c r="B9" s="16">
        <v>0.17</v>
      </c>
      <c r="C9" s="13">
        <f>[2]monthly!$G108</f>
        <v>48.9637188958</v>
      </c>
    </row>
    <row r="10" spans="1:3" ht="15.75" x14ac:dyDescent="0.25">
      <c r="A10" s="27">
        <v>34943</v>
      </c>
      <c r="B10" s="16">
        <v>0.17</v>
      </c>
      <c r="C10" s="13">
        <f>[2]monthly!$G109</f>
        <v>49.435658355000001</v>
      </c>
    </row>
    <row r="11" spans="1:3" ht="15.75" x14ac:dyDescent="0.25">
      <c r="A11" s="27">
        <v>34973</v>
      </c>
      <c r="B11" s="16">
        <v>0.17</v>
      </c>
      <c r="C11" s="13">
        <f>[2]monthly!$G110</f>
        <v>49.946926102500001</v>
      </c>
    </row>
    <row r="12" spans="1:3" ht="15.75" x14ac:dyDescent="0.25">
      <c r="A12" s="27">
        <v>35004</v>
      </c>
      <c r="B12" s="16">
        <v>0.17</v>
      </c>
      <c r="C12" s="13">
        <f>[2]monthly!$G111</f>
        <v>50.300880696999997</v>
      </c>
    </row>
    <row r="13" spans="1:3" ht="15.75" x14ac:dyDescent="0.25">
      <c r="A13" s="27">
        <v>35034</v>
      </c>
      <c r="B13" s="16">
        <v>0.17</v>
      </c>
      <c r="C13" s="13">
        <f>[2]monthly!$G112</f>
        <v>50.890805020999998</v>
      </c>
    </row>
    <row r="14" spans="1:3" ht="15.75" x14ac:dyDescent="0.25">
      <c r="A14" s="27">
        <v>35065</v>
      </c>
      <c r="B14" s="16">
        <v>0.17</v>
      </c>
      <c r="C14" s="13">
        <f>[2]monthly!$G113</f>
        <v>51.323416192000003</v>
      </c>
    </row>
    <row r="15" spans="1:3" ht="15.75" x14ac:dyDescent="0.25">
      <c r="A15" s="27">
        <v>35096</v>
      </c>
      <c r="B15" s="16">
        <v>0.17</v>
      </c>
      <c r="C15" s="13">
        <f>[2]monthly!$G114</f>
        <v>51.795355651199998</v>
      </c>
    </row>
    <row r="16" spans="1:3" ht="15.75" x14ac:dyDescent="0.25">
      <c r="A16" s="27">
        <v>35125</v>
      </c>
      <c r="B16" s="16">
        <v>0.17</v>
      </c>
      <c r="C16" s="13">
        <f>[2]monthly!$G115</f>
        <v>52.306623398699998</v>
      </c>
    </row>
    <row r="17" spans="1:3" ht="15.75" x14ac:dyDescent="0.25">
      <c r="A17" s="27">
        <v>35156</v>
      </c>
      <c r="B17" s="16">
        <v>0.17</v>
      </c>
      <c r="C17" s="13">
        <f>[2]monthly!$G116</f>
        <v>53.1718457407</v>
      </c>
    </row>
    <row r="18" spans="1:3" ht="15.75" x14ac:dyDescent="0.25">
      <c r="A18" s="27">
        <v>35186</v>
      </c>
      <c r="B18" s="16">
        <v>0.17</v>
      </c>
      <c r="C18" s="13">
        <f>[2]monthly!$G117</f>
        <v>54.0763963709</v>
      </c>
    </row>
    <row r="19" spans="1:3" ht="15.75" x14ac:dyDescent="0.25">
      <c r="A19" s="27">
        <v>35217</v>
      </c>
      <c r="B19" s="16">
        <v>0.17</v>
      </c>
      <c r="C19" s="13">
        <f>[2]monthly!$G118</f>
        <v>54.469679253599999</v>
      </c>
    </row>
    <row r="20" spans="1:3" ht="15.75" x14ac:dyDescent="0.25">
      <c r="A20" s="27">
        <v>35247</v>
      </c>
      <c r="B20" s="16">
        <v>0.17</v>
      </c>
      <c r="C20" s="13">
        <f>[2]monthly!$G119</f>
        <v>54.626992406600003</v>
      </c>
    </row>
    <row r="21" spans="1:3" ht="15.75" x14ac:dyDescent="0.25">
      <c r="A21" s="27">
        <v>35278</v>
      </c>
      <c r="B21" s="16">
        <v>0.17</v>
      </c>
      <c r="C21" s="13">
        <f>[2]monthly!$G120</f>
        <v>54.823633848</v>
      </c>
    </row>
    <row r="22" spans="1:3" ht="15.75" x14ac:dyDescent="0.25">
      <c r="A22" s="27">
        <v>35309</v>
      </c>
      <c r="B22" s="16">
        <v>0.17</v>
      </c>
      <c r="C22" s="13">
        <f>[2]monthly!$G121</f>
        <v>55.059603577600001</v>
      </c>
    </row>
    <row r="23" spans="1:3" ht="15.75" x14ac:dyDescent="0.25">
      <c r="A23" s="27">
        <v>35339</v>
      </c>
      <c r="B23" s="16">
        <v>0.17</v>
      </c>
      <c r="C23" s="13">
        <f>[2]monthly!$G122</f>
        <v>55.492214748599999</v>
      </c>
    </row>
    <row r="24" spans="1:3" ht="15.75" x14ac:dyDescent="0.25">
      <c r="A24" s="27">
        <v>35370</v>
      </c>
      <c r="B24" s="16">
        <v>0.17</v>
      </c>
      <c r="C24" s="13">
        <f>[2]monthly!$G123</f>
        <v>55.846169343</v>
      </c>
    </row>
    <row r="25" spans="1:3" ht="15.75" x14ac:dyDescent="0.25">
      <c r="A25" s="27">
        <v>35400</v>
      </c>
      <c r="B25" s="16">
        <v>0.17</v>
      </c>
      <c r="C25" s="13">
        <f>[2]monthly!$G124</f>
        <v>56.278780513999997</v>
      </c>
    </row>
    <row r="26" spans="1:3" ht="15.75" x14ac:dyDescent="0.25">
      <c r="A26" s="27">
        <v>35431</v>
      </c>
      <c r="B26" s="16">
        <v>0.17</v>
      </c>
      <c r="C26" s="13">
        <f>[2]monthly!$G125</f>
        <v>56.514750243599998</v>
      </c>
    </row>
    <row r="27" spans="1:3" ht="15.75" x14ac:dyDescent="0.25">
      <c r="A27" s="27">
        <v>35462</v>
      </c>
      <c r="B27" s="16">
        <v>0.17</v>
      </c>
      <c r="C27" s="13">
        <f>[2]monthly!$G126</f>
        <v>57.183331144199997</v>
      </c>
    </row>
    <row r="28" spans="1:3" ht="15.75" x14ac:dyDescent="0.25">
      <c r="A28" s="27">
        <v>35490</v>
      </c>
      <c r="B28" s="16">
        <v>0.17</v>
      </c>
      <c r="C28" s="13">
        <f>[2]monthly!$G127</f>
        <v>57.7339271799</v>
      </c>
    </row>
    <row r="29" spans="1:3" ht="15.75" x14ac:dyDescent="0.25">
      <c r="A29" s="27">
        <v>35521</v>
      </c>
      <c r="B29" s="16">
        <v>0.17</v>
      </c>
      <c r="C29" s="13">
        <f>[2]monthly!$G128</f>
        <v>58.166538350899998</v>
      </c>
    </row>
    <row r="30" spans="1:3" ht="15.75" x14ac:dyDescent="0.25">
      <c r="A30" s="27">
        <v>35551</v>
      </c>
      <c r="B30" s="16">
        <v>0.17</v>
      </c>
      <c r="C30" s="13">
        <f>[2]monthly!$G129</f>
        <v>58.441836368799997</v>
      </c>
    </row>
    <row r="31" spans="1:3" ht="15.75" x14ac:dyDescent="0.25">
      <c r="A31" s="27">
        <v>35582</v>
      </c>
      <c r="B31" s="16">
        <v>0.17</v>
      </c>
      <c r="C31" s="13">
        <f>[2]monthly!$G130</f>
        <v>59.071088981099997</v>
      </c>
    </row>
    <row r="32" spans="1:3" ht="15.75" x14ac:dyDescent="0.25">
      <c r="A32" s="27">
        <v>35612</v>
      </c>
      <c r="B32" s="16">
        <v>0.17</v>
      </c>
      <c r="C32" s="13">
        <f>[2]monthly!$G131</f>
        <v>59.661013305200001</v>
      </c>
    </row>
    <row r="33" spans="1:3" ht="15.75" x14ac:dyDescent="0.25">
      <c r="A33" s="27">
        <v>35643</v>
      </c>
      <c r="B33" s="16">
        <v>0.17</v>
      </c>
      <c r="C33" s="13">
        <f>[2]monthly!$G132</f>
        <v>59.896983034800002</v>
      </c>
    </row>
    <row r="34" spans="1:3" ht="15.75" x14ac:dyDescent="0.25">
      <c r="A34" s="27">
        <v>35674</v>
      </c>
      <c r="B34" s="16">
        <v>0.17</v>
      </c>
      <c r="C34" s="13">
        <f>[2]monthly!$G133</f>
        <v>59.857654746500003</v>
      </c>
    </row>
    <row r="35" spans="1:3" ht="15.75" x14ac:dyDescent="0.25">
      <c r="A35" s="27">
        <v>35704</v>
      </c>
      <c r="B35" s="16">
        <v>0.17</v>
      </c>
      <c r="C35" s="13">
        <f>[2]monthly!$G134</f>
        <v>60.5655639354</v>
      </c>
    </row>
    <row r="36" spans="1:3" ht="15.75" x14ac:dyDescent="0.25">
      <c r="A36" s="27">
        <v>35735</v>
      </c>
      <c r="B36" s="16">
        <v>0.17</v>
      </c>
      <c r="C36" s="13">
        <f>[2]monthly!$G135</f>
        <v>60.408250782300001</v>
      </c>
    </row>
    <row r="37" spans="1:3" ht="15.75" x14ac:dyDescent="0.25">
      <c r="A37" s="27">
        <v>35765</v>
      </c>
      <c r="B37" s="16">
        <v>0.17</v>
      </c>
      <c r="C37" s="13">
        <f>[2]monthly!$G136</f>
        <v>60.211609340899997</v>
      </c>
    </row>
    <row r="38" spans="1:3" ht="15.75" x14ac:dyDescent="0.25">
      <c r="A38" s="27">
        <v>35796</v>
      </c>
      <c r="B38" s="16">
        <v>0.17</v>
      </c>
      <c r="C38" s="13">
        <f>[2]monthly!$G137</f>
        <v>60.408250782300001</v>
      </c>
    </row>
    <row r="39" spans="1:3" ht="15.75" x14ac:dyDescent="0.25">
      <c r="A39" s="27">
        <v>35827</v>
      </c>
      <c r="B39" s="16">
        <v>0.17</v>
      </c>
      <c r="C39" s="13">
        <f>[2]monthly!$G138</f>
        <v>60.368922494000003</v>
      </c>
    </row>
    <row r="40" spans="1:3" ht="15.75" x14ac:dyDescent="0.25">
      <c r="A40" s="27">
        <v>35855</v>
      </c>
      <c r="B40" s="16">
        <v>0.17</v>
      </c>
      <c r="C40" s="13">
        <f>[2]monthly!$G139</f>
        <v>60.250937629200003</v>
      </c>
    </row>
    <row r="41" spans="1:3" ht="15.75" x14ac:dyDescent="0.25">
      <c r="A41" s="27">
        <v>35886</v>
      </c>
      <c r="B41" s="16">
        <v>0.17</v>
      </c>
      <c r="C41" s="13">
        <f>[2]monthly!$G140</f>
        <v>61.0768316829</v>
      </c>
    </row>
    <row r="42" spans="1:3" ht="15.75" x14ac:dyDescent="0.25">
      <c r="A42" s="27">
        <v>35916</v>
      </c>
      <c r="B42" s="16">
        <v>0.17</v>
      </c>
      <c r="C42" s="13">
        <f>[2]monthly!$G141</f>
        <v>61.312801412500001</v>
      </c>
    </row>
    <row r="43" spans="1:3" ht="15.75" x14ac:dyDescent="0.25">
      <c r="A43" s="27">
        <v>35947</v>
      </c>
      <c r="B43" s="16">
        <v>0.17</v>
      </c>
      <c r="C43" s="13">
        <f>[2]monthly!$G142</f>
        <v>61.548771142100001</v>
      </c>
    </row>
    <row r="44" spans="1:3" ht="15.75" x14ac:dyDescent="0.25">
      <c r="A44" s="27">
        <v>35977</v>
      </c>
      <c r="B44" s="16">
        <v>0.17</v>
      </c>
      <c r="C44" s="13">
        <f>[2]monthly!$G143</f>
        <v>61.470114565599999</v>
      </c>
    </row>
    <row r="45" spans="1:3" ht="15.75" x14ac:dyDescent="0.25">
      <c r="A45" s="27">
        <v>36008</v>
      </c>
      <c r="B45" s="16">
        <v>0.17</v>
      </c>
      <c r="C45" s="13">
        <f>[2]monthly!$G144</f>
        <v>61.784740871700002</v>
      </c>
    </row>
    <row r="46" spans="1:3" ht="15.75" x14ac:dyDescent="0.25">
      <c r="A46" s="27">
        <v>36039</v>
      </c>
      <c r="B46" s="16">
        <v>0.17</v>
      </c>
      <c r="C46" s="13">
        <f>[2]monthly!$G145</f>
        <v>62.649963213699998</v>
      </c>
    </row>
    <row r="47" spans="1:3" ht="15.75" x14ac:dyDescent="0.25">
      <c r="A47" s="27">
        <v>36069</v>
      </c>
      <c r="B47" s="16">
        <v>0.17</v>
      </c>
      <c r="C47" s="13">
        <f>[2]monthly!$G146</f>
        <v>64.537721050599998</v>
      </c>
    </row>
    <row r="48" spans="1:3" ht="15.75" x14ac:dyDescent="0.25">
      <c r="A48" s="27">
        <v>36100</v>
      </c>
      <c r="B48" s="16">
        <v>0.17</v>
      </c>
      <c r="C48" s="13">
        <f>[2]monthly!$G147</f>
        <v>65.363615104299996</v>
      </c>
    </row>
    <row r="49" spans="1:3" ht="15.75" x14ac:dyDescent="0.25">
      <c r="A49" s="27">
        <v>36130</v>
      </c>
      <c r="B49" s="16">
        <v>0.17</v>
      </c>
      <c r="C49" s="13">
        <f>[2]monthly!$G148</f>
        <v>65.402943392500006</v>
      </c>
    </row>
    <row r="50" spans="1:3" ht="15.75" x14ac:dyDescent="0.25">
      <c r="A50" s="27">
        <v>36161</v>
      </c>
      <c r="B50" s="16">
        <v>0.17</v>
      </c>
      <c r="C50" s="13">
        <f>[2]monthly!$G149</f>
        <v>65.1003908709</v>
      </c>
    </row>
    <row r="51" spans="1:3" ht="15.75" x14ac:dyDescent="0.25">
      <c r="A51" s="27">
        <v>36192</v>
      </c>
      <c r="B51" s="16">
        <v>0.17</v>
      </c>
      <c r="C51" s="13">
        <f>[2]monthly!$G150</f>
        <v>64.602966680799994</v>
      </c>
    </row>
    <row r="52" spans="1:3" ht="15.75" x14ac:dyDescent="0.25">
      <c r="A52" s="27">
        <v>36220</v>
      </c>
      <c r="B52" s="16">
        <v>0.17</v>
      </c>
      <c r="C52" s="13">
        <f>[2]monthly!$G151</f>
        <v>64.478610633299994</v>
      </c>
    </row>
    <row r="53" spans="1:3" ht="15.75" x14ac:dyDescent="0.25">
      <c r="A53" s="27">
        <v>36251</v>
      </c>
      <c r="B53" s="16">
        <v>0.17</v>
      </c>
      <c r="C53" s="13">
        <f>[2]monthly!$G152</f>
        <v>64.665144704599996</v>
      </c>
    </row>
    <row r="54" spans="1:3" ht="15.75" x14ac:dyDescent="0.25">
      <c r="A54" s="27">
        <v>36281</v>
      </c>
      <c r="B54" s="16">
        <v>0.17</v>
      </c>
      <c r="C54" s="13">
        <f>[2]monthly!$G153</f>
        <v>64.976034823399999</v>
      </c>
    </row>
    <row r="55" spans="1:3" ht="15.75" x14ac:dyDescent="0.25">
      <c r="A55" s="27">
        <v>36312</v>
      </c>
      <c r="B55" s="16">
        <v>0.17</v>
      </c>
      <c r="C55" s="13">
        <f>[2]monthly!$G154</f>
        <v>65.1625688946</v>
      </c>
    </row>
    <row r="56" spans="1:3" ht="15.75" x14ac:dyDescent="0.25">
      <c r="A56" s="27">
        <v>36342</v>
      </c>
      <c r="B56" s="16">
        <v>0.17</v>
      </c>
      <c r="C56" s="13">
        <f>[2]monthly!$G155</f>
        <v>65.349102965900002</v>
      </c>
    </row>
    <row r="57" spans="1:3" ht="15.75" x14ac:dyDescent="0.25">
      <c r="A57" s="27">
        <v>36373</v>
      </c>
      <c r="B57" s="16">
        <v>0.17</v>
      </c>
      <c r="C57" s="13">
        <f>[2]monthly!$G156</f>
        <v>65.659993084700005</v>
      </c>
    </row>
    <row r="58" spans="1:3" ht="15.75" x14ac:dyDescent="0.25">
      <c r="A58" s="27">
        <v>36404</v>
      </c>
      <c r="B58" s="16">
        <v>0.17</v>
      </c>
      <c r="C58" s="13">
        <f>[2]monthly!$G157</f>
        <v>65.970883203400007</v>
      </c>
    </row>
    <row r="59" spans="1:3" ht="15.75" x14ac:dyDescent="0.25">
      <c r="A59" s="27">
        <v>36434</v>
      </c>
      <c r="B59" s="16">
        <v>0.17</v>
      </c>
      <c r="C59" s="13">
        <f>[2]monthly!$G158</f>
        <v>66.406129369699997</v>
      </c>
    </row>
    <row r="60" spans="1:3" ht="15.75" x14ac:dyDescent="0.25">
      <c r="A60" s="27">
        <v>36465</v>
      </c>
      <c r="B60" s="16">
        <v>0.17</v>
      </c>
      <c r="C60" s="13">
        <f>[2]monthly!$G159</f>
        <v>66.281773322199996</v>
      </c>
    </row>
    <row r="61" spans="1:3" ht="15.75" x14ac:dyDescent="0.25">
      <c r="A61" s="27">
        <v>36495</v>
      </c>
      <c r="B61" s="16">
        <v>0.17</v>
      </c>
      <c r="C61" s="13">
        <f>[2]monthly!$G160</f>
        <v>66.281773322199996</v>
      </c>
    </row>
    <row r="62" spans="1:3" ht="15.75" x14ac:dyDescent="0.25">
      <c r="A62" s="27">
        <v>36526</v>
      </c>
      <c r="B62" s="16">
        <v>0.17</v>
      </c>
      <c r="C62" s="13">
        <f>[2]monthly!$G161</f>
        <v>65.970883203400007</v>
      </c>
    </row>
    <row r="63" spans="1:3" ht="15.75" x14ac:dyDescent="0.25">
      <c r="A63" s="27">
        <v>36557</v>
      </c>
      <c r="B63" s="16">
        <v>0.17</v>
      </c>
      <c r="C63" s="13">
        <f>[2]monthly!$G162</f>
        <v>65.659993084700005</v>
      </c>
    </row>
    <row r="64" spans="1:3" ht="15.75" x14ac:dyDescent="0.25">
      <c r="A64" s="27">
        <v>36586</v>
      </c>
      <c r="B64" s="16">
        <v>0.17</v>
      </c>
      <c r="C64" s="13">
        <f>[2]monthly!$G163</f>
        <v>65.473459013400003</v>
      </c>
    </row>
    <row r="65" spans="1:3" ht="15.75" x14ac:dyDescent="0.25">
      <c r="A65" s="27">
        <v>36617</v>
      </c>
      <c r="B65" s="16">
        <v>0.17</v>
      </c>
      <c r="C65" s="13">
        <f>[2]monthly!$G164</f>
        <v>65.784349132200006</v>
      </c>
    </row>
    <row r="66" spans="1:3" ht="15.75" x14ac:dyDescent="0.25">
      <c r="A66" s="27">
        <v>36647</v>
      </c>
      <c r="B66" s="16">
        <v>0.17</v>
      </c>
      <c r="C66" s="13">
        <f>[2]monthly!$G165</f>
        <v>66.343951345999997</v>
      </c>
    </row>
    <row r="67" spans="1:3" ht="15.75" x14ac:dyDescent="0.25">
      <c r="A67" s="27">
        <v>36678</v>
      </c>
      <c r="B67" s="16">
        <v>0.17</v>
      </c>
      <c r="C67" s="13">
        <f>[2]monthly!$G166</f>
        <v>66.530485417199998</v>
      </c>
    </row>
    <row r="68" spans="1:3" ht="15.75" x14ac:dyDescent="0.25">
      <c r="A68" s="27">
        <v>36708</v>
      </c>
      <c r="B68" s="16">
        <v>0.17</v>
      </c>
      <c r="C68" s="13">
        <f>[2]monthly!$G167</f>
        <v>66.7170194885</v>
      </c>
    </row>
    <row r="69" spans="1:3" ht="15.75" x14ac:dyDescent="0.25">
      <c r="A69" s="27">
        <v>36739</v>
      </c>
      <c r="B69" s="16">
        <v>0.17</v>
      </c>
      <c r="C69" s="13">
        <f>[2]monthly!$G168</f>
        <v>66.343951345999997</v>
      </c>
    </row>
    <row r="70" spans="1:3" ht="15.75" x14ac:dyDescent="0.25">
      <c r="A70" s="27">
        <v>36770</v>
      </c>
      <c r="B70" s="16">
        <v>0.17</v>
      </c>
      <c r="C70" s="13">
        <f>[2]monthly!$G169</f>
        <v>65.970883203400007</v>
      </c>
    </row>
    <row r="71" spans="1:3" ht="15.75" x14ac:dyDescent="0.25">
      <c r="A71" s="27">
        <v>36800</v>
      </c>
      <c r="B71" s="16">
        <v>0.17</v>
      </c>
      <c r="C71" s="13">
        <f>[2]monthly!$G170</f>
        <v>66.343951345999997</v>
      </c>
    </row>
    <row r="72" spans="1:3" ht="15.75" x14ac:dyDescent="0.25">
      <c r="A72" s="27">
        <v>36831</v>
      </c>
      <c r="B72" s="16">
        <v>0.17</v>
      </c>
      <c r="C72" s="13">
        <f>[2]monthly!$G171</f>
        <v>66.343951345999997</v>
      </c>
    </row>
    <row r="73" spans="1:3" ht="15.75" x14ac:dyDescent="0.25">
      <c r="A73" s="27">
        <v>36861</v>
      </c>
      <c r="B73" s="16">
        <v>0.17</v>
      </c>
      <c r="C73" s="13">
        <f>[2]monthly!$G172</f>
        <v>66.281773322199996</v>
      </c>
    </row>
    <row r="74" spans="1:3" ht="15.75" x14ac:dyDescent="0.25">
      <c r="A74" s="27">
        <v>36892</v>
      </c>
      <c r="B74" s="16">
        <v>0.17</v>
      </c>
      <c r="C74" s="13">
        <f>[2]monthly!$G173</f>
        <v>65.892787605600006</v>
      </c>
    </row>
    <row r="75" spans="1:3" ht="15.75" x14ac:dyDescent="0.25">
      <c r="A75" s="27">
        <v>36923</v>
      </c>
      <c r="B75" s="16">
        <v>0.17</v>
      </c>
      <c r="C75" s="13">
        <f>[2]monthly!$G174</f>
        <v>65.826630188300001</v>
      </c>
    </row>
    <row r="76" spans="1:3" ht="15.75" x14ac:dyDescent="0.25">
      <c r="A76" s="27">
        <v>36951</v>
      </c>
      <c r="B76" s="16">
        <v>0.17</v>
      </c>
      <c r="C76" s="13">
        <f>[2]monthly!$G175</f>
        <v>65.958945022899997</v>
      </c>
    </row>
    <row r="77" spans="1:3" ht="15.75" x14ac:dyDescent="0.25">
      <c r="A77" s="27">
        <v>36982</v>
      </c>
      <c r="B77" s="16">
        <v>0.17</v>
      </c>
      <c r="C77" s="13">
        <f>[2]monthly!$G176</f>
        <v>66.554361778399993</v>
      </c>
    </row>
    <row r="78" spans="1:3" ht="15.75" x14ac:dyDescent="0.25">
      <c r="A78" s="27">
        <v>37012</v>
      </c>
      <c r="B78" s="16">
        <v>0.17</v>
      </c>
      <c r="C78" s="13">
        <f>[2]monthly!$G177</f>
        <v>66.818991447499997</v>
      </c>
    </row>
    <row r="79" spans="1:3" ht="15.75" x14ac:dyDescent="0.25">
      <c r="A79" s="27">
        <v>37043</v>
      </c>
      <c r="B79" s="16">
        <v>0.17</v>
      </c>
      <c r="C79" s="13">
        <f>[2]monthly!$G178</f>
        <v>67.017463699299995</v>
      </c>
    </row>
    <row r="80" spans="1:3" ht="15.75" x14ac:dyDescent="0.25">
      <c r="A80" s="27">
        <v>37073</v>
      </c>
      <c r="B80" s="16">
        <v>0.17</v>
      </c>
      <c r="C80" s="13">
        <f>[2]monthly!$G179</f>
        <v>67.282093368399998</v>
      </c>
    </row>
    <row r="81" spans="1:3" ht="15.75" x14ac:dyDescent="0.25">
      <c r="A81" s="27">
        <v>37104</v>
      </c>
      <c r="B81" s="16">
        <v>0.17</v>
      </c>
      <c r="C81" s="13">
        <f>[2]monthly!$G180</f>
        <v>67.480565620199997</v>
      </c>
    </row>
    <row r="82" spans="1:3" ht="15.75" x14ac:dyDescent="0.25">
      <c r="A82" s="27">
        <v>37135</v>
      </c>
      <c r="B82" s="16">
        <v>0.17</v>
      </c>
      <c r="C82" s="13">
        <f>[2]monthly!$G181</f>
        <v>67.612880454700004</v>
      </c>
    </row>
    <row r="83" spans="1:3" ht="15.75" x14ac:dyDescent="0.25">
      <c r="A83" s="27">
        <v>37165</v>
      </c>
      <c r="B83" s="16">
        <v>0.17</v>
      </c>
      <c r="C83" s="13">
        <f>[2]monthly!$G182</f>
        <v>67.679037871999995</v>
      </c>
    </row>
    <row r="84" spans="1:3" ht="15.75" x14ac:dyDescent="0.25">
      <c r="A84" s="27">
        <v>37196</v>
      </c>
      <c r="B84" s="16">
        <v>0.17</v>
      </c>
      <c r="C84" s="13">
        <f>[2]monthly!$G183</f>
        <v>67.282093368399998</v>
      </c>
    </row>
    <row r="85" spans="1:3" ht="15.75" x14ac:dyDescent="0.25">
      <c r="A85" s="27">
        <v>37226</v>
      </c>
      <c r="B85" s="16">
        <v>0.17</v>
      </c>
      <c r="C85" s="13">
        <f>[2]monthly!$G184</f>
        <v>67.215935951099993</v>
      </c>
    </row>
    <row r="86" spans="1:3" ht="15.75" x14ac:dyDescent="0.25">
      <c r="A86" s="27">
        <v>37257</v>
      </c>
      <c r="B86" s="16">
        <v>0.17</v>
      </c>
      <c r="C86" s="13">
        <f>[2]monthly!$G185</f>
        <v>67.943667541099998</v>
      </c>
    </row>
    <row r="87" spans="1:3" ht="15.75" x14ac:dyDescent="0.25">
      <c r="A87" s="27">
        <v>37288</v>
      </c>
      <c r="B87" s="16">
        <v>0.17</v>
      </c>
      <c r="C87" s="13">
        <f>[2]monthly!$G186</f>
        <v>68.472926879300005</v>
      </c>
    </row>
    <row r="88" spans="1:3" ht="15.75" x14ac:dyDescent="0.25">
      <c r="A88" s="27">
        <v>37316</v>
      </c>
      <c r="B88" s="16">
        <v>0.17</v>
      </c>
      <c r="C88" s="13">
        <f>[2]monthly!$G187</f>
        <v>68.803713965699998</v>
      </c>
    </row>
    <row r="89" spans="1:3" ht="15.75" x14ac:dyDescent="0.25">
      <c r="A89" s="27">
        <v>37347</v>
      </c>
      <c r="B89" s="16">
        <v>0.17</v>
      </c>
      <c r="C89" s="13">
        <f>[2]monthly!$G188</f>
        <v>69.862232642099997</v>
      </c>
    </row>
    <row r="90" spans="1:3" ht="15.75" x14ac:dyDescent="0.25">
      <c r="A90" s="27">
        <v>37377</v>
      </c>
      <c r="B90" s="16">
        <v>0.17</v>
      </c>
      <c r="C90" s="13">
        <f>[2]monthly!$G189</f>
        <v>70.523806814799997</v>
      </c>
    </row>
    <row r="91" spans="1:3" ht="15.75" x14ac:dyDescent="0.25">
      <c r="A91" s="27">
        <v>37408</v>
      </c>
      <c r="B91" s="15">
        <v>0.18</v>
      </c>
      <c r="C91" s="13">
        <f>[2]monthly!$G190</f>
        <v>71.450010656700002</v>
      </c>
    </row>
    <row r="92" spans="1:3" ht="15.75" x14ac:dyDescent="0.25">
      <c r="A92" s="27">
        <v>37438</v>
      </c>
      <c r="B92" s="16">
        <v>0.18</v>
      </c>
      <c r="C92" s="13">
        <f>[2]monthly!$G191</f>
        <v>71.913112577600003</v>
      </c>
    </row>
    <row r="93" spans="1:3" ht="15.75" x14ac:dyDescent="0.25">
      <c r="A93" s="27">
        <v>37469</v>
      </c>
      <c r="B93" s="16">
        <v>0.18</v>
      </c>
      <c r="C93" s="13">
        <f>[2]monthly!$G192</f>
        <v>71.6484829085</v>
      </c>
    </row>
    <row r="94" spans="1:3" ht="15.75" x14ac:dyDescent="0.25">
      <c r="A94" s="27">
        <v>37500</v>
      </c>
      <c r="B94" s="16">
        <v>0.18</v>
      </c>
      <c r="C94" s="13">
        <f>[2]monthly!$G193</f>
        <v>71.913112577600003</v>
      </c>
    </row>
    <row r="95" spans="1:3" ht="15.75" x14ac:dyDescent="0.25">
      <c r="A95" s="27">
        <v>37530</v>
      </c>
      <c r="B95" s="16">
        <v>0.18</v>
      </c>
      <c r="C95" s="13">
        <f>[2]monthly!$G194</f>
        <v>72.376214498500005</v>
      </c>
    </row>
    <row r="96" spans="1:3" ht="15.75" x14ac:dyDescent="0.25">
      <c r="A96" s="27">
        <v>37561</v>
      </c>
      <c r="B96" s="16">
        <v>0.18</v>
      </c>
      <c r="C96" s="13">
        <f>[2]monthly!$G195</f>
        <v>71.780797743099996</v>
      </c>
    </row>
    <row r="97" spans="1:3" ht="15.75" x14ac:dyDescent="0.25">
      <c r="A97" s="27">
        <v>37591</v>
      </c>
      <c r="B97" s="16">
        <v>0.18</v>
      </c>
      <c r="C97" s="13">
        <f>[2]monthly!$G196</f>
        <v>71.582325491199995</v>
      </c>
    </row>
    <row r="98" spans="1:3" ht="15.75" x14ac:dyDescent="0.25">
      <c r="A98" s="27">
        <v>37622</v>
      </c>
      <c r="B98" s="16">
        <v>0.18</v>
      </c>
      <c r="C98" s="13">
        <f>[2]monthly!$G197</f>
        <v>71.715963474099993</v>
      </c>
    </row>
    <row r="99" spans="1:3" ht="15.75" x14ac:dyDescent="0.25">
      <c r="A99" s="27">
        <v>37653</v>
      </c>
      <c r="B99" s="16">
        <v>0.18</v>
      </c>
      <c r="C99" s="13">
        <f>[2]monthly!$G198</f>
        <v>71.998587960699993</v>
      </c>
    </row>
    <row r="100" spans="1:3" ht="15.75" x14ac:dyDescent="0.25">
      <c r="A100" s="27">
        <v>37681</v>
      </c>
      <c r="B100" s="16">
        <v>0.18</v>
      </c>
      <c r="C100" s="13">
        <f>[2]monthly!$G199</f>
        <v>72.139900204</v>
      </c>
    </row>
    <row r="101" spans="1:3" ht="15.75" x14ac:dyDescent="0.25">
      <c r="A101" s="27">
        <v>37712</v>
      </c>
      <c r="B101" s="16">
        <v>0.18</v>
      </c>
      <c r="C101" s="13">
        <f>[2]monthly!$G200</f>
        <v>71.998587960699993</v>
      </c>
    </row>
    <row r="102" spans="1:3" ht="15.75" x14ac:dyDescent="0.25">
      <c r="A102" s="27">
        <v>37742</v>
      </c>
      <c r="B102" s="16">
        <v>0.18</v>
      </c>
      <c r="C102" s="13">
        <f>[2]monthly!$G201</f>
        <v>71.645307352499998</v>
      </c>
    </row>
    <row r="103" spans="1:3" ht="15.75" x14ac:dyDescent="0.25">
      <c r="A103" s="27">
        <v>37773</v>
      </c>
      <c r="B103" s="16">
        <v>0.18</v>
      </c>
      <c r="C103" s="13">
        <f>[2]monthly!$G202</f>
        <v>71.221370622600006</v>
      </c>
    </row>
    <row r="104" spans="1:3" ht="15.75" x14ac:dyDescent="0.25">
      <c r="A104" s="27">
        <v>37803</v>
      </c>
      <c r="B104" s="16">
        <v>0.18</v>
      </c>
      <c r="C104" s="13">
        <f>[2]monthly!$G203</f>
        <v>70.726777771000002</v>
      </c>
    </row>
    <row r="105" spans="1:3" ht="15.75" x14ac:dyDescent="0.25">
      <c r="A105" s="27">
        <v>37834</v>
      </c>
      <c r="B105" s="16">
        <v>0.18</v>
      </c>
      <c r="C105" s="13">
        <f>[2]monthly!$G204</f>
        <v>70.868090014299995</v>
      </c>
    </row>
    <row r="106" spans="1:3" ht="15.75" x14ac:dyDescent="0.25">
      <c r="A106" s="27">
        <v>37865</v>
      </c>
      <c r="B106" s="16">
        <v>0.18</v>
      </c>
      <c r="C106" s="13">
        <f>[2]monthly!$G205</f>
        <v>70.514809406099999</v>
      </c>
    </row>
    <row r="107" spans="1:3" ht="15.75" x14ac:dyDescent="0.25">
      <c r="A107" s="27">
        <v>37895</v>
      </c>
      <c r="B107" s="16">
        <v>0.18</v>
      </c>
      <c r="C107" s="13">
        <f>[2]monthly!$G206</f>
        <v>70.514809406099999</v>
      </c>
    </row>
    <row r="108" spans="1:3" ht="15.75" x14ac:dyDescent="0.25">
      <c r="A108" s="27">
        <v>37926</v>
      </c>
      <c r="B108" s="16">
        <v>0.18</v>
      </c>
      <c r="C108" s="13">
        <f>[2]monthly!$G207</f>
        <v>70.373497162800007</v>
      </c>
    </row>
    <row r="109" spans="1:3" ht="15.75" x14ac:dyDescent="0.25">
      <c r="A109" s="27">
        <v>37956</v>
      </c>
      <c r="B109" s="16">
        <v>0.18</v>
      </c>
      <c r="C109" s="13">
        <f>[2]monthly!$G208</f>
        <v>70.2321849195</v>
      </c>
    </row>
    <row r="110" spans="1:3" ht="15.75" x14ac:dyDescent="0.25">
      <c r="A110" s="27">
        <v>37987</v>
      </c>
      <c r="B110" s="16">
        <v>0.18</v>
      </c>
      <c r="C110" s="13">
        <f>[2]monthly!$G209</f>
        <v>70.090872676199993</v>
      </c>
    </row>
    <row r="111" spans="1:3" ht="15.75" x14ac:dyDescent="0.25">
      <c r="A111" s="27">
        <v>38018</v>
      </c>
      <c r="B111" s="16">
        <v>0.18</v>
      </c>
      <c r="C111" s="13">
        <f>[2]monthly!$G210</f>
        <v>70.2321849195</v>
      </c>
    </row>
    <row r="112" spans="1:3" ht="15.75" x14ac:dyDescent="0.25">
      <c r="A112" s="27">
        <v>38047</v>
      </c>
      <c r="B112" s="15">
        <v>0.17</v>
      </c>
      <c r="C112" s="13">
        <f>[2]monthly!$G211</f>
        <v>70.161528797800003</v>
      </c>
    </row>
    <row r="113" spans="1:3" ht="15.75" x14ac:dyDescent="0.25">
      <c r="A113" s="27">
        <v>38078</v>
      </c>
      <c r="B113" s="16">
        <v>0.17</v>
      </c>
      <c r="C113" s="13">
        <f>[2]monthly!$G212</f>
        <v>70.938746136000006</v>
      </c>
    </row>
    <row r="114" spans="1:3" ht="15.75" x14ac:dyDescent="0.25">
      <c r="A114" s="27">
        <v>38108</v>
      </c>
      <c r="B114" s="16">
        <v>0.17</v>
      </c>
      <c r="C114" s="13">
        <f>[2]monthly!$G213</f>
        <v>71.221370622600006</v>
      </c>
    </row>
    <row r="115" spans="1:3" ht="15.75" x14ac:dyDescent="0.25">
      <c r="A115" s="27">
        <v>38139</v>
      </c>
      <c r="B115" s="16">
        <v>0.17</v>
      </c>
      <c r="C115" s="13">
        <f>[2]monthly!$G214</f>
        <v>71.221370622600006</v>
      </c>
    </row>
    <row r="116" spans="1:3" ht="15.75" x14ac:dyDescent="0.25">
      <c r="A116" s="27">
        <v>38169</v>
      </c>
      <c r="B116" s="16">
        <v>0.17</v>
      </c>
      <c r="C116" s="13">
        <f>[2]monthly!$G215</f>
        <v>71.080058379299999</v>
      </c>
    </row>
    <row r="117" spans="1:3" ht="15.75" x14ac:dyDescent="0.25">
      <c r="A117" s="27">
        <v>38200</v>
      </c>
      <c r="B117" s="16">
        <v>0.17</v>
      </c>
      <c r="C117" s="13">
        <f>[2]monthly!$G216</f>
        <v>71.221370622600006</v>
      </c>
    </row>
    <row r="118" spans="1:3" ht="15.75" x14ac:dyDescent="0.25">
      <c r="A118" s="27">
        <v>38231</v>
      </c>
      <c r="B118" s="16">
        <v>0.17</v>
      </c>
      <c r="C118" s="13">
        <f>[2]monthly!$G217</f>
        <v>71.080058379299999</v>
      </c>
    </row>
    <row r="119" spans="1:3" ht="15.75" x14ac:dyDescent="0.25">
      <c r="A119" s="27">
        <v>38261</v>
      </c>
      <c r="B119" s="16">
        <v>0.17</v>
      </c>
      <c r="C119" s="13">
        <f>[2]monthly!$G218</f>
        <v>71.080058379299999</v>
      </c>
    </row>
    <row r="120" spans="1:3" ht="15.75" x14ac:dyDescent="0.25">
      <c r="A120" s="27">
        <v>38292</v>
      </c>
      <c r="B120" s="16">
        <v>0.17</v>
      </c>
      <c r="C120" s="13">
        <f>[2]monthly!$G219</f>
        <v>71.009402257600001</v>
      </c>
    </row>
    <row r="121" spans="1:3" ht="15.75" x14ac:dyDescent="0.25">
      <c r="A121" s="27">
        <v>38322</v>
      </c>
      <c r="B121" s="16">
        <v>0.17</v>
      </c>
      <c r="C121" s="13">
        <f>[2]monthly!$G220</f>
        <v>71.080058379299999</v>
      </c>
    </row>
    <row r="122" spans="1:3" ht="15.75" x14ac:dyDescent="0.25">
      <c r="A122" s="27">
        <v>38353</v>
      </c>
      <c r="B122" s="16">
        <v>0.17</v>
      </c>
      <c r="C122" s="13">
        <f>[2]monthly!$G221</f>
        <v>70.656121649400006</v>
      </c>
    </row>
    <row r="123" spans="1:3" ht="15.75" x14ac:dyDescent="0.25">
      <c r="A123" s="27">
        <v>38384</v>
      </c>
      <c r="B123" s="16">
        <v>0.17</v>
      </c>
      <c r="C123" s="13">
        <f>[2]monthly!$G222</f>
        <v>70.797433892699999</v>
      </c>
    </row>
    <row r="124" spans="1:3" ht="15.75" x14ac:dyDescent="0.25">
      <c r="A124" s="27">
        <v>38412</v>
      </c>
      <c r="B124" s="16">
        <v>0.17</v>
      </c>
      <c r="C124" s="13">
        <f>[2]monthly!$G223</f>
        <v>70.656121649400006</v>
      </c>
    </row>
    <row r="125" spans="1:3" ht="15.75" x14ac:dyDescent="0.25">
      <c r="A125" s="27">
        <v>38443</v>
      </c>
      <c r="B125" s="16">
        <v>0.17</v>
      </c>
      <c r="C125" s="13">
        <f>[2]monthly!$G224</f>
        <v>71.150714500899994</v>
      </c>
    </row>
    <row r="126" spans="1:3" ht="15.75" x14ac:dyDescent="0.25">
      <c r="A126" s="27">
        <v>38473</v>
      </c>
      <c r="B126" s="16">
        <v>0.17</v>
      </c>
      <c r="C126" s="13">
        <f>[2]monthly!$G225</f>
        <v>71.362682865899998</v>
      </c>
    </row>
    <row r="127" spans="1:3" ht="15.75" x14ac:dyDescent="0.25">
      <c r="A127" s="27">
        <v>38504</v>
      </c>
      <c r="B127" s="16">
        <v>0.17</v>
      </c>
      <c r="C127" s="13">
        <f>[2]monthly!$G226</f>
        <v>71.433338987499994</v>
      </c>
    </row>
    <row r="128" spans="1:3" ht="15.75" x14ac:dyDescent="0.25">
      <c r="A128" s="27">
        <v>38534</v>
      </c>
      <c r="B128" s="16">
        <v>0.17</v>
      </c>
      <c r="C128" s="13">
        <f>[2]monthly!$G227</f>
        <v>72.210556325699997</v>
      </c>
    </row>
    <row r="129" spans="1:3" ht="15.75" x14ac:dyDescent="0.25">
      <c r="A129" s="27">
        <v>38565</v>
      </c>
      <c r="B129" s="16">
        <v>0.17</v>
      </c>
      <c r="C129" s="13">
        <f>[2]monthly!$G228</f>
        <v>72.351868569000004</v>
      </c>
    </row>
    <row r="130" spans="1:3" ht="15.75" x14ac:dyDescent="0.25">
      <c r="A130" s="27">
        <v>38596</v>
      </c>
      <c r="B130" s="19">
        <v>0.16500000000000001</v>
      </c>
      <c r="C130" s="13">
        <f>[2]monthly!$G229</f>
        <v>72.4225246906</v>
      </c>
    </row>
    <row r="131" spans="1:3" ht="15.75" x14ac:dyDescent="0.25">
      <c r="A131" s="27">
        <v>38626</v>
      </c>
      <c r="B131" s="16">
        <v>0.16500000000000001</v>
      </c>
      <c r="C131" s="13">
        <f>[2]monthly!$G230</f>
        <v>72.987773663799999</v>
      </c>
    </row>
    <row r="132" spans="1:3" ht="15.75" x14ac:dyDescent="0.25">
      <c r="A132" s="27">
        <v>38657</v>
      </c>
      <c r="B132" s="16">
        <v>0.16500000000000001</v>
      </c>
      <c r="C132" s="13">
        <f>[2]monthly!$G231</f>
        <v>72.917117542200003</v>
      </c>
    </row>
    <row r="133" spans="1:3" ht="15.75" x14ac:dyDescent="0.25">
      <c r="A133" s="27">
        <v>38687</v>
      </c>
      <c r="B133" s="16">
        <v>0.16500000000000001</v>
      </c>
      <c r="C133" s="13">
        <f>[2]monthly!$G232</f>
        <v>72.775805298899996</v>
      </c>
    </row>
    <row r="134" spans="1:3" ht="15.75" x14ac:dyDescent="0.25">
      <c r="A134" s="27">
        <v>38718</v>
      </c>
      <c r="B134" s="16">
        <v>0.16500000000000001</v>
      </c>
      <c r="C134" s="13">
        <f>[2]monthly!$G233</f>
        <v>72.563836933900006</v>
      </c>
    </row>
    <row r="135" spans="1:3" ht="15.75" x14ac:dyDescent="0.25">
      <c r="A135" s="27">
        <v>38749</v>
      </c>
      <c r="B135" s="16">
        <v>0.16500000000000001</v>
      </c>
      <c r="C135" s="13">
        <f>[2]monthly!$G234</f>
        <v>72.987773663799999</v>
      </c>
    </row>
    <row r="136" spans="1:3" ht="15.75" x14ac:dyDescent="0.25">
      <c r="A136" s="27">
        <v>38777</v>
      </c>
      <c r="B136" s="16">
        <v>0.16500000000000001</v>
      </c>
      <c r="C136" s="13">
        <f>[2]monthly!$G235</f>
        <v>73.199742028800003</v>
      </c>
    </row>
    <row r="137" spans="1:3" ht="15.75" x14ac:dyDescent="0.25">
      <c r="A137" s="27">
        <v>38808</v>
      </c>
      <c r="B137" s="16">
        <v>0.16500000000000001</v>
      </c>
      <c r="C137" s="13">
        <f>[2]monthly!$G236</f>
        <v>73.835647123599998</v>
      </c>
    </row>
    <row r="138" spans="1:3" ht="15.75" x14ac:dyDescent="0.25">
      <c r="A138" s="27">
        <v>38838</v>
      </c>
      <c r="B138" s="16">
        <v>0.16500000000000001</v>
      </c>
      <c r="C138" s="13">
        <f>[2]monthly!$G237</f>
        <v>73.835647123599998</v>
      </c>
    </row>
    <row r="139" spans="1:3" ht="15.75" x14ac:dyDescent="0.25">
      <c r="A139" s="27">
        <v>38869</v>
      </c>
      <c r="B139" s="16">
        <v>0.16500000000000001</v>
      </c>
      <c r="C139" s="13">
        <f>[2]monthly!$G238</f>
        <v>73.906303245299995</v>
      </c>
    </row>
    <row r="140" spans="1:3" ht="15.75" x14ac:dyDescent="0.25">
      <c r="A140" s="27">
        <v>38899</v>
      </c>
      <c r="B140" s="19">
        <v>0.155</v>
      </c>
      <c r="C140" s="13">
        <f>[2]monthly!$G239</f>
        <v>73.976959366900005</v>
      </c>
    </row>
    <row r="141" spans="1:3" ht="15.75" x14ac:dyDescent="0.25">
      <c r="A141" s="27">
        <v>38930</v>
      </c>
      <c r="B141" s="16">
        <v>0.155</v>
      </c>
      <c r="C141" s="13">
        <f>[2]monthly!$G240</f>
        <v>73.976959366900005</v>
      </c>
    </row>
    <row r="142" spans="1:3" ht="15.75" x14ac:dyDescent="0.25">
      <c r="A142" s="27">
        <v>38961</v>
      </c>
      <c r="B142" s="16">
        <v>0.155</v>
      </c>
      <c r="C142" s="13">
        <f>[2]monthly!$G241</f>
        <v>73.341054272099996</v>
      </c>
    </row>
    <row r="143" spans="1:3" ht="15.75" x14ac:dyDescent="0.25">
      <c r="A143" s="27">
        <v>38991</v>
      </c>
      <c r="B143" s="16">
        <v>0.155</v>
      </c>
      <c r="C143" s="13">
        <f>[2]monthly!$G242</f>
        <v>72.846461420500006</v>
      </c>
    </row>
    <row r="144" spans="1:3" ht="15.75" x14ac:dyDescent="0.25">
      <c r="A144" s="27">
        <v>39022</v>
      </c>
      <c r="B144" s="16">
        <v>0.155</v>
      </c>
      <c r="C144" s="13">
        <f>[2]monthly!$G243</f>
        <v>72.705149177199999</v>
      </c>
    </row>
    <row r="145" spans="1:3" ht="15.75" x14ac:dyDescent="0.25">
      <c r="A145" s="27">
        <v>39052</v>
      </c>
      <c r="B145" s="16">
        <v>0.155</v>
      </c>
      <c r="C145" s="13">
        <f>[2]monthly!$G244</f>
        <v>72.705149177199999</v>
      </c>
    </row>
    <row r="146" spans="1:3" ht="15.75" x14ac:dyDescent="0.25">
      <c r="A146" s="27">
        <v>39083</v>
      </c>
      <c r="B146" s="16">
        <v>0.155</v>
      </c>
      <c r="C146" s="13">
        <f>[2]monthly!$G245</f>
        <v>72.607643729299994</v>
      </c>
    </row>
    <row r="147" spans="1:3" ht="15.75" x14ac:dyDescent="0.25">
      <c r="A147" s="27">
        <v>39114</v>
      </c>
      <c r="B147" s="16">
        <v>0.155</v>
      </c>
      <c r="C147" s="13">
        <f>[2]monthly!$G246</f>
        <v>72.387620566500004</v>
      </c>
    </row>
    <row r="148" spans="1:3" ht="15.75" x14ac:dyDescent="0.25">
      <c r="A148" s="27">
        <v>39142</v>
      </c>
      <c r="B148" s="16">
        <v>0.155</v>
      </c>
      <c r="C148" s="13">
        <f>[2]monthly!$G247</f>
        <v>72.534302675099994</v>
      </c>
    </row>
    <row r="149" spans="1:3" ht="15.75" x14ac:dyDescent="0.25">
      <c r="A149" s="27">
        <v>39173</v>
      </c>
      <c r="B149" s="16">
        <v>0.155</v>
      </c>
      <c r="C149" s="13">
        <f>[2]monthly!$G248</f>
        <v>72.9010079464</v>
      </c>
    </row>
    <row r="150" spans="1:3" ht="15.75" x14ac:dyDescent="0.25">
      <c r="A150" s="27">
        <v>39203</v>
      </c>
      <c r="B150" s="16">
        <v>0.155</v>
      </c>
      <c r="C150" s="13">
        <f>[2]monthly!$G249</f>
        <v>72.9010079464</v>
      </c>
    </row>
    <row r="151" spans="1:3" ht="15.75" x14ac:dyDescent="0.25">
      <c r="A151" s="27">
        <v>39234</v>
      </c>
      <c r="B151" s="16">
        <v>0.155</v>
      </c>
      <c r="C151" s="13">
        <f>[2]monthly!$G250</f>
        <v>73.414395326299996</v>
      </c>
    </row>
    <row r="152" spans="1:3" ht="15.75" x14ac:dyDescent="0.25">
      <c r="A152" s="27">
        <v>39264</v>
      </c>
      <c r="B152" s="16">
        <v>0.155</v>
      </c>
      <c r="C152" s="13">
        <f>[2]monthly!$G251</f>
        <v>74.221146923299997</v>
      </c>
    </row>
    <row r="153" spans="1:3" ht="15.75" x14ac:dyDescent="0.25">
      <c r="A153" s="27">
        <v>39295</v>
      </c>
      <c r="B153" s="16">
        <v>0.155</v>
      </c>
      <c r="C153" s="13">
        <f>[2]monthly!$G252</f>
        <v>74.734534303199993</v>
      </c>
    </row>
    <row r="154" spans="1:3" ht="15.75" x14ac:dyDescent="0.25">
      <c r="A154" s="27">
        <v>39326</v>
      </c>
      <c r="B154" s="16">
        <v>0.155</v>
      </c>
      <c r="C154" s="13">
        <f>[2]monthly!$G253</f>
        <v>74.367829031900001</v>
      </c>
    </row>
    <row r="155" spans="1:3" ht="15.75" x14ac:dyDescent="0.25">
      <c r="A155" s="27">
        <v>39356</v>
      </c>
      <c r="B155" s="16">
        <v>0.155</v>
      </c>
      <c r="C155" s="13">
        <f>[2]monthly!$G254</f>
        <v>74.441170086100001</v>
      </c>
    </row>
    <row r="156" spans="1:3" ht="15.75" x14ac:dyDescent="0.25">
      <c r="A156" s="27">
        <v>39387</v>
      </c>
      <c r="B156" s="16">
        <v>0.155</v>
      </c>
      <c r="C156" s="13">
        <f>[2]monthly!$G255</f>
        <v>74.734534303199993</v>
      </c>
    </row>
    <row r="157" spans="1:3" ht="15.75" x14ac:dyDescent="0.25">
      <c r="A157" s="27">
        <v>39417</v>
      </c>
      <c r="B157" s="16">
        <v>0.155</v>
      </c>
      <c r="C157" s="13">
        <f>[2]monthly!$G256</f>
        <v>75.174580628900003</v>
      </c>
    </row>
    <row r="158" spans="1:3" ht="15.75" x14ac:dyDescent="0.25">
      <c r="A158" s="27">
        <v>39448</v>
      </c>
      <c r="B158" s="16">
        <v>0.155</v>
      </c>
      <c r="C158" s="13">
        <f>[2]monthly!$G257</f>
        <v>75.174580628900003</v>
      </c>
    </row>
    <row r="159" spans="1:3" ht="15.75" x14ac:dyDescent="0.25">
      <c r="A159" s="27">
        <v>39479</v>
      </c>
      <c r="B159" s="16">
        <v>0.155</v>
      </c>
      <c r="C159" s="13">
        <f>[2]monthly!$G258</f>
        <v>75.027898520299999</v>
      </c>
    </row>
    <row r="160" spans="1:3" ht="15.75" x14ac:dyDescent="0.25">
      <c r="A160" s="27">
        <v>39508</v>
      </c>
      <c r="B160" s="16">
        <v>0.155</v>
      </c>
      <c r="C160" s="13">
        <f>[2]monthly!$G259</f>
        <v>75.247921683100003</v>
      </c>
    </row>
    <row r="161" spans="1:3" ht="15.75" x14ac:dyDescent="0.25">
      <c r="A161" s="27">
        <v>39539</v>
      </c>
      <c r="B161" s="16">
        <v>0.155</v>
      </c>
      <c r="C161" s="13">
        <f>[2]monthly!$G260</f>
        <v>76.348037497199996</v>
      </c>
    </row>
    <row r="162" spans="1:3" ht="15.75" x14ac:dyDescent="0.25">
      <c r="A162" s="27">
        <v>39569</v>
      </c>
      <c r="B162" s="16">
        <v>0.155</v>
      </c>
      <c r="C162" s="13">
        <f>[2]monthly!$G261</f>
        <v>76.861424877100006</v>
      </c>
    </row>
    <row r="163" spans="1:3" ht="15.75" x14ac:dyDescent="0.25">
      <c r="A163" s="27">
        <v>39600</v>
      </c>
      <c r="B163" s="16">
        <v>0.155</v>
      </c>
      <c r="C163" s="13">
        <f>[2]monthly!$G262</f>
        <v>76.934765931399994</v>
      </c>
    </row>
    <row r="164" spans="1:3" ht="15.75" x14ac:dyDescent="0.25">
      <c r="A164" s="27">
        <v>39630</v>
      </c>
      <c r="B164" s="16">
        <v>0.155</v>
      </c>
      <c r="C164" s="13">
        <f>[2]monthly!$G263</f>
        <v>77.814858582699998</v>
      </c>
    </row>
    <row r="165" spans="1:3" ht="15.75" x14ac:dyDescent="0.25">
      <c r="A165" s="27">
        <v>39661</v>
      </c>
      <c r="B165" s="16">
        <v>0.155</v>
      </c>
      <c r="C165" s="13">
        <f>[2]monthly!$G264</f>
        <v>78.474928071099995</v>
      </c>
    </row>
    <row r="166" spans="1:3" ht="15.75" x14ac:dyDescent="0.25">
      <c r="A166" s="27">
        <v>39692</v>
      </c>
      <c r="B166" s="16">
        <v>0.155</v>
      </c>
      <c r="C166" s="13">
        <f>[2]monthly!$G265</f>
        <v>78.474928071099995</v>
      </c>
    </row>
    <row r="167" spans="1:3" ht="15.75" x14ac:dyDescent="0.25">
      <c r="A167" s="27">
        <v>39722</v>
      </c>
      <c r="B167" s="16">
        <v>0.155</v>
      </c>
      <c r="C167" s="13">
        <f>[2]monthly!$G266</f>
        <v>78.548269125399997</v>
      </c>
    </row>
    <row r="168" spans="1:3" ht="15.75" x14ac:dyDescent="0.25">
      <c r="A168" s="27">
        <v>39753</v>
      </c>
      <c r="B168" s="16">
        <v>0.155</v>
      </c>
      <c r="C168" s="13">
        <f>[2]monthly!$G267</f>
        <v>78.108222799700002</v>
      </c>
    </row>
    <row r="169" spans="1:3" ht="15.75" x14ac:dyDescent="0.25">
      <c r="A169" s="27">
        <v>39783</v>
      </c>
      <c r="B169" s="16">
        <v>0.155</v>
      </c>
      <c r="C169" s="13">
        <f>[2]monthly!$G268</f>
        <v>78.034881745500002</v>
      </c>
    </row>
    <row r="170" spans="1:3" ht="15.75" x14ac:dyDescent="0.25">
      <c r="A170" s="27">
        <v>39814</v>
      </c>
      <c r="B170" s="16">
        <v>0.155</v>
      </c>
      <c r="C170" s="13">
        <f>[2]monthly!$G269</f>
        <v>77.621018176199996</v>
      </c>
    </row>
    <row r="171" spans="1:3" ht="15.75" x14ac:dyDescent="0.25">
      <c r="A171" s="27">
        <v>39845</v>
      </c>
      <c r="B171" s="16">
        <v>0.155</v>
      </c>
      <c r="C171" s="13">
        <f>[2]monthly!$G270</f>
        <v>77.543936728199995</v>
      </c>
    </row>
    <row r="172" spans="1:3" ht="15.75" x14ac:dyDescent="0.25">
      <c r="A172" s="27">
        <v>39873</v>
      </c>
      <c r="B172" s="16">
        <v>0.155</v>
      </c>
      <c r="C172" s="13">
        <f>[2]monthly!$G271</f>
        <v>77.929343968400005</v>
      </c>
    </row>
    <row r="173" spans="1:3" ht="15.75" x14ac:dyDescent="0.25">
      <c r="A173" s="27">
        <v>39904</v>
      </c>
      <c r="B173" s="16">
        <v>0.155</v>
      </c>
      <c r="C173" s="13">
        <f>[2]monthly!$G272</f>
        <v>78.700158448799996</v>
      </c>
    </row>
    <row r="174" spans="1:3" ht="15.75" x14ac:dyDescent="0.25">
      <c r="A174" s="27">
        <v>39934</v>
      </c>
      <c r="B174" s="16">
        <v>0.155</v>
      </c>
      <c r="C174" s="13">
        <f>[2]monthly!$G273</f>
        <v>79.008484240900003</v>
      </c>
    </row>
    <row r="175" spans="1:3" ht="15.75" x14ac:dyDescent="0.25">
      <c r="A175" s="27">
        <v>39965</v>
      </c>
      <c r="B175" s="16">
        <v>0.155</v>
      </c>
      <c r="C175" s="13">
        <f>[2]monthly!$G274</f>
        <v>79.702217273299993</v>
      </c>
    </row>
    <row r="176" spans="1:3" ht="15.75" x14ac:dyDescent="0.25">
      <c r="A176" s="27">
        <v>39995</v>
      </c>
      <c r="B176" s="19">
        <v>0.16500000000000001</v>
      </c>
      <c r="C176" s="13">
        <f>[2]monthly!$G275</f>
        <v>80.5501132017</v>
      </c>
    </row>
    <row r="177" spans="1:3" ht="15.75" x14ac:dyDescent="0.25">
      <c r="A177" s="27">
        <v>40026</v>
      </c>
      <c r="B177" s="16">
        <v>0.16500000000000001</v>
      </c>
      <c r="C177" s="13">
        <f>[2]monthly!$G276</f>
        <v>80.935520441899996</v>
      </c>
    </row>
    <row r="178" spans="1:3" ht="15.75" x14ac:dyDescent="0.25">
      <c r="A178" s="27">
        <v>40057</v>
      </c>
      <c r="B178" s="16">
        <v>0.16500000000000001</v>
      </c>
      <c r="C178" s="13">
        <f>[2]monthly!$G277</f>
        <v>80.704276097800005</v>
      </c>
    </row>
    <row r="179" spans="1:3" ht="15.75" x14ac:dyDescent="0.25">
      <c r="A179" s="27">
        <v>40087</v>
      </c>
      <c r="B179" s="16">
        <v>0.16500000000000001</v>
      </c>
      <c r="C179" s="13">
        <f>[2]monthly!$G278</f>
        <v>80.858438993899995</v>
      </c>
    </row>
    <row r="180" spans="1:3" ht="15.75" x14ac:dyDescent="0.25">
      <c r="A180" s="27">
        <v>40118</v>
      </c>
      <c r="B180" s="16">
        <v>0.16500000000000001</v>
      </c>
      <c r="C180" s="13">
        <f>[2]monthly!$G279</f>
        <v>81.089683338</v>
      </c>
    </row>
    <row r="181" spans="1:3" ht="15.75" x14ac:dyDescent="0.25">
      <c r="A181" s="27">
        <v>40148</v>
      </c>
      <c r="B181" s="16">
        <v>0.16500000000000001</v>
      </c>
      <c r="C181" s="13">
        <f>[2]monthly!$G280</f>
        <v>81.089683338</v>
      </c>
    </row>
    <row r="182" spans="1:3" ht="15.75" x14ac:dyDescent="0.25">
      <c r="A182" s="27">
        <v>40179</v>
      </c>
      <c r="B182" s="15">
        <v>0.16</v>
      </c>
      <c r="C182" s="13">
        <f>[2]monthly!$G281</f>
        <v>80.5501132017</v>
      </c>
    </row>
    <row r="183" spans="1:3" ht="15.75" x14ac:dyDescent="0.25">
      <c r="A183" s="27">
        <v>40210</v>
      </c>
      <c r="B183" s="16">
        <v>0.16</v>
      </c>
      <c r="C183" s="13">
        <f>[2]monthly!$G282</f>
        <v>80.318868857599995</v>
      </c>
    </row>
    <row r="184" spans="1:3" ht="15.75" x14ac:dyDescent="0.25">
      <c r="A184" s="27">
        <v>40238</v>
      </c>
      <c r="B184" s="16">
        <v>0.16</v>
      </c>
      <c r="C184" s="13">
        <f>[2]monthly!$G283</f>
        <v>80.395950305699998</v>
      </c>
    </row>
    <row r="185" spans="1:3" ht="15.75" x14ac:dyDescent="0.25">
      <c r="A185" s="27">
        <v>40269</v>
      </c>
      <c r="B185" s="16">
        <v>0.16</v>
      </c>
      <c r="C185" s="13">
        <f>[2]monthly!$G284</f>
        <v>81.089683338</v>
      </c>
    </row>
    <row r="186" spans="1:3" ht="15.75" x14ac:dyDescent="0.25">
      <c r="A186" s="27">
        <v>40299</v>
      </c>
      <c r="B186" s="16">
        <v>0.16</v>
      </c>
      <c r="C186" s="13">
        <f>[2]monthly!$G285</f>
        <v>81.398009130199995</v>
      </c>
    </row>
    <row r="187" spans="1:3" ht="15.75" x14ac:dyDescent="0.25">
      <c r="A187" s="27">
        <v>40330</v>
      </c>
      <c r="B187" s="16">
        <v>0.16</v>
      </c>
      <c r="C187" s="13">
        <f>[2]monthly!$G286</f>
        <v>81.6292534743</v>
      </c>
    </row>
    <row r="188" spans="1:3" ht="15.75" x14ac:dyDescent="0.25">
      <c r="A188" s="27">
        <v>40360</v>
      </c>
      <c r="B188" s="16">
        <v>0.16</v>
      </c>
      <c r="C188" s="13">
        <f>[2]monthly!$G287</f>
        <v>82.014660714499996</v>
      </c>
    </row>
    <row r="189" spans="1:3" ht="15.75" x14ac:dyDescent="0.25">
      <c r="A189" s="27">
        <v>40391</v>
      </c>
      <c r="B189" s="16">
        <v>0.16</v>
      </c>
      <c r="C189" s="13">
        <f>[2]monthly!$G288</f>
        <v>82.400067954700006</v>
      </c>
    </row>
    <row r="190" spans="1:3" ht="15.75" x14ac:dyDescent="0.25">
      <c r="A190" s="27">
        <v>40422</v>
      </c>
      <c r="B190" s="16">
        <v>0.16</v>
      </c>
      <c r="C190" s="13">
        <f>[2]monthly!$G289</f>
        <v>82.631312298799998</v>
      </c>
    </row>
    <row r="191" spans="1:3" ht="15.75" x14ac:dyDescent="0.25">
      <c r="A191" s="27">
        <v>40452</v>
      </c>
      <c r="B191" s="16">
        <v>0.16</v>
      </c>
      <c r="C191" s="13">
        <f>[2]monthly!$G290</f>
        <v>82.862556642900003</v>
      </c>
    </row>
    <row r="192" spans="1:3" ht="15.75" x14ac:dyDescent="0.25">
      <c r="A192" s="27">
        <v>40483</v>
      </c>
      <c r="B192" s="16">
        <v>0.16</v>
      </c>
      <c r="C192" s="13">
        <f>[2]monthly!$G291</f>
        <v>82.939638091000006</v>
      </c>
    </row>
    <row r="193" spans="1:3" ht="15.75" x14ac:dyDescent="0.25">
      <c r="A193" s="27">
        <v>40513</v>
      </c>
      <c r="B193" s="16">
        <v>0.16</v>
      </c>
      <c r="C193" s="13">
        <f>[2]monthly!$G292</f>
        <v>83.247963883099999</v>
      </c>
    </row>
    <row r="194" spans="1:3" ht="15.75" x14ac:dyDescent="0.25">
      <c r="A194" s="27">
        <v>40544</v>
      </c>
      <c r="B194" s="16">
        <v>0.16</v>
      </c>
      <c r="C194" s="13">
        <f>[2]monthly!$G293</f>
        <v>83.419084697800002</v>
      </c>
    </row>
    <row r="195" spans="1:3" ht="15.75" x14ac:dyDescent="0.25">
      <c r="A195" s="27">
        <v>40575</v>
      </c>
      <c r="B195" s="16">
        <v>0.16</v>
      </c>
      <c r="C195" s="13">
        <f>[2]monthly!$G294</f>
        <v>83.664434946900002</v>
      </c>
    </row>
    <row r="196" spans="1:3" ht="15.75" x14ac:dyDescent="0.25">
      <c r="A196" s="27">
        <v>40603</v>
      </c>
      <c r="B196" s="16">
        <v>0.16</v>
      </c>
      <c r="C196" s="13">
        <f>[2]monthly!$G295</f>
        <v>83.828001779600001</v>
      </c>
    </row>
    <row r="197" spans="1:3" ht="15.75" x14ac:dyDescent="0.25">
      <c r="A197" s="27">
        <v>40634</v>
      </c>
      <c r="B197" s="16">
        <v>0.16</v>
      </c>
      <c r="C197" s="13">
        <f>[2]monthly!$G296</f>
        <v>84.318702277900002</v>
      </c>
    </row>
    <row r="198" spans="1:3" ht="15.75" x14ac:dyDescent="0.25">
      <c r="A198" s="27">
        <v>40664</v>
      </c>
      <c r="B198" s="16">
        <v>0.16</v>
      </c>
      <c r="C198" s="13">
        <f>[2]monthly!$G297</f>
        <v>84.7276193597</v>
      </c>
    </row>
    <row r="199" spans="1:3" ht="15.75" x14ac:dyDescent="0.25">
      <c r="A199" s="27">
        <v>40695</v>
      </c>
      <c r="B199" s="16">
        <v>0.16</v>
      </c>
      <c r="C199" s="13">
        <f>[2]monthly!$G298</f>
        <v>85.0547530252</v>
      </c>
    </row>
    <row r="200" spans="1:3" ht="15.75" x14ac:dyDescent="0.25">
      <c r="A200" s="27">
        <v>40725</v>
      </c>
      <c r="B200" s="16">
        <v>0.16</v>
      </c>
      <c r="C200" s="13">
        <f>[2]monthly!$G299</f>
        <v>84.809402776100001</v>
      </c>
    </row>
    <row r="201" spans="1:3" ht="15.75" x14ac:dyDescent="0.25">
      <c r="A201" s="27">
        <v>40756</v>
      </c>
      <c r="B201" s="16">
        <v>0.16</v>
      </c>
      <c r="C201" s="13">
        <f>[2]monthly!$G300</f>
        <v>85.218319857899999</v>
      </c>
    </row>
    <row r="202" spans="1:3" ht="15.75" x14ac:dyDescent="0.25">
      <c r="A202" s="27">
        <v>40787</v>
      </c>
      <c r="B202" s="16">
        <v>0.16</v>
      </c>
      <c r="C202" s="13">
        <f>[2]monthly!$G301</f>
        <v>85.0547530252</v>
      </c>
    </row>
    <row r="203" spans="1:3" ht="15.75" x14ac:dyDescent="0.25">
      <c r="A203" s="27">
        <v>40817</v>
      </c>
      <c r="B203" s="16">
        <v>0.16</v>
      </c>
      <c r="C203" s="13">
        <f>[2]monthly!$G302</f>
        <v>85.136536441600001</v>
      </c>
    </row>
    <row r="204" spans="1:3" ht="15.75" x14ac:dyDescent="0.25">
      <c r="A204" s="27">
        <v>40848</v>
      </c>
      <c r="B204" s="16">
        <v>0.16</v>
      </c>
      <c r="C204" s="13">
        <f>[2]monthly!$G303</f>
        <v>85.0547530252</v>
      </c>
    </row>
    <row r="205" spans="1:3" ht="15.75" x14ac:dyDescent="0.25">
      <c r="A205" s="27">
        <v>40878</v>
      </c>
      <c r="B205" s="16">
        <v>0.16</v>
      </c>
      <c r="C205" s="13">
        <f>[2]monthly!$G304</f>
        <v>85.0547530252</v>
      </c>
    </row>
    <row r="206" spans="1:3" ht="15.75" x14ac:dyDescent="0.25">
      <c r="A206" s="27">
        <v>40909</v>
      </c>
      <c r="B206" s="16">
        <v>0.16</v>
      </c>
      <c r="C206" s="13">
        <f>[2]monthly!$G305</f>
        <v>85.0547530252</v>
      </c>
    </row>
    <row r="207" spans="1:3" ht="15.75" x14ac:dyDescent="0.25">
      <c r="A207" s="27">
        <v>40940</v>
      </c>
      <c r="B207" s="16">
        <v>0.16</v>
      </c>
      <c r="C207" s="13">
        <f>[2]monthly!$G306</f>
        <v>85.0547530252</v>
      </c>
    </row>
    <row r="208" spans="1:3" ht="15.75" x14ac:dyDescent="0.25">
      <c r="A208" s="27">
        <v>40969</v>
      </c>
      <c r="B208" s="16">
        <v>0.16</v>
      </c>
      <c r="C208" s="13">
        <f>[2]monthly!$G307</f>
        <v>85.3818866907</v>
      </c>
    </row>
    <row r="209" spans="1:3" ht="15.75" x14ac:dyDescent="0.25">
      <c r="A209" s="27">
        <v>41000</v>
      </c>
      <c r="B209" s="16">
        <v>0.16</v>
      </c>
      <c r="C209" s="13">
        <f>[2]monthly!$G308</f>
        <v>86.117937437999998</v>
      </c>
    </row>
    <row r="210" spans="1:3" ht="15.75" x14ac:dyDescent="0.25">
      <c r="A210" s="27">
        <v>41030</v>
      </c>
      <c r="B210" s="16">
        <v>0.16</v>
      </c>
      <c r="C210" s="13">
        <f>[2]monthly!$G309</f>
        <v>86.117937437999998</v>
      </c>
    </row>
    <row r="211" spans="1:3" ht="15.75" x14ac:dyDescent="0.25">
      <c r="A211" s="27">
        <v>41061</v>
      </c>
      <c r="B211" s="16">
        <v>0.16</v>
      </c>
      <c r="C211" s="13">
        <f>[2]monthly!$G310</f>
        <v>85.872587188899999</v>
      </c>
    </row>
    <row r="212" spans="1:3" ht="15.75" x14ac:dyDescent="0.25">
      <c r="A212" s="27">
        <v>41091</v>
      </c>
      <c r="B212" s="16">
        <v>0.16</v>
      </c>
      <c r="C212" s="13">
        <f>[2]monthly!$G311</f>
        <v>85.954370605299999</v>
      </c>
    </row>
    <row r="213" spans="1:3" ht="15.75" x14ac:dyDescent="0.25">
      <c r="A213" s="27">
        <v>41122</v>
      </c>
      <c r="B213" s="16">
        <v>0.16</v>
      </c>
      <c r="C213" s="13">
        <f>[2]monthly!$G312</f>
        <v>86.853988185299997</v>
      </c>
    </row>
    <row r="214" spans="1:3" ht="15.75" x14ac:dyDescent="0.25">
      <c r="A214" s="27">
        <v>41153</v>
      </c>
      <c r="B214" s="15">
        <v>0.17</v>
      </c>
      <c r="C214" s="13">
        <f>[2]monthly!$G313</f>
        <v>86.853988185299997</v>
      </c>
    </row>
    <row r="215" spans="1:3" ht="15.75" x14ac:dyDescent="0.25">
      <c r="A215" s="27">
        <v>41183</v>
      </c>
      <c r="B215" s="16">
        <v>0.17</v>
      </c>
      <c r="C215" s="13">
        <f>[2]monthly!$G314</f>
        <v>86.690421352599998</v>
      </c>
    </row>
    <row r="216" spans="1:3" ht="15.75" x14ac:dyDescent="0.25">
      <c r="A216" s="27">
        <v>41214</v>
      </c>
      <c r="B216" s="16">
        <v>0.17</v>
      </c>
      <c r="C216" s="13">
        <f>[2]monthly!$G315</f>
        <v>86.281504270699998</v>
      </c>
    </row>
    <row r="217" spans="1:3" ht="15.75" x14ac:dyDescent="0.25">
      <c r="A217" s="27">
        <v>41244</v>
      </c>
      <c r="B217" s="16">
        <v>0.17</v>
      </c>
      <c r="C217" s="13">
        <f>[2]monthly!$G316</f>
        <v>86.445071103499998</v>
      </c>
    </row>
    <row r="218" spans="1:3" ht="15.75" x14ac:dyDescent="0.25">
      <c r="A218" s="27">
        <v>41275</v>
      </c>
      <c r="B218" s="16">
        <v>0.17</v>
      </c>
      <c r="C218" s="13">
        <f>[2]monthly!$G317</f>
        <v>86.294262483699995</v>
      </c>
    </row>
    <row r="219" spans="1:3" ht="15.75" x14ac:dyDescent="0.25">
      <c r="A219" s="27">
        <v>41306</v>
      </c>
      <c r="B219" s="16">
        <v>0.17</v>
      </c>
      <c r="C219" s="13">
        <f>[2]monthly!$G318</f>
        <v>86.294262483699995</v>
      </c>
    </row>
    <row r="220" spans="1:3" ht="15.75" x14ac:dyDescent="0.25">
      <c r="A220" s="27">
        <v>41334</v>
      </c>
      <c r="B220" s="16">
        <v>0.17</v>
      </c>
      <c r="C220" s="13">
        <f>[2]monthly!$G319</f>
        <v>86.466334791700007</v>
      </c>
    </row>
    <row r="221" spans="1:3" ht="15.75" x14ac:dyDescent="0.25">
      <c r="A221" s="27">
        <v>41365</v>
      </c>
      <c r="B221" s="16">
        <v>0.17</v>
      </c>
      <c r="C221" s="13">
        <f>[2]monthly!$G320</f>
        <v>86.810479407800003</v>
      </c>
    </row>
    <row r="222" spans="1:3" ht="15.75" x14ac:dyDescent="0.25">
      <c r="A222" s="27">
        <v>41395</v>
      </c>
      <c r="B222" s="16">
        <v>0.17</v>
      </c>
      <c r="C222" s="13">
        <f>[2]monthly!$G321</f>
        <v>86.896515561900003</v>
      </c>
    </row>
    <row r="223" spans="1:3" ht="15.75" x14ac:dyDescent="0.25">
      <c r="A223" s="27">
        <v>41426</v>
      </c>
      <c r="B223" s="15">
        <v>0.18</v>
      </c>
      <c r="C223" s="13">
        <f>[2]monthly!$G322</f>
        <v>87.584804793999993</v>
      </c>
    </row>
    <row r="224" spans="1:3" ht="15.75" x14ac:dyDescent="0.25">
      <c r="A224" s="27">
        <v>41456</v>
      </c>
      <c r="B224" s="16">
        <v>0.18</v>
      </c>
      <c r="C224" s="13">
        <f>[2]monthly!$G323</f>
        <v>87.842913256100005</v>
      </c>
    </row>
    <row r="225" spans="1:3" ht="15.75" x14ac:dyDescent="0.25">
      <c r="A225" s="27">
        <v>41487</v>
      </c>
      <c r="B225" s="16">
        <v>0.18</v>
      </c>
      <c r="C225" s="13">
        <f>[2]monthly!$G324</f>
        <v>88.014985564100002</v>
      </c>
    </row>
    <row r="226" spans="1:3" ht="15.75" x14ac:dyDescent="0.25">
      <c r="A226" s="27">
        <v>41518</v>
      </c>
      <c r="B226" s="16">
        <v>0.18</v>
      </c>
      <c r="C226" s="13">
        <f>[2]monthly!$G325</f>
        <v>88.014985564100002</v>
      </c>
    </row>
    <row r="227" spans="1:3" ht="15.75" x14ac:dyDescent="0.25">
      <c r="A227" s="27">
        <v>41548</v>
      </c>
      <c r="B227" s="16">
        <v>0.18</v>
      </c>
      <c r="C227" s="13">
        <f>[2]monthly!$G326</f>
        <v>88.273094026199999</v>
      </c>
    </row>
    <row r="228" spans="1:3" ht="15.75" x14ac:dyDescent="0.25">
      <c r="A228" s="27">
        <v>41579</v>
      </c>
      <c r="B228" s="16">
        <v>0.18</v>
      </c>
      <c r="C228" s="13">
        <f>[2]monthly!$G327</f>
        <v>87.928949410100003</v>
      </c>
    </row>
    <row r="229" spans="1:3" ht="15.75" x14ac:dyDescent="0.25">
      <c r="A229" s="27">
        <v>41609</v>
      </c>
      <c r="B229" s="16">
        <v>0.18</v>
      </c>
      <c r="C229" s="13">
        <f>[2]monthly!$G328</f>
        <v>88.014985564100002</v>
      </c>
    </row>
    <row r="230" spans="1:3" ht="15.75" x14ac:dyDescent="0.25">
      <c r="A230" s="27">
        <v>41640</v>
      </c>
      <c r="B230" s="16">
        <v>0.18</v>
      </c>
      <c r="C230" s="13">
        <f>[2]monthly!$G329</f>
        <v>87.498768639999994</v>
      </c>
    </row>
    <row r="231" spans="1:3" ht="15.75" x14ac:dyDescent="0.25">
      <c r="A231" s="27">
        <v>41671</v>
      </c>
      <c r="B231" s="16">
        <v>0.18</v>
      </c>
      <c r="C231" s="13">
        <f>[2]monthly!$G330</f>
        <v>87.326696331999997</v>
      </c>
    </row>
    <row r="232" spans="1:3" ht="15.75" x14ac:dyDescent="0.25">
      <c r="A232" s="27">
        <v>41699</v>
      </c>
      <c r="B232" s="16">
        <v>0.18</v>
      </c>
      <c r="C232" s="13">
        <f>[2]monthly!$G331</f>
        <v>87.584804793999993</v>
      </c>
    </row>
    <row r="233" spans="1:3" ht="15.75" x14ac:dyDescent="0.25">
      <c r="A233" s="27">
        <v>41730</v>
      </c>
      <c r="B233" s="16">
        <v>0.18</v>
      </c>
      <c r="C233" s="13">
        <f>[2]monthly!$G332</f>
        <v>87.670840948000006</v>
      </c>
    </row>
    <row r="234" spans="1:3" ht="15.75" x14ac:dyDescent="0.25">
      <c r="A234" s="27">
        <v>41760</v>
      </c>
      <c r="B234" s="16">
        <v>0.18</v>
      </c>
      <c r="C234" s="13">
        <f>[2]monthly!$G333</f>
        <v>87.756877102100006</v>
      </c>
    </row>
    <row r="235" spans="1:3" ht="15.75" x14ac:dyDescent="0.25">
      <c r="A235" s="27">
        <v>41791</v>
      </c>
      <c r="B235" s="16">
        <v>0.18</v>
      </c>
      <c r="C235" s="13">
        <f>[2]monthly!$G334</f>
        <v>88.014985564100002</v>
      </c>
    </row>
    <row r="236" spans="1:3" ht="15.75" x14ac:dyDescent="0.25">
      <c r="A236" s="27">
        <v>41821</v>
      </c>
      <c r="B236" s="16">
        <v>0.18</v>
      </c>
      <c r="C236" s="13">
        <f>[2]monthly!$G335</f>
        <v>88.101021718200002</v>
      </c>
    </row>
    <row r="237" spans="1:3" ht="15.75" x14ac:dyDescent="0.25">
      <c r="A237" s="27">
        <v>41852</v>
      </c>
      <c r="B237" s="16">
        <v>0.18</v>
      </c>
      <c r="C237" s="13">
        <f>[2]monthly!$G336</f>
        <v>88.014985564100002</v>
      </c>
    </row>
    <row r="238" spans="1:3" ht="15.75" x14ac:dyDescent="0.25">
      <c r="A238" s="27">
        <v>41883</v>
      </c>
      <c r="B238" s="16">
        <v>0.18</v>
      </c>
      <c r="C238" s="13">
        <f>[2]monthly!$G337</f>
        <v>87.756877102100006</v>
      </c>
    </row>
    <row r="239" spans="1:3" ht="15.75" x14ac:dyDescent="0.25">
      <c r="A239" s="27">
        <v>41913</v>
      </c>
      <c r="B239" s="16">
        <v>0.18</v>
      </c>
      <c r="C239" s="13">
        <f>[2]monthly!$G338</f>
        <v>88.014985564100002</v>
      </c>
    </row>
    <row r="240" spans="1:3" ht="15.75" x14ac:dyDescent="0.25">
      <c r="A240" s="27">
        <v>41944</v>
      </c>
      <c r="B240" s="16">
        <v>0.18</v>
      </c>
      <c r="C240" s="13">
        <f>[2]monthly!$G339</f>
        <v>87.842913256100005</v>
      </c>
    </row>
    <row r="241" spans="1:3" ht="15.75" x14ac:dyDescent="0.25">
      <c r="A241" s="27">
        <v>41974</v>
      </c>
      <c r="B241" s="16">
        <v>0.18</v>
      </c>
      <c r="C241" s="13">
        <f>[2]monthly!$G340</f>
        <v>87.842913256100005</v>
      </c>
    </row>
    <row r="242" spans="1:3" ht="15.75" x14ac:dyDescent="0.25">
      <c r="A242" s="27">
        <v>42005</v>
      </c>
      <c r="B242" s="16">
        <v>0.18</v>
      </c>
      <c r="C242" s="13">
        <f>[2]monthly!$G341</f>
        <v>87.054822085200001</v>
      </c>
    </row>
    <row r="243" spans="1:3" ht="15.75" x14ac:dyDescent="0.25">
      <c r="A243" s="27">
        <v>42036</v>
      </c>
      <c r="B243" s="16">
        <v>0.18</v>
      </c>
      <c r="C243" s="13">
        <f>[2]monthly!$G342</f>
        <v>86.440523945500004</v>
      </c>
    </row>
    <row r="244" spans="1:3" ht="15.75" x14ac:dyDescent="0.25">
      <c r="A244" s="27">
        <v>42064</v>
      </c>
      <c r="B244" s="16">
        <v>0.18</v>
      </c>
      <c r="C244" s="13">
        <f>[2]monthly!$G343</f>
        <v>86.703794576799993</v>
      </c>
    </row>
    <row r="245" spans="1:3" ht="15.75" x14ac:dyDescent="0.25">
      <c r="A245" s="27">
        <v>42095</v>
      </c>
      <c r="B245" s="16">
        <v>0.18</v>
      </c>
      <c r="C245" s="13">
        <f>[2]monthly!$G344</f>
        <v>87.2303358395</v>
      </c>
    </row>
    <row r="246" spans="1:3" ht="15.75" x14ac:dyDescent="0.25">
      <c r="A246" s="27">
        <v>42125</v>
      </c>
      <c r="B246" s="16">
        <v>0.18</v>
      </c>
      <c r="C246" s="13">
        <f>[2]monthly!$G345</f>
        <v>87.405849593699998</v>
      </c>
    </row>
    <row r="247" spans="1:3" ht="15.75" x14ac:dyDescent="0.25">
      <c r="A247" s="27">
        <v>42156</v>
      </c>
      <c r="B247" s="16">
        <v>0.18</v>
      </c>
      <c r="C247" s="13">
        <f>[2]monthly!$G346</f>
        <v>87.669120225</v>
      </c>
    </row>
    <row r="248" spans="1:3" ht="15.75" x14ac:dyDescent="0.25">
      <c r="A248" s="27">
        <v>42186</v>
      </c>
      <c r="B248" s="16">
        <v>0.18</v>
      </c>
      <c r="C248" s="13">
        <f>[2]monthly!$G347</f>
        <v>87.844633979199997</v>
      </c>
    </row>
    <row r="249" spans="1:3" ht="15.75" x14ac:dyDescent="0.25">
      <c r="A249" s="27">
        <v>42217</v>
      </c>
      <c r="B249" s="16">
        <v>0.18</v>
      </c>
      <c r="C249" s="13">
        <f>[2]monthly!$G348</f>
        <v>87.669120225</v>
      </c>
    </row>
    <row r="250" spans="1:3" ht="15.75" x14ac:dyDescent="0.25">
      <c r="A250" s="27">
        <v>42248</v>
      </c>
      <c r="B250" s="16">
        <v>0.18</v>
      </c>
      <c r="C250" s="13">
        <f>[2]monthly!$G349</f>
        <v>87.318092716600006</v>
      </c>
    </row>
    <row r="251" spans="1:3" ht="15.75" x14ac:dyDescent="0.25">
      <c r="A251" s="27">
        <v>42278</v>
      </c>
      <c r="B251" s="15">
        <v>0.17</v>
      </c>
      <c r="C251" s="13">
        <f>[2]monthly!$G350</f>
        <v>87.405849593699998</v>
      </c>
    </row>
    <row r="252" spans="1:3" ht="15.75" x14ac:dyDescent="0.25">
      <c r="A252" s="27">
        <v>42309</v>
      </c>
      <c r="B252" s="16">
        <v>0.17</v>
      </c>
      <c r="C252" s="13">
        <f>[2]monthly!$G351</f>
        <v>87.054822085200001</v>
      </c>
    </row>
    <row r="253" spans="1:3" ht="15.75" x14ac:dyDescent="0.25">
      <c r="A253" s="27">
        <v>42339</v>
      </c>
      <c r="B253" s="16">
        <v>0.17</v>
      </c>
      <c r="C253" s="13">
        <f>[2]monthly!$G352</f>
        <v>86.967065208099996</v>
      </c>
    </row>
    <row r="254" spans="1:3" ht="15.75" x14ac:dyDescent="0.25">
      <c r="A254" s="27">
        <v>42370</v>
      </c>
      <c r="B254" s="16">
        <v>0.17</v>
      </c>
      <c r="C254" s="13">
        <f>[2]monthly!$G353</f>
        <v>86.528280822599996</v>
      </c>
    </row>
    <row r="255" spans="1:3" ht="15.75" x14ac:dyDescent="0.25">
      <c r="A255" s="27">
        <v>42401</v>
      </c>
      <c r="B255" s="16">
        <v>0.17</v>
      </c>
      <c r="C255" s="13">
        <f>[2]monthly!$G354</f>
        <v>86.265010191299993</v>
      </c>
    </row>
    <row r="256" spans="1:3" ht="15.75" x14ac:dyDescent="0.25">
      <c r="A256" s="27">
        <v>42430</v>
      </c>
      <c r="B256" s="16">
        <v>0.17</v>
      </c>
      <c r="C256" s="13">
        <f>[2]monthly!$G355</f>
        <v>86.089496437099996</v>
      </c>
    </row>
    <row r="257" spans="1:3" ht="15.75" x14ac:dyDescent="0.25">
      <c r="A257" s="27">
        <v>42461</v>
      </c>
      <c r="B257" s="16">
        <v>0.17</v>
      </c>
      <c r="C257" s="13">
        <f>[2]monthly!$G356</f>
        <v>86.440523945500004</v>
      </c>
    </row>
    <row r="258" spans="1:3" ht="15.75" x14ac:dyDescent="0.25">
      <c r="A258" s="27">
        <v>42491</v>
      </c>
      <c r="B258" s="16">
        <v>0.17</v>
      </c>
      <c r="C258" s="13">
        <f>[2]monthly!$G357</f>
        <v>86.703794576799993</v>
      </c>
    </row>
    <row r="259" spans="1:3" ht="15.75" x14ac:dyDescent="0.25">
      <c r="A259" s="27">
        <v>42522</v>
      </c>
      <c r="B259" s="16">
        <v>0.17</v>
      </c>
      <c r="C259" s="13">
        <f>[2]monthly!$G358</f>
        <v>86.967065208099996</v>
      </c>
    </row>
    <row r="260" spans="1:3" ht="15.75" x14ac:dyDescent="0.25">
      <c r="A260" s="27">
        <v>42552</v>
      </c>
      <c r="B260" s="16">
        <v>0.17</v>
      </c>
      <c r="C260" s="13">
        <f>[2]monthly!$G359</f>
        <v>87.318092716600006</v>
      </c>
    </row>
    <row r="261" spans="1:3" ht="15.75" x14ac:dyDescent="0.25">
      <c r="A261" s="27">
        <v>42583</v>
      </c>
      <c r="B261" s="16">
        <v>0.17</v>
      </c>
      <c r="C261" s="13">
        <f>[2]monthly!$G360</f>
        <v>87.054822085200001</v>
      </c>
    </row>
    <row r="262" spans="1:3" ht="15.75" x14ac:dyDescent="0.25">
      <c r="A262" s="27">
        <v>42614</v>
      </c>
      <c r="B262" s="16">
        <v>0.17</v>
      </c>
      <c r="C262" s="13">
        <f>[2]monthly!$G361</f>
        <v>86.967065208099996</v>
      </c>
    </row>
    <row r="263" spans="1:3" ht="15.75" x14ac:dyDescent="0.25">
      <c r="A263" s="27">
        <v>42644</v>
      </c>
      <c r="B263" s="16">
        <v>0.17</v>
      </c>
      <c r="C263" s="13">
        <f>[2]monthly!$G362</f>
        <v>87.142578962399995</v>
      </c>
    </row>
    <row r="264" spans="1:3" ht="15.75" x14ac:dyDescent="0.25">
      <c r="A264" s="27">
        <v>42675</v>
      </c>
      <c r="B264" s="16">
        <v>0.17</v>
      </c>
      <c r="C264" s="13">
        <f>[2]monthly!$G363</f>
        <v>86.791551453899999</v>
      </c>
    </row>
    <row r="265" spans="1:3" ht="15.75" x14ac:dyDescent="0.25">
      <c r="A265" s="27">
        <v>42705</v>
      </c>
      <c r="B265" s="16">
        <v>0.17</v>
      </c>
      <c r="C265" s="13">
        <f>[2]monthly!$G364</f>
        <v>86.791551453899999</v>
      </c>
    </row>
    <row r="266" spans="1:3" ht="15.75" x14ac:dyDescent="0.25">
      <c r="A266" s="27">
        <v>42736</v>
      </c>
      <c r="B266" s="16">
        <v>0.17</v>
      </c>
      <c r="C266" s="13">
        <f>[2]monthly!$G365</f>
        <v>86.617968351000002</v>
      </c>
    </row>
    <row r="267" spans="1:3" ht="15.75" x14ac:dyDescent="0.25">
      <c r="A267" s="27">
        <v>42767</v>
      </c>
      <c r="B267" s="16">
        <v>0.17</v>
      </c>
      <c r="C267" s="13">
        <f>[2]monthly!$G366</f>
        <v>86.617968351000002</v>
      </c>
    </row>
    <row r="268" spans="1:3" ht="15.75" x14ac:dyDescent="0.25">
      <c r="A268" s="27">
        <v>42795</v>
      </c>
      <c r="B268" s="16">
        <v>0.17</v>
      </c>
      <c r="C268" s="13">
        <f>[2]monthly!$G367</f>
        <v>86.878343005399998</v>
      </c>
    </row>
    <row r="269" spans="1:3" ht="15.75" x14ac:dyDescent="0.25">
      <c r="A269" s="27">
        <v>42826</v>
      </c>
      <c r="B269" s="16">
        <v>0.17</v>
      </c>
      <c r="C269" s="13">
        <f>[2]monthly!$G368</f>
        <v>87.051926108299995</v>
      </c>
    </row>
    <row r="270" spans="1:3" ht="15.75" x14ac:dyDescent="0.25">
      <c r="A270" s="27">
        <v>42856</v>
      </c>
      <c r="B270" s="16">
        <v>0.17</v>
      </c>
      <c r="C270" s="13">
        <f>[2]monthly!$G369</f>
        <v>87.399092314100002</v>
      </c>
    </row>
    <row r="271" spans="1:3" ht="15.75" x14ac:dyDescent="0.25">
      <c r="A271" s="27">
        <v>42887</v>
      </c>
      <c r="B271" s="16">
        <v>0.17</v>
      </c>
      <c r="C271" s="13">
        <f>[2]monthly!$G370</f>
        <v>86.791551453899999</v>
      </c>
    </row>
    <row r="272" spans="1:3" ht="15.75" x14ac:dyDescent="0.25">
      <c r="A272" s="27">
        <v>42917</v>
      </c>
      <c r="B272" s="16">
        <v>0.17</v>
      </c>
      <c r="C272" s="13">
        <f>[2]monthly!$G371</f>
        <v>86.704759902500001</v>
      </c>
    </row>
    <row r="273" spans="1:3" ht="15.75" x14ac:dyDescent="0.25">
      <c r="A273" s="27">
        <v>42948</v>
      </c>
      <c r="B273" s="16">
        <v>0.17</v>
      </c>
      <c r="C273" s="13">
        <f>[2]monthly!$G372</f>
        <v>86.965134556899997</v>
      </c>
    </row>
    <row r="274" spans="1:3" ht="15.75" x14ac:dyDescent="0.25">
      <c r="A274" s="27">
        <v>42979</v>
      </c>
      <c r="B274" s="16">
        <v>0.17</v>
      </c>
      <c r="C274" s="13">
        <f>[2]monthly!$G373</f>
        <v>87.051926108299995</v>
      </c>
    </row>
    <row r="275" spans="1:3" ht="15.75" x14ac:dyDescent="0.25">
      <c r="A275" s="27">
        <v>43009</v>
      </c>
      <c r="B275" s="16">
        <v>0.17</v>
      </c>
      <c r="C275" s="13">
        <f>[2]monthly!$G374</f>
        <v>87.312300762700005</v>
      </c>
    </row>
    <row r="276" spans="1:3" ht="15.75" x14ac:dyDescent="0.25">
      <c r="A276" s="27">
        <v>43040</v>
      </c>
      <c r="B276" s="16">
        <v>0.17</v>
      </c>
      <c r="C276" s="13">
        <f>[2]monthly!$G375</f>
        <v>87.051926108299995</v>
      </c>
    </row>
    <row r="277" spans="1:3" ht="15.75" x14ac:dyDescent="0.25">
      <c r="A277" s="27">
        <v>43070</v>
      </c>
      <c r="B277" s="16">
        <v>0.17</v>
      </c>
      <c r="C277" s="13">
        <f>[2]monthly!$G376</f>
        <v>87.138717659799994</v>
      </c>
    </row>
    <row r="278" spans="1:3" ht="15.75" x14ac:dyDescent="0.25">
      <c r="A278" s="27">
        <v>43101</v>
      </c>
      <c r="B278" s="16">
        <v>0.17</v>
      </c>
      <c r="C278" s="13">
        <f>[2]monthly!$G377</f>
        <v>86.704759902500001</v>
      </c>
    </row>
    <row r="279" spans="1:3" ht="15.75" x14ac:dyDescent="0.25">
      <c r="A279" s="27">
        <v>43132</v>
      </c>
      <c r="B279" s="16">
        <v>0.17</v>
      </c>
      <c r="C279" s="13">
        <f>[2]monthly!$G378</f>
        <v>86.791551453899999</v>
      </c>
    </row>
    <row r="280" spans="1:3" ht="15.75" x14ac:dyDescent="0.25">
      <c r="A280" s="27">
        <v>43160</v>
      </c>
      <c r="B280" s="16">
        <v>0.17</v>
      </c>
      <c r="C280" s="13">
        <f>[2]monthly!$G379</f>
        <v>87.051926108299995</v>
      </c>
    </row>
    <row r="281" spans="1:3" ht="15.75" x14ac:dyDescent="0.25">
      <c r="A281" s="27">
        <v>43191</v>
      </c>
      <c r="B281" s="16">
        <v>0.17</v>
      </c>
      <c r="C281" s="13">
        <f>[2]monthly!$G380</f>
        <v>87.399092314100002</v>
      </c>
    </row>
    <row r="282" spans="1:3" ht="15.75" x14ac:dyDescent="0.25">
      <c r="A282" s="27">
        <v>43221</v>
      </c>
      <c r="B282" s="16">
        <v>0.17</v>
      </c>
      <c r="C282" s="13">
        <f>[2]monthly!$G381</f>
        <v>87.833050071399995</v>
      </c>
    </row>
    <row r="283" spans="1:3" ht="15.75" x14ac:dyDescent="0.25">
      <c r="A283" s="27">
        <v>43252</v>
      </c>
      <c r="B283" s="16">
        <v>0.17</v>
      </c>
      <c r="C283" s="13">
        <f>[2]monthly!$G382</f>
        <v>87.919841622800007</v>
      </c>
    </row>
    <row r="284" spans="1:3" ht="15.75" x14ac:dyDescent="0.25">
      <c r="A284" s="27">
        <v>43282</v>
      </c>
      <c r="B284" s="16">
        <v>0.17</v>
      </c>
      <c r="C284" s="13">
        <f>[2]monthly!$G383</f>
        <v>87.919841622800007</v>
      </c>
    </row>
    <row r="285" spans="1:3" ht="15.75" x14ac:dyDescent="0.25">
      <c r="A285" s="27">
        <v>43313</v>
      </c>
      <c r="B285" s="16">
        <v>0.17</v>
      </c>
      <c r="C285" s="13">
        <f>[2]monthly!$G384</f>
        <v>88.006633174300006</v>
      </c>
    </row>
    <row r="286" spans="1:3" ht="15.75" x14ac:dyDescent="0.25">
      <c r="A286" s="27">
        <v>43344</v>
      </c>
      <c r="B286" s="16">
        <v>0.17</v>
      </c>
      <c r="C286" s="13">
        <f>[2]monthly!$G385</f>
        <v>88.093424725800006</v>
      </c>
    </row>
    <row r="287" spans="1:3" ht="15.75" x14ac:dyDescent="0.25">
      <c r="A287" s="27">
        <v>43374</v>
      </c>
      <c r="B287" s="16">
        <v>0.17</v>
      </c>
      <c r="C287" s="13">
        <f>[2]monthly!$G386</f>
        <v>88.3537993801</v>
      </c>
    </row>
    <row r="288" spans="1:3" ht="15.75" x14ac:dyDescent="0.25">
      <c r="A288" s="27">
        <v>43405</v>
      </c>
      <c r="B288" s="16">
        <v>0.17</v>
      </c>
      <c r="C288" s="13">
        <f>[2]monthly!$G387</f>
        <v>88.093424725800006</v>
      </c>
    </row>
    <row r="289" spans="1:3" ht="15.75" x14ac:dyDescent="0.25">
      <c r="A289" s="27">
        <v>43435</v>
      </c>
      <c r="B289" s="16">
        <v>0.17</v>
      </c>
      <c r="C289" s="13">
        <f>[2]monthly!$G388</f>
        <v>87.833050071399995</v>
      </c>
    </row>
    <row r="290" spans="1:3" ht="15.75" x14ac:dyDescent="0.25">
      <c r="A290" s="27">
        <v>43466</v>
      </c>
      <c r="B290" s="16">
        <v>0.17</v>
      </c>
      <c r="C290" s="13">
        <f>[2]monthly!$G389</f>
        <v>87.747126435499993</v>
      </c>
    </row>
    <row r="291" spans="1:3" ht="15.75" x14ac:dyDescent="0.25">
      <c r="A291" s="27">
        <v>43497</v>
      </c>
      <c r="B291" s="16">
        <v>0.17</v>
      </c>
      <c r="C291" s="13">
        <f>[2]monthly!$G390</f>
        <v>87.8347859024</v>
      </c>
    </row>
    <row r="292" spans="1:3" ht="15.75" x14ac:dyDescent="0.25">
      <c r="A292" s="27">
        <v>43525</v>
      </c>
      <c r="B292" s="16">
        <v>0.17</v>
      </c>
      <c r="C292" s="13">
        <f>[2]monthly!$G391</f>
        <v>88.2730832373</v>
      </c>
    </row>
    <row r="293" spans="1:3" ht="15.75" x14ac:dyDescent="0.25">
      <c r="A293" s="27">
        <v>43556</v>
      </c>
      <c r="B293" s="16">
        <v>0.17</v>
      </c>
      <c r="C293" s="13">
        <f>[2]monthly!$G392</f>
        <v>88.536061638199996</v>
      </c>
    </row>
    <row r="294" spans="1:3" ht="15.75" x14ac:dyDescent="0.25">
      <c r="A294" s="27">
        <v>43586</v>
      </c>
      <c r="B294" s="16">
        <v>0.17</v>
      </c>
      <c r="C294" s="13">
        <f>[2]monthly!$G393</f>
        <v>89.149677906899996</v>
      </c>
    </row>
    <row r="295" spans="1:3" ht="15.75" x14ac:dyDescent="0.25">
      <c r="A295" s="27">
        <v>43617</v>
      </c>
      <c r="B295" s="16">
        <v>0.17</v>
      </c>
      <c r="C295" s="13">
        <f>[2]monthly!$G394</f>
        <v>88.623721105100003</v>
      </c>
    </row>
    <row r="296" spans="1:3" ht="15.75" x14ac:dyDescent="0.25">
      <c r="A296" s="27">
        <v>43647</v>
      </c>
      <c r="B296" s="16">
        <v>0.17</v>
      </c>
      <c r="C296" s="13">
        <f>[2]monthly!$G395</f>
        <v>88.360742704200007</v>
      </c>
    </row>
    <row r="297" spans="1:3" ht="15.75" x14ac:dyDescent="0.25">
      <c r="A297" s="27">
        <v>43678</v>
      </c>
      <c r="B297" s="16">
        <v>0.17</v>
      </c>
      <c r="C297" s="13">
        <f>[2]monthly!$G396</f>
        <v>88.536061638199996</v>
      </c>
    </row>
    <row r="298" spans="1:3" ht="15.75" x14ac:dyDescent="0.25">
      <c r="A298" s="27">
        <v>43709</v>
      </c>
      <c r="B298" s="16">
        <v>0.17</v>
      </c>
      <c r="C298" s="13">
        <f>[2]monthly!$G397</f>
        <v>88.360742704200007</v>
      </c>
    </row>
    <row r="299" spans="1:3" ht="15.75" x14ac:dyDescent="0.25">
      <c r="A299" s="27">
        <v>43739</v>
      </c>
      <c r="B299" s="16">
        <v>0.17</v>
      </c>
      <c r="C299" s="13">
        <f>[2]monthly!$G398</f>
        <v>88.711380572099998</v>
      </c>
    </row>
    <row r="300" spans="1:3" ht="15.75" x14ac:dyDescent="0.25">
      <c r="A300" s="27">
        <v>43770</v>
      </c>
      <c r="B300" s="16">
        <v>0.17</v>
      </c>
      <c r="C300" s="13">
        <f>[2]monthly!$G399</f>
        <v>88.360742704200007</v>
      </c>
    </row>
    <row r="301" spans="1:3" ht="15.75" x14ac:dyDescent="0.25">
      <c r="A301" s="27">
        <v>43800</v>
      </c>
      <c r="B301" s="16">
        <v>0.17</v>
      </c>
      <c r="C301" s="13">
        <f>[2]monthly!$G400</f>
        <v>88.360742704200007</v>
      </c>
    </row>
    <row r="302" spans="1:3" ht="15.75" x14ac:dyDescent="0.25">
      <c r="A302" s="27">
        <v>43831</v>
      </c>
      <c r="B302" s="16">
        <v>0.17</v>
      </c>
      <c r="C302" s="13">
        <f>[2]monthly!$G401</f>
        <v>88.010104836400004</v>
      </c>
    </row>
    <row r="303" spans="1:3" ht="15.75" x14ac:dyDescent="0.25">
      <c r="A303" s="27">
        <v>43862</v>
      </c>
      <c r="B303" s="16">
        <v>0.17</v>
      </c>
      <c r="C303" s="13">
        <f>[2]monthly!$G402</f>
        <v>87.922445369399995</v>
      </c>
    </row>
    <row r="304" spans="1:3" ht="15.75" x14ac:dyDescent="0.25">
      <c r="A304" s="27">
        <v>43891</v>
      </c>
      <c r="B304" s="16">
        <v>0.17</v>
      </c>
      <c r="C304" s="13">
        <f>[2]monthly!$G403</f>
        <v>88.2730832373</v>
      </c>
    </row>
    <row r="305" spans="1:3" ht="15.75" x14ac:dyDescent="0.25">
      <c r="A305" s="27">
        <v>43922</v>
      </c>
      <c r="B305" s="16">
        <v>0.17</v>
      </c>
      <c r="C305" s="13">
        <f>[2]monthly!$G404</f>
        <v>88.010104836400004</v>
      </c>
    </row>
    <row r="306" spans="1:3" ht="15.75" x14ac:dyDescent="0.25">
      <c r="A306" s="27">
        <v>43952</v>
      </c>
      <c r="B306" s="16">
        <v>0.17</v>
      </c>
      <c r="C306" s="13">
        <f>[2]monthly!$G405</f>
        <v>87.747126435499993</v>
      </c>
    </row>
    <row r="307" spans="1:3" ht="15.75" x14ac:dyDescent="0.25">
      <c r="A307" s="27">
        <v>43983</v>
      </c>
      <c r="B307" s="16">
        <v>0.17</v>
      </c>
      <c r="C307" s="13">
        <f>[2]monthly!$G406</f>
        <v>87.659466968499999</v>
      </c>
    </row>
    <row r="308" spans="1:3" ht="15.75" x14ac:dyDescent="0.25">
      <c r="A308" s="27">
        <v>44013</v>
      </c>
      <c r="B308" s="16">
        <v>0.17</v>
      </c>
      <c r="C308" s="13">
        <f>[2]monthly!$G407</f>
        <v>87.8347859024</v>
      </c>
    </row>
    <row r="309" spans="1:3" ht="15.75" x14ac:dyDescent="0.25">
      <c r="A309" s="27">
        <v>44044</v>
      </c>
      <c r="B309" s="16">
        <v>0.17</v>
      </c>
      <c r="C309" s="13">
        <f>[2]monthly!$G408</f>
        <v>87.8347859024</v>
      </c>
    </row>
    <row r="310" spans="1:3" ht="15.75" x14ac:dyDescent="0.25">
      <c r="A310" s="27">
        <v>44075</v>
      </c>
      <c r="B310" s="16">
        <v>0.17</v>
      </c>
      <c r="C310" s="13">
        <f>[2]monthly!$G409</f>
        <v>87.747126435499993</v>
      </c>
    </row>
    <row r="311" spans="1:3" ht="15.75" x14ac:dyDescent="0.25">
      <c r="A311" s="27">
        <v>44105</v>
      </c>
      <c r="B311" s="16">
        <v>0.17</v>
      </c>
      <c r="C311" s="13">
        <f>[2]monthly!$G410</f>
        <v>88.010104836400004</v>
      </c>
    </row>
    <row r="312" spans="1:3" ht="15.75" x14ac:dyDescent="0.25">
      <c r="A312" s="27">
        <v>44136</v>
      </c>
      <c r="B312" s="16">
        <v>0.17</v>
      </c>
      <c r="C312" s="13">
        <f>[2]monthly!$G411</f>
        <v>87.8347859024</v>
      </c>
    </row>
    <row r="313" spans="1:3" ht="15.75" x14ac:dyDescent="0.25">
      <c r="A313" s="27">
        <v>44166</v>
      </c>
      <c r="B313" s="16">
        <v>0.17</v>
      </c>
      <c r="C313" s="13">
        <f>[2]monthly!$G412</f>
        <v>87.747126435499993</v>
      </c>
    </row>
    <row r="314" spans="1:3" ht="15.75" x14ac:dyDescent="0.25">
      <c r="A314" s="27">
        <v>44197</v>
      </c>
      <c r="B314" s="16">
        <v>0.17</v>
      </c>
      <c r="C314" s="13">
        <f>[2]monthly!$G413</f>
        <v>87.658678033300006</v>
      </c>
    </row>
    <row r="315" spans="1:3" ht="15.75" x14ac:dyDescent="0.25">
      <c r="A315" s="27">
        <v>44228</v>
      </c>
      <c r="B315" s="16">
        <v>0.17</v>
      </c>
      <c r="C315" s="13">
        <f>[2]monthly!$G414</f>
        <v>87.922445369399995</v>
      </c>
    </row>
    <row r="316" spans="1:3" ht="15.75" x14ac:dyDescent="0.25">
      <c r="A316" s="27">
        <v>44256</v>
      </c>
      <c r="B316" s="16">
        <v>0.17</v>
      </c>
      <c r="C316" s="13">
        <f>[2]monthly!$G415</f>
        <v>88.4499800416</v>
      </c>
    </row>
    <row r="317" spans="1:3" ht="15.75" x14ac:dyDescent="0.25">
      <c r="A317" s="27">
        <v>44287</v>
      </c>
      <c r="B317" s="16">
        <v>0.17</v>
      </c>
      <c r="C317" s="13">
        <f>[2]monthly!$G416</f>
        <v>88.713747377700003</v>
      </c>
    </row>
    <row r="318" spans="1:3" ht="15.75" x14ac:dyDescent="0.25">
      <c r="A318" s="27">
        <v>44317</v>
      </c>
      <c r="B318" s="16">
        <v>0.17</v>
      </c>
      <c r="C318" s="13">
        <f>[2]monthly!$G417</f>
        <v>89.065437159200002</v>
      </c>
    </row>
    <row r="319" spans="1:3" ht="15.75" x14ac:dyDescent="0.25">
      <c r="A319" s="27">
        <v>44348</v>
      </c>
      <c r="B319" s="16">
        <v>0.17</v>
      </c>
      <c r="C319" s="13">
        <f>[2]monthly!$G418</f>
        <v>89.153359604599999</v>
      </c>
    </row>
    <row r="320" spans="1:3" ht="15.75" x14ac:dyDescent="0.25">
      <c r="A320" s="27">
        <v>44378</v>
      </c>
      <c r="B320" s="16">
        <v>0.17</v>
      </c>
      <c r="C320" s="13">
        <f>[2]monthly!$G419</f>
        <v>89.505049385999996</v>
      </c>
    </row>
    <row r="321" spans="1:3" ht="15.75" x14ac:dyDescent="0.25">
      <c r="A321" s="27">
        <v>44409</v>
      </c>
      <c r="B321" s="16">
        <v>0.17</v>
      </c>
      <c r="C321" s="13">
        <f>[2]monthly!$G420</f>
        <v>89.768816722099999</v>
      </c>
    </row>
    <row r="322" spans="1:3" ht="15.75" x14ac:dyDescent="0.25">
      <c r="A322" s="27">
        <v>44440</v>
      </c>
      <c r="B322" s="16">
        <v>0.17</v>
      </c>
      <c r="C322" s="13">
        <f>[2]monthly!$G421</f>
        <v>89.944661612900006</v>
      </c>
    </row>
    <row r="323" spans="1:3" ht="15.75" x14ac:dyDescent="0.25">
      <c r="A323" s="27">
        <v>44470</v>
      </c>
      <c r="B323" s="16">
        <v>0.17</v>
      </c>
      <c r="C323" s="13">
        <f>[2]monthly!$G422</f>
        <v>90.032584058300003</v>
      </c>
    </row>
    <row r="324" spans="1:3" ht="15.75" x14ac:dyDescent="0.25">
      <c r="A324" s="27">
        <v>44501</v>
      </c>
      <c r="B324" s="16">
        <v>0.17</v>
      </c>
      <c r="C324" s="13">
        <f>[2]monthly!$G423</f>
        <v>89.944661612900006</v>
      </c>
    </row>
    <row r="325" spans="1:3" ht="15.75" x14ac:dyDescent="0.25">
      <c r="A325" s="27">
        <v>44531</v>
      </c>
      <c r="B325" s="16">
        <v>0.17</v>
      </c>
      <c r="C325" s="13">
        <f>[2]monthly!$G424</f>
        <v>90.208428948999995</v>
      </c>
    </row>
    <row r="326" spans="1:3" ht="15.75" x14ac:dyDescent="0.25">
      <c r="A326" s="27">
        <v>44562</v>
      </c>
      <c r="B326" s="16">
        <v>0.17</v>
      </c>
      <c r="C326" s="13">
        <f>[2]monthly!$G425</f>
        <v>90.384273839700001</v>
      </c>
    </row>
    <row r="327" spans="1:3" ht="15.75" x14ac:dyDescent="0.25">
      <c r="A327" s="27">
        <v>44593</v>
      </c>
      <c r="B327" s="16">
        <v>0.17</v>
      </c>
      <c r="C327" s="13">
        <f>[2]monthly!$G426</f>
        <v>90.999730957300002</v>
      </c>
    </row>
    <row r="328" spans="1:3" ht="15.75" x14ac:dyDescent="0.25">
      <c r="A328" s="27">
        <v>44621</v>
      </c>
      <c r="B328" s="16">
        <v>0.17</v>
      </c>
      <c r="C328" s="13">
        <f>[2]monthly!$G427</f>
        <v>91.527265629499993</v>
      </c>
    </row>
    <row r="329" spans="1:3" ht="15.75" x14ac:dyDescent="0.25">
      <c r="A329" s="27">
        <v>44652</v>
      </c>
      <c r="B329" s="16">
        <v>0.17</v>
      </c>
      <c r="C329" s="13">
        <f>[2]monthly!$G428</f>
        <v>92.230645192500006</v>
      </c>
    </row>
    <row r="330" spans="1:3" ht="15.75" x14ac:dyDescent="0.25">
      <c r="A330" s="27">
        <v>44682</v>
      </c>
      <c r="B330" s="16">
        <v>0.17</v>
      </c>
      <c r="C330" s="13">
        <f>[2]monthly!$G429</f>
        <v>92.758179864699997</v>
      </c>
    </row>
    <row r="331" spans="1:3" ht="15.75" x14ac:dyDescent="0.25">
      <c r="A331" s="27">
        <v>44713</v>
      </c>
      <c r="B331" s="16">
        <v>0.17</v>
      </c>
      <c r="C331" s="13">
        <f>[2]monthly!$G430</f>
        <v>93.109869646199996</v>
      </c>
    </row>
    <row r="332" spans="1:3" ht="15.75" x14ac:dyDescent="0.25">
      <c r="A332" s="27">
        <v>44743</v>
      </c>
      <c r="B332" s="16">
        <v>0.17</v>
      </c>
      <c r="C332" s="13">
        <f>[2]monthly!$G431</f>
        <v>94.164938990600007</v>
      </c>
    </row>
    <row r="333" spans="1:3" ht="15.75" x14ac:dyDescent="0.25">
      <c r="A333" s="27">
        <v>44774</v>
      </c>
      <c r="B333" s="16">
        <v>0.17</v>
      </c>
      <c r="C333" s="13">
        <f>[2]monthly!$G432</f>
        <v>93.901171654500004</v>
      </c>
    </row>
    <row r="334" spans="1:3" ht="15.75" x14ac:dyDescent="0.25">
      <c r="A334" s="27">
        <v>44805</v>
      </c>
      <c r="B334" s="16">
        <v>0.17</v>
      </c>
      <c r="C334" s="13">
        <f>[2]monthly!$G433</f>
        <v>94.077016545199996</v>
      </c>
    </row>
    <row r="335" spans="1:3" ht="15.75" x14ac:dyDescent="0.25">
      <c r="A335" s="27">
        <v>44835</v>
      </c>
      <c r="B335" s="16">
        <v>0.17</v>
      </c>
      <c r="C335" s="13">
        <f>[2]monthly!$G434</f>
        <v>94.604551217500003</v>
      </c>
    </row>
    <row r="336" spans="1:3" ht="15.75" x14ac:dyDescent="0.25">
      <c r="A336" s="27">
        <v>44866</v>
      </c>
      <c r="B336" s="16">
        <v>0.17</v>
      </c>
      <c r="C336" s="13">
        <f>[2]monthly!$G435</f>
        <v>94.692473662799998</v>
      </c>
    </row>
    <row r="337" spans="1:3" ht="15.75" x14ac:dyDescent="0.25">
      <c r="A337" s="27">
        <v>44896</v>
      </c>
      <c r="B337" s="16">
        <v>0.17</v>
      </c>
      <c r="C337" s="13">
        <f>[2]monthly!$G436</f>
        <v>94.9562409989</v>
      </c>
    </row>
    <row r="338" spans="1:3" ht="15.75" x14ac:dyDescent="0.25">
      <c r="A338" s="27">
        <v>44927</v>
      </c>
      <c r="B338" s="16">
        <v>0.17</v>
      </c>
      <c r="C338" s="13">
        <f>[2]monthly!$G437</f>
        <v>95.251396647999997</v>
      </c>
    </row>
    <row r="339" spans="1:3" ht="15.75" x14ac:dyDescent="0.25">
      <c r="A339" s="27">
        <v>44958</v>
      </c>
      <c r="B339" s="16">
        <v>0.17</v>
      </c>
      <c r="C339" s="13">
        <f>[2]monthly!$G438</f>
        <v>95.716945996299998</v>
      </c>
    </row>
    <row r="340" spans="1:3" ht="15.75" x14ac:dyDescent="0.25">
      <c r="A340" s="27">
        <v>44986</v>
      </c>
      <c r="B340" s="16">
        <v>0.17</v>
      </c>
      <c r="C340" s="13">
        <f>[2]monthly!$G439</f>
        <v>96.089385474899998</v>
      </c>
    </row>
    <row r="341" spans="1:3" ht="15.75" x14ac:dyDescent="0.25">
      <c r="A341" s="27">
        <v>45017</v>
      </c>
      <c r="B341" s="16">
        <v>0.17</v>
      </c>
      <c r="C341" s="13">
        <f>[2]monthly!$G440</f>
        <v>96.834264431999998</v>
      </c>
    </row>
    <row r="342" spans="1:3" ht="15.75" x14ac:dyDescent="0.25">
      <c r="A342" s="27">
        <v>45047</v>
      </c>
      <c r="B342" s="16">
        <v>0.17</v>
      </c>
      <c r="C342" s="13">
        <f>[2]monthly!$G441</f>
        <v>97.020484171299998</v>
      </c>
    </row>
    <row r="343" spans="1:3" ht="15.75" x14ac:dyDescent="0.25">
      <c r="A343" s="27">
        <v>45078</v>
      </c>
      <c r="B343" s="16">
        <v>0.17</v>
      </c>
      <c r="C343" s="13">
        <f>[2]monthly!$G442</f>
        <v>97.020484171299998</v>
      </c>
    </row>
    <row r="344" spans="1:3" ht="15.75" x14ac:dyDescent="0.25">
      <c r="A344" s="27">
        <v>45108</v>
      </c>
      <c r="B344" s="16">
        <v>0.17</v>
      </c>
      <c r="C344" s="13">
        <f>[2]monthly!$G443</f>
        <v>97.299813780299999</v>
      </c>
    </row>
    <row r="345" spans="1:3" ht="15.75" x14ac:dyDescent="0.25">
      <c r="A345" s="27">
        <v>45139</v>
      </c>
      <c r="B345" s="16">
        <v>0.17</v>
      </c>
      <c r="C345" s="13">
        <f>[2]monthly!$G444</f>
        <v>97.765363128499999</v>
      </c>
    </row>
    <row r="346" spans="1:3" ht="15.75" x14ac:dyDescent="0.25">
      <c r="A346" s="27">
        <v>45170</v>
      </c>
      <c r="B346" s="16">
        <v>0.17</v>
      </c>
      <c r="C346" s="13">
        <f>[2]monthly!$G445</f>
        <v>97.672253258799998</v>
      </c>
    </row>
    <row r="347" spans="1:3" ht="15.75" x14ac:dyDescent="0.25">
      <c r="A347" s="27">
        <v>45200</v>
      </c>
      <c r="B347" s="16">
        <v>0.17</v>
      </c>
      <c r="C347" s="13">
        <f>[2]monthly!$G446</f>
        <v>98.137802607099999</v>
      </c>
    </row>
    <row r="348" spans="1:3" ht="15.75" x14ac:dyDescent="0.25">
      <c r="A348" s="27">
        <v>45231</v>
      </c>
      <c r="B348" s="16">
        <v>0.17</v>
      </c>
      <c r="C348" s="13">
        <f>[2]monthly!$G447</f>
        <v>97.858472998099998</v>
      </c>
    </row>
    <row r="349" spans="1:3" ht="15.75" x14ac:dyDescent="0.25">
      <c r="A349" s="27">
        <v>45261</v>
      </c>
      <c r="B349" s="16">
        <v>0.17</v>
      </c>
      <c r="C349" s="13">
        <f>[2]monthly!$G448</f>
        <v>97.765363128499999</v>
      </c>
    </row>
    <row r="350" spans="1:3" ht="15.75" x14ac:dyDescent="0.25">
      <c r="A350" s="27">
        <v>45292</v>
      </c>
      <c r="B350" s="16">
        <v>0.17</v>
      </c>
      <c r="C350" s="13">
        <f>[2]monthly!$G449</f>
        <v>97.765363128499999</v>
      </c>
    </row>
    <row r="351" spans="1:3" ht="15.75" x14ac:dyDescent="0.25">
      <c r="A351" s="27">
        <v>45323</v>
      </c>
      <c r="B351" s="16">
        <v>0.17</v>
      </c>
      <c r="C351" s="13">
        <f>[2]monthly!$G450</f>
        <v>98.137802607099999</v>
      </c>
    </row>
    <row r="352" spans="1:3" ht="15.75" x14ac:dyDescent="0.25">
      <c r="A352" s="27">
        <v>45352</v>
      </c>
      <c r="B352" s="16">
        <v>0.17</v>
      </c>
      <c r="C352" s="13">
        <f>[2]monthly!$G451</f>
        <v>98.696461825</v>
      </c>
    </row>
    <row r="353" spans="1:3" ht="15.75" x14ac:dyDescent="0.25">
      <c r="A353" s="27">
        <v>45383</v>
      </c>
      <c r="B353" s="16">
        <v>0.17</v>
      </c>
      <c r="C353" s="13">
        <f>[2]monthly!$G452</f>
        <v>99.5344506518</v>
      </c>
    </row>
    <row r="354" spans="1:3" ht="15.75" x14ac:dyDescent="0.25">
      <c r="A354" s="27">
        <v>45413</v>
      </c>
      <c r="B354" s="16">
        <v>0.17</v>
      </c>
      <c r="C354" s="13">
        <f>[2]monthly!$G453</f>
        <v>99.720670391100001</v>
      </c>
    </row>
    <row r="355" spans="1:3" ht="15.75" x14ac:dyDescent="0.25">
      <c r="A355" s="27">
        <v>45444</v>
      </c>
      <c r="B355" s="16">
        <v>0.17</v>
      </c>
      <c r="C355" s="13">
        <f>[2]monthly!$G454</f>
        <v>99.8137802607</v>
      </c>
    </row>
    <row r="356" spans="1:3" ht="15.75" x14ac:dyDescent="0.25">
      <c r="A356" s="27">
        <v>45474</v>
      </c>
      <c r="B356" s="16">
        <v>0.17</v>
      </c>
      <c r="C356" s="13">
        <f>[2]monthly!$G455</f>
        <v>100.3724394786</v>
      </c>
    </row>
    <row r="357" spans="1:3" ht="15.75" x14ac:dyDescent="0.25">
      <c r="A357" s="27">
        <v>45505</v>
      </c>
      <c r="B357" s="16">
        <v>0.17</v>
      </c>
      <c r="C357" s="13">
        <f>[2]monthly!$G456</f>
        <v>101.303538175</v>
      </c>
    </row>
    <row r="358" spans="1:3" ht="15.75" x14ac:dyDescent="0.25">
      <c r="A358" s="27">
        <v>45536</v>
      </c>
      <c r="B358" s="16">
        <v>0.17</v>
      </c>
      <c r="C358" s="13">
        <f>[2]monthly!$G457</f>
        <v>101.1173184358</v>
      </c>
    </row>
    <row r="359" spans="1:3" ht="15.75" x14ac:dyDescent="0.25">
      <c r="A359" s="27">
        <v>45566</v>
      </c>
      <c r="B359" s="16">
        <v>0.17</v>
      </c>
      <c r="C359" s="13">
        <f>[2]monthly!$G458</f>
        <v>101.582867784</v>
      </c>
    </row>
    <row r="360" spans="1:3" ht="15.75" x14ac:dyDescent="0.25">
      <c r="A360" s="27">
        <v>45597</v>
      </c>
      <c r="B360" s="16">
        <v>0.17</v>
      </c>
      <c r="C360" s="13">
        <f>[2]monthly!$G459</f>
        <v>101.2104283054</v>
      </c>
    </row>
    <row r="361" spans="1:3" ht="15.75" x14ac:dyDescent="0.25">
      <c r="A361" s="27">
        <v>45627</v>
      </c>
      <c r="B361" s="16">
        <v>0.17</v>
      </c>
      <c r="C361" s="13">
        <f>[2]monthly!$G460</f>
        <v>100.9310986965</v>
      </c>
    </row>
    <row r="362" spans="1:3" ht="15.75" x14ac:dyDescent="0.25">
      <c r="A362" s="27">
        <v>45658</v>
      </c>
      <c r="B362" s="15">
        <v>0.18</v>
      </c>
      <c r="C362" s="13">
        <f>[2]monthly!$G461</f>
        <v>101.5</v>
      </c>
    </row>
    <row r="363" spans="1:3" ht="15.75" x14ac:dyDescent="0.25">
      <c r="A363" s="27">
        <v>45689</v>
      </c>
      <c r="B363" s="16">
        <v>0.18</v>
      </c>
      <c r="C363" s="13">
        <f>[2]monthly!$G462</f>
        <v>101.5</v>
      </c>
    </row>
    <row r="364" spans="1:3" ht="15.75" x14ac:dyDescent="0.25">
      <c r="A364" s="27">
        <v>45717</v>
      </c>
      <c r="B364" s="16">
        <v>0.18</v>
      </c>
      <c r="C364" s="13">
        <f>[2]monthly!$G463</f>
        <v>102</v>
      </c>
    </row>
    <row r="365" spans="1:3" ht="15.75" x14ac:dyDescent="0.25">
      <c r="A365" s="27">
        <v>45748</v>
      </c>
      <c r="B365" s="16">
        <v>0.18</v>
      </c>
      <c r="C365" s="13">
        <f>[2]monthly!$G464</f>
        <v>103.1</v>
      </c>
    </row>
    <row r="366" spans="1:3" ht="15.75" x14ac:dyDescent="0.25">
      <c r="A366" s="27">
        <v>45778</v>
      </c>
      <c r="B366" s="16">
        <v>0.18</v>
      </c>
      <c r="C366" s="13">
        <f>[2]monthly!$G465</f>
        <v>102.8</v>
      </c>
    </row>
    <row r="367" spans="1:3" ht="15.75" x14ac:dyDescent="0.25">
      <c r="A367" s="27">
        <v>45809</v>
      </c>
      <c r="B367" s="16">
        <v>0.18</v>
      </c>
      <c r="C367" s="13">
        <f>[2]monthly!$G466</f>
        <v>103.1</v>
      </c>
    </row>
    <row r="368" spans="1:3" ht="15.75" x14ac:dyDescent="0.25">
      <c r="A368" s="27">
        <v>45839</v>
      </c>
      <c r="B368" s="16">
        <v>0.18</v>
      </c>
      <c r="C368" s="13">
        <f>[2]monthly!$G467</f>
        <v>103.5</v>
      </c>
    </row>
    <row r="369" spans="1:3" ht="15.75" x14ac:dyDescent="0.25">
      <c r="A369" s="27">
        <v>45870</v>
      </c>
      <c r="B369" s="16">
        <v>0.18</v>
      </c>
      <c r="C369" s="13">
        <f>[2]monthly!$G468</f>
        <v>104.2</v>
      </c>
    </row>
    <row r="370" spans="1:3" ht="15.75" x14ac:dyDescent="0.25">
      <c r="A370" s="27">
        <v>45901</v>
      </c>
      <c r="B370" s="16">
        <v>0.18</v>
      </c>
      <c r="C370" s="13">
        <f>[2]monthly!$G469</f>
        <v>103.6</v>
      </c>
    </row>
    <row r="371" spans="1:3" ht="15.75" x14ac:dyDescent="0.25">
      <c r="A371" s="27">
        <v>45931</v>
      </c>
      <c r="B371" s="16">
        <v>0.18</v>
      </c>
      <c r="C371" s="13">
        <f>[2]monthly!$G470</f>
        <v>104.1</v>
      </c>
    </row>
    <row r="372" spans="1:3" ht="15.75" x14ac:dyDescent="0.25">
      <c r="A372" s="27">
        <v>45962</v>
      </c>
      <c r="B372" s="16">
        <v>0.18</v>
      </c>
      <c r="C372" s="13">
        <f>[2]monthly!$G471</f>
        <v>103.6</v>
      </c>
    </row>
    <row r="373" spans="1:3" ht="15.75" x14ac:dyDescent="0.25">
      <c r="A373" s="27">
        <v>45992</v>
      </c>
      <c r="B373" s="16">
        <v>0.18</v>
      </c>
      <c r="C373" s="13">
        <f>[2]monthly!$G472</f>
        <v>103.6</v>
      </c>
    </row>
    <row r="374" spans="1:3" ht="15.75" x14ac:dyDescent="0.25">
      <c r="A374" s="27">
        <v>46023</v>
      </c>
      <c r="B374" s="16">
        <v>0.18</v>
      </c>
      <c r="C374" s="13">
        <f>[2]monthly!$G473</f>
        <v>103.3</v>
      </c>
    </row>
    <row r="375" spans="1:3" ht="15.75" x14ac:dyDescent="0.25">
      <c r="A375" s="27">
        <v>46054</v>
      </c>
      <c r="B375" s="16">
        <v>0.18</v>
      </c>
      <c r="C375" s="13">
        <f>[2]monthly!$G474</f>
        <v>103.5</v>
      </c>
    </row>
    <row r="376" spans="1:3" ht="15.75" x14ac:dyDescent="0.25">
      <c r="A376" s="27">
        <v>46082</v>
      </c>
      <c r="B376" s="16">
        <v>0.18</v>
      </c>
      <c r="C376" s="13">
        <f>[2]monthly!$G475</f>
        <v>103.9</v>
      </c>
    </row>
    <row r="377" spans="1:3" ht="15.75" x14ac:dyDescent="0.25">
      <c r="A377" s="27">
        <v>46113</v>
      </c>
      <c r="B377" s="16">
        <v>0.18</v>
      </c>
      <c r="C37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11</vt:i4>
      </vt:variant>
    </vt:vector>
  </HeadingPairs>
  <TitlesOfParts>
    <vt:vector size="11" baseType="lpstr">
      <vt:lpstr>personal_labor_income_taxes</vt:lpstr>
      <vt:lpstr>corporate_business_tax</vt:lpstr>
      <vt:lpstr>consumption_tax</vt:lpstr>
      <vt:lpstr>import_trade_tax</vt:lpstr>
      <vt:lpstr>real_estate</vt:lpstr>
      <vt:lpstr>real_activity</vt:lpstr>
      <vt:lpstr>labor</vt:lpstr>
      <vt:lpstr>capital_markets</vt:lpstr>
      <vt:lpstr>FX_liqudity</vt:lpstr>
      <vt:lpstr>target</vt:lpstr>
      <vt:lpstr>adjusters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Benjo</dc:creator>
  <cp:lastModifiedBy>גל כץ</cp:lastModifiedBy>
  <dcterms:created xsi:type="dcterms:W3CDTF">2015-06-05T18:17:20Z</dcterms:created>
  <dcterms:modified xsi:type="dcterms:W3CDTF">2026-05-10T12:38:09Z</dcterms:modified>
</cp:coreProperties>
</file>